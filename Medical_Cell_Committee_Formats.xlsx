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CC-00 Composition" sheetId="2" state="visible" r:id="rId2"/>
    <sheet xmlns:r="http://schemas.openxmlformats.org/officeDocument/2006/relationships" name="MCC-NA Notice &amp; Agenda" sheetId="3" state="visible" r:id="rId3"/>
    <sheet xmlns:r="http://schemas.openxmlformats.org/officeDocument/2006/relationships" name="MCC-AT Attendance" sheetId="4" state="visible" r:id="rId4"/>
    <sheet xmlns:r="http://schemas.openxmlformats.org/officeDocument/2006/relationships" name="MCC-MM Minutes" sheetId="5" state="visible" r:id="rId5"/>
    <sheet xmlns:r="http://schemas.openxmlformats.org/officeDocument/2006/relationships" name="MCC-ATR Action Report" sheetId="6" state="visible" r:id="rId6"/>
    <sheet xmlns:r="http://schemas.openxmlformats.org/officeDocument/2006/relationships" name="MCC-10 Daily OPD Register" sheetId="7" state="visible" r:id="rId7"/>
    <sheet xmlns:r="http://schemas.openxmlformats.org/officeDocument/2006/relationships" name="MCC-11 OPD Case Sheet" sheetId="8" state="visible" r:id="rId8"/>
    <sheet xmlns:r="http://schemas.openxmlformats.org/officeDocument/2006/relationships" name="MCC-14 OPD Monthly Stats" sheetId="9" state="visible" r:id="rId9"/>
    <sheet xmlns:r="http://schemas.openxmlformats.org/officeDocument/2006/relationships" name="MCC-15 Medicine Inventory" sheetId="10" state="visible" r:id="rId10"/>
    <sheet xmlns:r="http://schemas.openxmlformats.org/officeDocument/2006/relationships" name="MCC-20 Emergency Register" sheetId="11" state="visible" r:id="rId11"/>
    <sheet xmlns:r="http://schemas.openxmlformats.org/officeDocument/2006/relationships" name="MCC-23 Hospital Referral" sheetId="12" state="visible" r:id="rId12"/>
    <sheet xmlns:r="http://schemas.openxmlformats.org/officeDocument/2006/relationships" name="MCC-25 Annual Health Checkup" sheetId="13" state="visible" r:id="rId13"/>
    <sheet xmlns:r="http://schemas.openxmlformats.org/officeDocument/2006/relationships" name="MCC-31 Mental Health Register" sheetId="14" state="visible" r:id="rId14"/>
    <sheet xmlns:r="http://schemas.openxmlformats.org/officeDocument/2006/relationships" name="MCC-38-39 Hygiene Inspection" sheetId="15" state="visible" r:id="rId15"/>
    <sheet xmlns:r="http://schemas.openxmlformats.org/officeDocument/2006/relationships" name="MCC-27 Health Camp Register" sheetId="16" state="visible" r:id="rId16"/>
    <sheet xmlns:r="http://schemas.openxmlformats.org/officeDocument/2006/relationships" name="MCC-47 BMW Management" sheetId="17" state="visible" r:id="rId17"/>
    <sheet xmlns:r="http://schemas.openxmlformats.org/officeDocument/2006/relationships" name="MCC-49 KPI Dashboard" sheetId="18" state="visible" r:id="rId18"/>
    <sheet xmlns:r="http://schemas.openxmlformats.org/officeDocument/2006/relationships" name="MCC-50 Annual Health Repor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0E7490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451A03"/>
      <sz val="8"/>
    </font>
    <font>
      <name val="Arial"/>
      <color rgb="003F2000"/>
      <sz val="9"/>
    </font>
    <font>
      <name val="Arial"/>
      <b val="1"/>
      <color rgb="000E7490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0A1F2E"/>
      <sz val="9"/>
    </font>
    <font>
      <name val="Arial"/>
      <b val="1"/>
      <color rgb="000A1F2E"/>
      <sz val="10"/>
    </font>
    <font>
      <name val="Arial"/>
      <b val="1"/>
      <color rgb="00B91C1C"/>
      <sz val="10"/>
    </font>
    <font>
      <name val="Arial"/>
      <b val="1"/>
      <color rgb="001E3A5F"/>
      <sz val="10"/>
    </font>
    <font>
      <name val="Arial"/>
      <b val="1"/>
      <color rgb="000F172A"/>
      <sz val="9"/>
    </font>
    <font>
      <name val="Arial"/>
      <b val="1"/>
      <color rgb="003F2000"/>
      <sz val="10"/>
    </font>
  </fonts>
  <fills count="26">
    <fill>
      <patternFill/>
    </fill>
    <fill>
      <patternFill patternType="gray125"/>
    </fill>
    <fill>
      <patternFill patternType="solid">
        <fgColor rgb="000A1F2E"/>
      </patternFill>
    </fill>
    <fill>
      <patternFill patternType="solid">
        <fgColor rgb="00CFFAFE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0E7490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F0FFFE"/>
      </patternFill>
    </fill>
    <fill>
      <patternFill patternType="solid">
        <fgColor rgb="00B91C1C"/>
      </patternFill>
    </fill>
    <fill>
      <patternFill patternType="solid">
        <fgColor rgb="00FEE2E2"/>
      </patternFill>
    </fill>
    <fill>
      <patternFill patternType="solid">
        <fgColor rgb="00166534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450A0A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C2410C"/>
      </patternFill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5" fillId="15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left" vertical="center" wrapText="1"/>
    </xf>
    <xf numFmtId="0" fontId="3" fillId="18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0" fontId="18" fillId="20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8" fillId="21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4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3" fillId="24" borderId="0" applyAlignment="1" pivotButton="0" quotePrefix="0" xfId="0">
      <alignment horizontal="center" vertical="center" wrapText="1"/>
    </xf>
    <xf numFmtId="0" fontId="19" fillId="25" borderId="1" applyAlignment="1" pivotButton="0" quotePrefix="0" xfId="0">
      <alignment horizontal="center" vertical="center" wrapText="1"/>
    </xf>
    <xf numFmtId="0" fontId="14" fillId="25" borderId="1" applyAlignment="1" pivotButton="0" quotePrefix="0" xfId="0">
      <alignment horizontal="left" vertical="center" wrapText="1"/>
    </xf>
    <xf numFmtId="0" fontId="14" fillId="25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14" fillId="20" borderId="1" applyAlignment="1" pivotButton="0" quotePrefix="0" xfId="0">
      <alignment horizontal="left" vertical="center" wrapText="1"/>
    </xf>
    <xf numFmtId="0" fontId="14" fillId="20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 wrapText="1"/>
    </xf>
    <xf numFmtId="0" fontId="3" fillId="22" borderId="0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horizontal="left" vertical="center" wrapText="1"/>
    </xf>
    <xf numFmtId="0" fontId="6" fillId="2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80" customHeight="1">
      <c r="B2" s="1" t="inlineStr">
        <is>
          <t>MEDICAL CELL COMMITTEE (MCC)
Data Collection Formats — Master Workbook</t>
        </is>
      </c>
    </row>
    <row r="3" ht="28" customHeight="1">
      <c r="B3" s="2" t="inlineStr">
        <is>
          <t>Institution: _________________________  Medical Officer: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MCC-00</t>
        </is>
      </c>
      <c r="C6" s="6" t="inlineStr">
        <is>
          <t>Committee Composition &amp; Members Register</t>
        </is>
      </c>
      <c r="D6" s="6" t="inlineStr">
        <is>
          <t>Record MCC members, medical staff &amp; student reps</t>
        </is>
      </c>
      <c r="E6" s="7" t="inlineStr">
        <is>
          <t>Annual</t>
        </is>
      </c>
    </row>
    <row r="7" ht="20" customHeight="1">
      <c r="B7" s="8" t="inlineStr">
        <is>
          <t>MCC-NA</t>
        </is>
      </c>
      <c r="C7" s="9" t="inlineStr">
        <is>
          <t>Meeting Notice, Agenda &amp; Dispatch Record</t>
        </is>
      </c>
      <c r="D7" s="9" t="inlineStr">
        <is>
          <t>Formal notice and agenda for MCC meetings</t>
        </is>
      </c>
      <c r="E7" s="10" t="inlineStr">
        <is>
          <t>Each Meeting</t>
        </is>
      </c>
    </row>
    <row r="8" ht="20" customHeight="1">
      <c r="B8" s="5" t="inlineStr">
        <is>
          <t>MCC-AT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MCC-MM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MCC-ATR</t>
        </is>
      </c>
      <c r="C10" s="6" t="inlineStr">
        <is>
          <t>Action Taken Report</t>
        </is>
      </c>
      <c r="D10" s="6" t="inlineStr">
        <is>
          <t>Track implementation of MCC resolutions</t>
        </is>
      </c>
      <c r="E10" s="7" t="inlineStr">
        <is>
          <t>Each Meeting</t>
        </is>
      </c>
    </row>
    <row r="11" ht="20" customHeight="1">
      <c r="B11" s="4" t="inlineStr">
        <is>
          <t>── POLICY &amp; PLANNING ──</t>
        </is>
      </c>
    </row>
    <row r="12" ht="20" customHeight="1">
      <c r="B12" s="5" t="inlineStr">
        <is>
          <t>MCC-01</t>
        </is>
      </c>
      <c r="C12" s="6" t="inlineStr">
        <is>
          <t>Medical Cell Policy &amp; Service Charter</t>
        </is>
      </c>
      <c r="D12" s="6" t="inlineStr">
        <is>
          <t>Document services, access, referral norms &amp; confidentiality</t>
        </is>
      </c>
      <c r="E12" s="7" t="inlineStr">
        <is>
          <t>Annual</t>
        </is>
      </c>
    </row>
    <row r="13" ht="20" customHeight="1">
      <c r="B13" s="8" t="inlineStr">
        <is>
          <t>MCC-02</t>
        </is>
      </c>
      <c r="C13" s="9" t="inlineStr">
        <is>
          <t>Annual Health Plan &amp; Calendar</t>
        </is>
      </c>
      <c r="D13" s="9" t="inlineStr">
        <is>
          <t>Plan all health camps, awareness &amp; screening programs</t>
        </is>
      </c>
      <c r="E13" s="10" t="inlineStr">
        <is>
          <t>Annual</t>
        </is>
      </c>
    </row>
    <row r="14" ht="20" customHeight="1">
      <c r="B14" s="5" t="inlineStr">
        <is>
          <t>MCC-03</t>
        </is>
      </c>
      <c r="C14" s="6" t="inlineStr">
        <is>
          <t>Medical Budget &amp; Procurement Plan</t>
        </is>
      </c>
      <c r="D14" s="6" t="inlineStr">
        <is>
          <t>Plan annual medical supplies, equipment &amp; services budget</t>
        </is>
      </c>
      <c r="E14" s="7" t="inlineStr">
        <is>
          <t>Annual</t>
        </is>
      </c>
    </row>
    <row r="15" ht="20" customHeight="1">
      <c r="B15" s="8" t="inlineStr">
        <is>
          <t>MCC-04</t>
        </is>
      </c>
      <c r="C15" s="9" t="inlineStr">
        <is>
          <t>Emergency Response Plan</t>
        </is>
      </c>
      <c r="D15" s="9" t="inlineStr">
        <is>
          <t>Document campus emergency protocols and contact list</t>
        </is>
      </c>
      <c r="E15" s="10" t="inlineStr">
        <is>
          <t>Annual / Review</t>
        </is>
      </c>
    </row>
    <row r="16" ht="20" customHeight="1">
      <c r="B16" s="4" t="inlineStr">
        <is>
          <t>── PATIENT REGISTRATION ──</t>
        </is>
      </c>
    </row>
    <row r="17" ht="20" customHeight="1">
      <c r="B17" s="8" t="inlineStr">
        <is>
          <t>MCC-05</t>
        </is>
      </c>
      <c r="C17" s="9" t="inlineStr">
        <is>
          <t>Student Patient Registration Form</t>
        </is>
      </c>
      <c r="D17" s="9" t="inlineStr">
        <is>
          <t>Register students seeking medical care</t>
        </is>
      </c>
      <c r="E17" s="10" t="inlineStr">
        <is>
          <t>Per Visit</t>
        </is>
      </c>
    </row>
    <row r="18" ht="20" customHeight="1">
      <c r="B18" s="5" t="inlineStr">
        <is>
          <t>MCC-06</t>
        </is>
      </c>
      <c r="C18" s="6" t="inlineStr">
        <is>
          <t>Student Patient Master Register</t>
        </is>
      </c>
      <c r="D18" s="6" t="inlineStr">
        <is>
          <t>Consolidated register of all student patients</t>
        </is>
      </c>
      <c r="E18" s="7" t="inlineStr">
        <is>
          <t>Continuous</t>
        </is>
      </c>
    </row>
    <row r="19" ht="20" customHeight="1">
      <c r="B19" s="8" t="inlineStr">
        <is>
          <t>MCC-07</t>
        </is>
      </c>
      <c r="C19" s="9" t="inlineStr">
        <is>
          <t>Staff Patient Registration Form</t>
        </is>
      </c>
      <c r="D19" s="9" t="inlineStr">
        <is>
          <t>Register faculty/staff seeking medical care</t>
        </is>
      </c>
      <c r="E19" s="10" t="inlineStr">
        <is>
          <t>Per Visit</t>
        </is>
      </c>
    </row>
    <row r="20" ht="20" customHeight="1">
      <c r="B20" s="5" t="inlineStr">
        <is>
          <t>MCC-08</t>
        </is>
      </c>
      <c r="C20" s="6" t="inlineStr">
        <is>
          <t>Staff Patient Master Register</t>
        </is>
      </c>
      <c r="D20" s="6" t="inlineStr">
        <is>
          <t>Consolidated register of all staff patients</t>
        </is>
      </c>
      <c r="E20" s="7" t="inlineStr">
        <is>
          <t>Continuous</t>
        </is>
      </c>
    </row>
    <row r="21" ht="20" customHeight="1">
      <c r="B21" s="8" t="inlineStr">
        <is>
          <t>MCC-09</t>
        </is>
      </c>
      <c r="C21" s="9" t="inlineStr">
        <is>
          <t>Health Card / Medical Record Number Register</t>
        </is>
      </c>
      <c r="D21" s="9" t="inlineStr">
        <is>
          <t>Issue unique health card / MRN to every student</t>
        </is>
      </c>
      <c r="E21" s="10" t="inlineStr">
        <is>
          <t>Annual (Admission)</t>
        </is>
      </c>
    </row>
    <row r="22" ht="20" customHeight="1">
      <c r="B22" s="4" t="inlineStr">
        <is>
          <t>── OUTPATIENT (OPD) SERVICES ──</t>
        </is>
      </c>
    </row>
    <row r="23" ht="20" customHeight="1">
      <c r="B23" s="8" t="inlineStr">
        <is>
          <t>MCC-10</t>
        </is>
      </c>
      <c r="C23" s="9" t="inlineStr">
        <is>
          <t>Daily OPD Attendance &amp; Consultation Register</t>
        </is>
      </c>
      <c r="D23" s="9" t="inlineStr">
        <is>
          <t>Record all daily OPD consultations</t>
        </is>
      </c>
      <c r="E23" s="10" t="inlineStr">
        <is>
          <t>Daily</t>
        </is>
      </c>
    </row>
    <row r="24" ht="20" customHeight="1">
      <c r="B24" s="5" t="inlineStr">
        <is>
          <t>MCC-11</t>
        </is>
      </c>
      <c r="C24" s="6" t="inlineStr">
        <is>
          <t>OPD Case Sheet / Patient Consultation Form</t>
        </is>
      </c>
      <c r="D24" s="6" t="inlineStr">
        <is>
          <t>Document clinical details of each OPD consultation</t>
        </is>
      </c>
      <c r="E24" s="7" t="inlineStr">
        <is>
          <t>Per Consultation</t>
        </is>
      </c>
    </row>
    <row r="25" ht="20" customHeight="1">
      <c r="B25" s="8" t="inlineStr">
        <is>
          <t>MCC-12</t>
        </is>
      </c>
      <c r="C25" s="9" t="inlineStr">
        <is>
          <t>Diagnosis &amp; Treatment Register</t>
        </is>
      </c>
      <c r="D25" s="9" t="inlineStr">
        <is>
          <t>Record diagnosis, treatment prescribed and follow-up</t>
        </is>
      </c>
      <c r="E25" s="10" t="inlineStr">
        <is>
          <t>Per Case</t>
        </is>
      </c>
    </row>
    <row r="26" ht="20" customHeight="1">
      <c r="B26" s="5" t="inlineStr">
        <is>
          <t>MCC-13</t>
        </is>
      </c>
      <c r="C26" s="6" t="inlineStr">
        <is>
          <t>Prescription &amp; Medication Issue Register</t>
        </is>
      </c>
      <c r="D26" s="6" t="inlineStr">
        <is>
          <t>Track medications prescribed and issued</t>
        </is>
      </c>
      <c r="E26" s="7" t="inlineStr">
        <is>
          <t>Per Prescription</t>
        </is>
      </c>
    </row>
    <row r="27" ht="20" customHeight="1">
      <c r="B27" s="8" t="inlineStr">
        <is>
          <t>MCC-14</t>
        </is>
      </c>
      <c r="C27" s="9" t="inlineStr">
        <is>
          <t>OPD Monthly Statistics Register</t>
        </is>
      </c>
      <c r="D27" s="9" t="inlineStr">
        <is>
          <t>Monthly summary of OPD cases by diagnosis category</t>
        </is>
      </c>
      <c r="E27" s="10" t="inlineStr">
        <is>
          <t>Monthly</t>
        </is>
      </c>
    </row>
    <row r="28" ht="20" customHeight="1">
      <c r="B28" s="4" t="inlineStr">
        <is>
          <t>── PHARMACY &amp; MEDICINES ──</t>
        </is>
      </c>
    </row>
    <row r="29" ht="20" customHeight="1">
      <c r="B29" s="8" t="inlineStr">
        <is>
          <t>MCC-15</t>
        </is>
      </c>
      <c r="C29" s="9" t="inlineStr">
        <is>
          <t>Medicine Inventory &amp; Stock Register</t>
        </is>
      </c>
      <c r="D29" s="9" t="inlineStr">
        <is>
          <t>Track medicine inventory — opening, received, issued</t>
        </is>
      </c>
      <c r="E29" s="10" t="inlineStr">
        <is>
          <t>Daily / Monthly</t>
        </is>
      </c>
    </row>
    <row r="30" ht="20" customHeight="1">
      <c r="B30" s="5" t="inlineStr">
        <is>
          <t>MCC-16</t>
        </is>
      </c>
      <c r="C30" s="6" t="inlineStr">
        <is>
          <t>Medicine Issue Register (Dispensing)</t>
        </is>
      </c>
      <c r="D30" s="6" t="inlineStr">
        <is>
          <t>Record medicines dispensed to patients</t>
        </is>
      </c>
      <c r="E30" s="7" t="inlineStr">
        <is>
          <t>Per Dispensing</t>
        </is>
      </c>
    </row>
    <row r="31" ht="20" customHeight="1">
      <c r="B31" s="8" t="inlineStr">
        <is>
          <t>MCC-17</t>
        </is>
      </c>
      <c r="C31" s="9" t="inlineStr">
        <is>
          <t>Medicine Expiry &amp; Disposal Register</t>
        </is>
      </c>
      <c r="D31" s="9" t="inlineStr">
        <is>
          <t>Track expiry dates and safe disposal of expired medicines</t>
        </is>
      </c>
      <c r="E31" s="10" t="inlineStr">
        <is>
          <t>Monthly</t>
        </is>
      </c>
    </row>
    <row r="32" ht="20" customHeight="1">
      <c r="B32" s="5" t="inlineStr">
        <is>
          <t>MCC-18</t>
        </is>
      </c>
      <c r="C32" s="6" t="inlineStr">
        <is>
          <t>Medical Equipment &amp; Instruments Register</t>
        </is>
      </c>
      <c r="D32" s="6" t="inlineStr">
        <is>
          <t>Inventory of all medical equipment and instruments</t>
        </is>
      </c>
      <c r="E32" s="7" t="inlineStr">
        <is>
          <t>Annual</t>
        </is>
      </c>
    </row>
    <row r="33" ht="20" customHeight="1">
      <c r="B33" s="8" t="inlineStr">
        <is>
          <t>MCC-19</t>
        </is>
      </c>
      <c r="C33" s="9" t="inlineStr">
        <is>
          <t>Medical Supplies Indent &amp; Purchase Register</t>
        </is>
      </c>
      <c r="D33" s="9" t="inlineStr">
        <is>
          <t>Track procurement of medicines and supplies</t>
        </is>
      </c>
      <c r="E33" s="10" t="inlineStr">
        <is>
          <t>Monthly</t>
        </is>
      </c>
    </row>
    <row r="34" ht="20" customHeight="1">
      <c r="B34" s="4" t="inlineStr">
        <is>
          <t>── EMERGENCY &amp; FIRST AID ──</t>
        </is>
      </c>
    </row>
    <row r="35" ht="20" customHeight="1">
      <c r="B35" s="8" t="inlineStr">
        <is>
          <t>MCC-20</t>
        </is>
      </c>
      <c r="C35" s="9" t="inlineStr">
        <is>
          <t>Emergency Case Register</t>
        </is>
      </c>
      <c r="D35" s="9" t="inlineStr">
        <is>
          <t>Log all emergency cases attended on campus</t>
        </is>
      </c>
      <c r="E35" s="10" t="inlineStr">
        <is>
          <t>Per Emergency</t>
        </is>
      </c>
    </row>
    <row r="36" ht="20" customHeight="1">
      <c r="B36" s="5" t="inlineStr">
        <is>
          <t>MCC-21</t>
        </is>
      </c>
      <c r="C36" s="6" t="inlineStr">
        <is>
          <t>First Aid Treatment Register</t>
        </is>
      </c>
      <c r="D36" s="6" t="inlineStr">
        <is>
          <t>Record all first aid treatments administered</t>
        </is>
      </c>
      <c r="E36" s="7" t="inlineStr">
        <is>
          <t>Per Treatment</t>
        </is>
      </c>
    </row>
    <row r="37" ht="20" customHeight="1">
      <c r="B37" s="8" t="inlineStr">
        <is>
          <t>MCC-22</t>
        </is>
      </c>
      <c r="C37" s="9" t="inlineStr">
        <is>
          <t>Ambulance Usage &amp; Trip Register</t>
        </is>
      </c>
      <c r="D37" s="9" t="inlineStr">
        <is>
          <t>Track ambulance utilisation for patient transport</t>
        </is>
      </c>
      <c r="E37" s="10" t="inlineStr">
        <is>
          <t>Per Trip</t>
        </is>
      </c>
    </row>
    <row r="38" ht="20" customHeight="1">
      <c r="B38" s="5" t="inlineStr">
        <is>
          <t>MCC-23</t>
        </is>
      </c>
      <c r="C38" s="6" t="inlineStr">
        <is>
          <t>Hospital Referral &amp; Transfer Register</t>
        </is>
      </c>
      <c r="D38" s="6" t="inlineStr">
        <is>
          <t>Track all referrals to external hospitals</t>
        </is>
      </c>
      <c r="E38" s="7" t="inlineStr">
        <is>
          <t>Per Referral</t>
        </is>
      </c>
    </row>
    <row r="39" ht="20" customHeight="1">
      <c r="B39" s="8" t="inlineStr">
        <is>
          <t>MCC-24</t>
        </is>
      </c>
      <c r="C39" s="9" t="inlineStr">
        <is>
          <t>Emergency Contact &amp; Hospital Empanelment Reg.</t>
        </is>
      </c>
      <c r="D39" s="9" t="inlineStr">
        <is>
          <t>List empanelled hospitals and emergency contacts</t>
        </is>
      </c>
      <c r="E39" s="10" t="inlineStr">
        <is>
          <t>Annual</t>
        </is>
      </c>
    </row>
    <row r="40" ht="20" customHeight="1">
      <c r="B40" s="4" t="inlineStr">
        <is>
          <t>── HEALTH SCREENING &amp; CAMPS ──</t>
        </is>
      </c>
    </row>
    <row r="41" ht="20" customHeight="1">
      <c r="B41" s="8" t="inlineStr">
        <is>
          <t>MCC-25</t>
        </is>
      </c>
      <c r="C41" s="9" t="inlineStr">
        <is>
          <t>Annual Health Check-up Register — Students</t>
        </is>
      </c>
      <c r="D41" s="9" t="inlineStr">
        <is>
          <t>Annual health screening of all students</t>
        </is>
      </c>
      <c r="E41" s="10" t="inlineStr">
        <is>
          <t>Annual</t>
        </is>
      </c>
    </row>
    <row r="42" ht="20" customHeight="1">
      <c r="B42" s="5" t="inlineStr">
        <is>
          <t>MCC-26</t>
        </is>
      </c>
      <c r="C42" s="6" t="inlineStr">
        <is>
          <t>Annual Health Check-up Register — Staff</t>
        </is>
      </c>
      <c r="D42" s="6" t="inlineStr">
        <is>
          <t>Annual health screening of all staff</t>
        </is>
      </c>
      <c r="E42" s="7" t="inlineStr">
        <is>
          <t>Annual</t>
        </is>
      </c>
    </row>
    <row r="43" ht="20" customHeight="1">
      <c r="B43" s="8" t="inlineStr">
        <is>
          <t>MCC-27</t>
        </is>
      </c>
      <c r="C43" s="9" t="inlineStr">
        <is>
          <t>Health Camp Register</t>
        </is>
      </c>
      <c r="D43" s="9" t="inlineStr">
        <is>
          <t>Document health camps conducted on campus</t>
        </is>
      </c>
      <c r="E43" s="10" t="inlineStr">
        <is>
          <t>Per Camp</t>
        </is>
      </c>
    </row>
    <row r="44" ht="20" customHeight="1">
      <c r="B44" s="5" t="inlineStr">
        <is>
          <t>MCC-28</t>
        </is>
      </c>
      <c r="C44" s="6" t="inlineStr">
        <is>
          <t>Blood Donation Camp Register</t>
        </is>
      </c>
      <c r="D44" s="6" t="inlineStr">
        <is>
          <t>Manage blood donation camps and donor records</t>
        </is>
      </c>
      <c r="E44" s="7" t="inlineStr">
        <is>
          <t>Per Camp</t>
        </is>
      </c>
    </row>
    <row r="45" ht="20" customHeight="1">
      <c r="B45" s="8" t="inlineStr">
        <is>
          <t>MCC-29</t>
        </is>
      </c>
      <c r="C45" s="9" t="inlineStr">
        <is>
          <t>Eye / Dental / Specialist Camp Register</t>
        </is>
      </c>
      <c r="D45" s="9" t="inlineStr">
        <is>
          <t>Track specialist health camps on campus</t>
        </is>
      </c>
      <c r="E45" s="10" t="inlineStr">
        <is>
          <t>Per Camp</t>
        </is>
      </c>
    </row>
    <row r="46" ht="20" customHeight="1">
      <c r="B46" s="5" t="inlineStr">
        <is>
          <t>MCC-30</t>
        </is>
      </c>
      <c r="C46" s="6" t="inlineStr">
        <is>
          <t>BMI &amp; Nutritional Status Register</t>
        </is>
      </c>
      <c r="D46" s="6" t="inlineStr">
        <is>
          <t>Track BMI, weight and nutritional status of students</t>
        </is>
      </c>
      <c r="E46" s="7" t="inlineStr">
        <is>
          <t>Annual / Per Camp</t>
        </is>
      </c>
    </row>
    <row r="47" ht="20" customHeight="1">
      <c r="B47" s="4" t="inlineStr">
        <is>
          <t>── MENTAL HEALTH &amp; COUNSELLING ──</t>
        </is>
      </c>
    </row>
    <row r="48" ht="20" customHeight="1">
      <c r="B48" s="5" t="inlineStr">
        <is>
          <t>MCC-31</t>
        </is>
      </c>
      <c r="C48" s="6" t="inlineStr">
        <is>
          <t>Mental Health OPD &amp; Counselling Register</t>
        </is>
      </c>
      <c r="D48" s="6" t="inlineStr">
        <is>
          <t>Track mental health consultations and counselling sessions</t>
        </is>
      </c>
      <c r="E48" s="7" t="inlineStr">
        <is>
          <t>Per Session</t>
        </is>
      </c>
    </row>
    <row r="49" ht="20" customHeight="1">
      <c r="B49" s="8" t="inlineStr">
        <is>
          <t>MCC-32</t>
        </is>
      </c>
      <c r="C49" s="9" t="inlineStr">
        <is>
          <t>Stress / Anxiety / Depression Screening Reg.</t>
        </is>
      </c>
      <c r="D49" s="9" t="inlineStr">
        <is>
          <t>Administer and record mental health screening tests</t>
        </is>
      </c>
      <c r="E49" s="10" t="inlineStr">
        <is>
          <t>Annual / Per Need</t>
        </is>
      </c>
    </row>
    <row r="50" ht="20" customHeight="1">
      <c r="B50" s="5" t="inlineStr">
        <is>
          <t>MCC-33</t>
        </is>
      </c>
      <c r="C50" s="6" t="inlineStr">
        <is>
          <t>Student Counselling Session Register</t>
        </is>
      </c>
      <c r="D50" s="6" t="inlineStr">
        <is>
          <t>Document individual counselling sessions</t>
        </is>
      </c>
      <c r="E50" s="7" t="inlineStr">
        <is>
          <t>Per Session</t>
        </is>
      </c>
    </row>
    <row r="51" ht="20" customHeight="1">
      <c r="B51" s="8" t="inlineStr">
        <is>
          <t>MCC-34</t>
        </is>
      </c>
      <c r="C51" s="9" t="inlineStr">
        <is>
          <t>Mental Health Referral Register</t>
        </is>
      </c>
      <c r="D51" s="9" t="inlineStr">
        <is>
          <t>Track referrals to psychiatrists and mental health centres</t>
        </is>
      </c>
      <c r="E51" s="10" t="inlineStr">
        <is>
          <t>Per Referral</t>
        </is>
      </c>
    </row>
    <row r="52" ht="20" customHeight="1">
      <c r="B52" s="5" t="inlineStr">
        <is>
          <t>MCC-35</t>
        </is>
      </c>
      <c r="C52" s="6" t="inlineStr">
        <is>
          <t>Peer Support Volunteer Register</t>
        </is>
      </c>
      <c r="D52" s="6" t="inlineStr">
        <is>
          <t>Register student mental health peer support volunteers</t>
        </is>
      </c>
      <c r="E52" s="7" t="inlineStr">
        <is>
          <t>Annual</t>
        </is>
      </c>
    </row>
    <row r="53" ht="20" customHeight="1">
      <c r="B53" s="4" t="inlineStr">
        <is>
          <t>── IMMUNISATION &amp; PREVENTIVE HEALTH ──</t>
        </is>
      </c>
    </row>
    <row r="54" ht="20" customHeight="1">
      <c r="B54" s="5" t="inlineStr">
        <is>
          <t>MCC-36</t>
        </is>
      </c>
      <c r="C54" s="6" t="inlineStr">
        <is>
          <t>Vaccination &amp; Immunisation Register</t>
        </is>
      </c>
      <c r="D54" s="6" t="inlineStr">
        <is>
          <t>Track vaccinations administered to students and staff</t>
        </is>
      </c>
      <c r="E54" s="7" t="inlineStr">
        <is>
          <t>Per Vaccination</t>
        </is>
      </c>
    </row>
    <row r="55" ht="20" customHeight="1">
      <c r="B55" s="8" t="inlineStr">
        <is>
          <t>MCC-37</t>
        </is>
      </c>
      <c r="C55" s="9" t="inlineStr">
        <is>
          <t>Epidemic / Disease Outbreak Register</t>
        </is>
      </c>
      <c r="D55" s="9" t="inlineStr">
        <is>
          <t>Document disease outbreaks and institutional response</t>
        </is>
      </c>
      <c r="E55" s="10" t="inlineStr">
        <is>
          <t>Per Outbreak</t>
        </is>
      </c>
    </row>
    <row r="56" ht="20" customHeight="1">
      <c r="B56" s="5" t="inlineStr">
        <is>
          <t>MCC-38</t>
        </is>
      </c>
      <c r="C56" s="6" t="inlineStr">
        <is>
          <t>Water Quality &amp; Hygiene Inspection Register</t>
        </is>
      </c>
      <c r="D56" s="6" t="inlineStr">
        <is>
          <t>Track drinking water quality tests and hygiene checks</t>
        </is>
      </c>
      <c r="E56" s="7" t="inlineStr">
        <is>
          <t>Monthly</t>
        </is>
      </c>
    </row>
    <row r="57" ht="20" customHeight="1">
      <c r="B57" s="8" t="inlineStr">
        <is>
          <t>MCC-39</t>
        </is>
      </c>
      <c r="C57" s="9" t="inlineStr">
        <is>
          <t>Canteen &amp; Kitchen Hygiene Inspection Register</t>
        </is>
      </c>
      <c r="D57" s="9" t="inlineStr">
        <is>
          <t>Inspect canteen food safety and hygiene</t>
        </is>
      </c>
      <c r="E57" s="10" t="inlineStr">
        <is>
          <t>Monthly</t>
        </is>
      </c>
    </row>
    <row r="58" ht="20" customHeight="1">
      <c r="B58" s="5" t="inlineStr">
        <is>
          <t>MCC-40</t>
        </is>
      </c>
      <c r="C58" s="6" t="inlineStr">
        <is>
          <t>Health Awareness Programme Register</t>
        </is>
      </c>
      <c r="D58" s="6" t="inlineStr">
        <is>
          <t>Log all health awareness sessions and campaigns</t>
        </is>
      </c>
      <c r="E58" s="7" t="inlineStr">
        <is>
          <t>Continuous</t>
        </is>
      </c>
    </row>
    <row r="59" ht="20" customHeight="1">
      <c r="B59" s="4" t="inlineStr">
        <is>
          <t>── SPECIAL HEALTH PROGRAMMES ──</t>
        </is>
      </c>
    </row>
    <row r="60" ht="20" customHeight="1">
      <c r="B60" s="5" t="inlineStr">
        <is>
          <t>MCC-41</t>
        </is>
      </c>
      <c r="C60" s="6" t="inlineStr">
        <is>
          <t>Menstrual Health &amp; Women's Welfare Register</t>
        </is>
      </c>
      <c r="D60" s="6" t="inlineStr">
        <is>
          <t>Track women's health services and awareness</t>
        </is>
      </c>
      <c r="E60" s="7" t="inlineStr">
        <is>
          <t>Monthly</t>
        </is>
      </c>
    </row>
    <row r="61" ht="20" customHeight="1">
      <c r="B61" s="8" t="inlineStr">
        <is>
          <t>MCC-42</t>
        </is>
      </c>
      <c r="C61" s="9" t="inlineStr">
        <is>
          <t>Anti-Tobacco / Smoking Cessation Register</t>
        </is>
      </c>
      <c r="D61" s="9" t="inlineStr">
        <is>
          <t>Track tobacco cessation support to students and staff</t>
        </is>
      </c>
      <c r="E61" s="10" t="inlineStr">
        <is>
          <t>Continuous</t>
        </is>
      </c>
    </row>
    <row r="62" ht="20" customHeight="1">
      <c r="B62" s="5" t="inlineStr">
        <is>
          <t>MCC-43</t>
        </is>
      </c>
      <c r="C62" s="6" t="inlineStr">
        <is>
          <t>Physical Fitness &amp; Yoga / Wellness Register</t>
        </is>
      </c>
      <c r="D62" s="6" t="inlineStr">
        <is>
          <t>Track wellness programmes — yoga, fitness, meditation</t>
        </is>
      </c>
      <c r="E62" s="7" t="inlineStr">
        <is>
          <t>Monthly</t>
        </is>
      </c>
    </row>
    <row r="63" ht="20" customHeight="1">
      <c r="B63" s="8" t="inlineStr">
        <is>
          <t>MCC-44</t>
        </is>
      </c>
      <c r="C63" s="9" t="inlineStr">
        <is>
          <t>Disability Support &amp; Differently-abled Reg.</t>
        </is>
      </c>
      <c r="D63" s="9" t="inlineStr">
        <is>
          <t>Track health support to differently-abled students</t>
        </is>
      </c>
      <c r="E63" s="10" t="inlineStr">
        <is>
          <t>Annual</t>
        </is>
      </c>
    </row>
    <row r="64" ht="20" customHeight="1">
      <c r="B64" s="4" t="inlineStr">
        <is>
          <t>── COMPLIANCE &amp; RECORDS ──</t>
        </is>
      </c>
    </row>
    <row r="65" ht="20" customHeight="1">
      <c r="B65" s="8" t="inlineStr">
        <is>
          <t>MCC-45</t>
        </is>
      </c>
      <c r="C65" s="9" t="inlineStr">
        <is>
          <t>Medical Record Retention Register</t>
        </is>
      </c>
      <c r="D65" s="9" t="inlineStr">
        <is>
          <t>Track patient records and retention compliance</t>
        </is>
      </c>
      <c r="E65" s="10" t="inlineStr">
        <is>
          <t>Annual</t>
        </is>
      </c>
    </row>
    <row r="66" ht="20" customHeight="1">
      <c r="B66" s="5" t="inlineStr">
        <is>
          <t>MCC-46</t>
        </is>
      </c>
      <c r="C66" s="6" t="inlineStr">
        <is>
          <t>Informed Consent Register</t>
        </is>
      </c>
      <c r="D66" s="6" t="inlineStr">
        <is>
          <t>Maintain signed consent forms for treatments</t>
        </is>
      </c>
      <c r="E66" s="7" t="inlineStr">
        <is>
          <t>Per Procedure</t>
        </is>
      </c>
    </row>
    <row r="67" ht="20" customHeight="1">
      <c r="B67" s="8" t="inlineStr">
        <is>
          <t>MCC-47</t>
        </is>
      </c>
      <c r="C67" s="9" t="inlineStr">
        <is>
          <t>Medical Waste (BMW) Management Register</t>
        </is>
      </c>
      <c r="D67" s="9" t="inlineStr">
        <is>
          <t>Track bio-medical waste segregation and disposal</t>
        </is>
      </c>
      <c r="E67" s="10" t="inlineStr">
        <is>
          <t>Daily / Monthly</t>
        </is>
      </c>
    </row>
    <row r="68" ht="20" customHeight="1">
      <c r="B68" s="5" t="inlineStr">
        <is>
          <t>MCC-48</t>
        </is>
      </c>
      <c r="C68" s="6" t="inlineStr">
        <is>
          <t>Statutory &amp; Accreditation Compliance Register</t>
        </is>
      </c>
      <c r="D68" s="6" t="inlineStr">
        <is>
          <t>Track NMC, NAAC and statutory medical compliance</t>
        </is>
      </c>
      <c r="E68" s="7" t="inlineStr">
        <is>
          <t>Annual</t>
        </is>
      </c>
    </row>
    <row r="69" ht="20" customHeight="1">
      <c r="B69" s="4" t="inlineStr">
        <is>
          <t>── MONITORING &amp; REPORTING ──</t>
        </is>
      </c>
    </row>
    <row r="70" ht="20" customHeight="1">
      <c r="B70" s="5" t="inlineStr">
        <is>
          <t>MCC-49</t>
        </is>
      </c>
      <c r="C70" s="6" t="inlineStr">
        <is>
          <t>MCC KPI Dashboard</t>
        </is>
      </c>
      <c r="D70" s="6" t="inlineStr">
        <is>
          <t>Track all medical KPIs — OPD, emergency, health outcomes</t>
        </is>
      </c>
      <c r="E70" s="7" t="inlineStr">
        <is>
          <t>Monthly / Annual</t>
        </is>
      </c>
    </row>
    <row r="71" ht="20" customHeight="1">
      <c r="B71" s="8" t="inlineStr">
        <is>
          <t>MCC-50</t>
        </is>
      </c>
      <c r="C71" s="9" t="inlineStr">
        <is>
          <t>MCC Annual Health Report Compilation Form</t>
        </is>
      </c>
      <c r="D71" s="9" t="inlineStr">
        <is>
          <t>Year-end health report for management, NAAC, UGC</t>
        </is>
      </c>
      <c r="E71" s="10" t="inlineStr">
        <is>
          <t>Annual</t>
        </is>
      </c>
    </row>
    <row r="146">
      <c r="B146" s="11" t="inlineStr">
        <is>
          <t>• MCC = Medical Cell Committee — responsible for primary healthcare, first aid, health promotion and medical welfare of students &amp; staff.</t>
        </is>
      </c>
    </row>
    <row r="147">
      <c r="B147" s="11" t="inlineStr">
        <is>
          <t>• Medical Officer must be a registered MBBS doctor (MCI/NMC registered). Nurse must hold valid registration (INC/State NC).</t>
        </is>
      </c>
    </row>
    <row r="148">
      <c r="B148" s="11" t="inlineStr">
        <is>
          <t>• All medical records are confidential — protected under doctor-patient privilege and Personal Data Protection norms.</t>
        </is>
      </c>
    </row>
    <row r="149">
      <c r="B149" s="11" t="inlineStr">
        <is>
          <t>• Bio-Medical Waste (BMW): Segregate in colour-coded bins (Yellow/Red/Blue/White) as per BMW Management Rules 2016.</t>
        </is>
      </c>
    </row>
    <row r="150">
      <c r="B150" s="11" t="inlineStr">
        <is>
          <t>• Medicine storage: Controlled drugs require double-lock. All medicines in cool, dry place. Expiry check monthly mandatory.</t>
        </is>
      </c>
    </row>
    <row r="151">
      <c r="B151" s="11" t="inlineStr">
        <is>
          <t>• MCC data feeds into: NAAC AQAR Criterion V.2 (Student Progression) and V.3 (Student Activities / Welfare), NIRF.</t>
        </is>
      </c>
    </row>
    <row r="152">
      <c r="B152" s="11" t="inlineStr">
        <is>
          <t>• Annual health check-up of all students is strongly recommended — record BMI, BP, haemoglobin and vision for each.</t>
        </is>
      </c>
    </row>
    <row r="153">
      <c r="B153" s="11" t="inlineStr">
        <is>
          <t>• Mental health services must be available and advertised — iCall, Vandrevala Foundation, NIMHANS helplines to be displayed.</t>
        </is>
      </c>
    </row>
    <row r="154">
      <c r="B154" s="11" t="inlineStr">
        <is>
          <t>• Emergency: Keep ambulance on standby during college hours. Display 108 and nearest hospital contact prominently.</t>
        </is>
      </c>
    </row>
    <row r="155">
      <c r="B155" s="11" t="inlineStr">
        <is>
          <t>• Consent: Written informed consent required for all procedures beyond basic first aid and OPD consultation.</t>
        </is>
      </c>
    </row>
  </sheetData>
  <mergeCells count="24">
    <mergeCell ref="B146:E146"/>
    <mergeCell ref="B40:E40"/>
    <mergeCell ref="B64:E64"/>
    <mergeCell ref="B5:E5"/>
    <mergeCell ref="B154:E154"/>
    <mergeCell ref="B153:E153"/>
    <mergeCell ref="B16:E16"/>
    <mergeCell ref="B3:E3"/>
    <mergeCell ref="B47:E47"/>
    <mergeCell ref="B150:E150"/>
    <mergeCell ref="B59:E59"/>
    <mergeCell ref="B22:E22"/>
    <mergeCell ref="B155:E155"/>
    <mergeCell ref="B149:E149"/>
    <mergeCell ref="B152:E152"/>
    <mergeCell ref="B11:E11"/>
    <mergeCell ref="B151:E151"/>
    <mergeCell ref="B2:E2"/>
    <mergeCell ref="B148:E148"/>
    <mergeCell ref="B53:E53"/>
    <mergeCell ref="B69:E69"/>
    <mergeCell ref="B147:E147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MCC-00: MEDICAL CELL COMMITTEE — COMPOSITION REGISTER</t>
        </is>
      </c>
    </row>
    <row r="3" ht="22" customHeight="1">
      <c r="B3" s="13" t="inlineStr">
        <is>
          <t>Legal Framework: Clinical Establishments Act 2010 | MCI / NMC Regulations | Drugs &amp; Cosmetics Act 1940 | POCSO Act (for minors) | Mental Healthcare Act 2017 | Personal Data Protection norms</t>
        </is>
      </c>
    </row>
    <row r="4" ht="25" customHeight="1">
      <c r="B4" s="2" t="inlineStr">
        <is>
          <t>Institution: _________________________  A.Y.: _______  Constituted on: _______  Order No.: _______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Chairperson</t>
        </is>
      </c>
      <c r="F5" s="16" t="inlineStr">
        <is>
          <t>MCC Leadership &amp; Policy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MBBS / MD — Registered Medical Practitioner</t>
        </is>
      </c>
      <c r="E6" s="8" t="inlineStr">
        <is>
          <t>Medical Officer (In-charge)</t>
        </is>
      </c>
      <c r="F6" s="10" t="inlineStr">
        <is>
          <t>Primary Care &amp; Clinical Oversight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B.Sc. Nursing / GNM — Registered Nurse</t>
        </is>
      </c>
      <c r="E7" s="14" t="inlineStr">
        <is>
          <t>Staff Nurse – 1</t>
        </is>
      </c>
      <c r="F7" s="16" t="inlineStr">
        <is>
          <t>OPD &amp; Emergency Nursing Care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B.Sc. Nursing / GNM — Registered Nurse</t>
        </is>
      </c>
      <c r="E8" s="8" t="inlineStr">
        <is>
          <t>Staff Nurse – 2</t>
        </is>
      </c>
      <c r="F8" s="10" t="inlineStr">
        <is>
          <t>Pharmacy &amp; Patient Care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D.Pharm / B.Pharm — Registered Pharmacist</t>
        </is>
      </c>
      <c r="E9" s="14" t="inlineStr">
        <is>
          <t>Pharmacist</t>
        </is>
      </c>
      <c r="F9" s="16" t="inlineStr">
        <is>
          <t>Pharmacy &amp; Medicine Management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M.Sc. Psychology / MSW — Certified Counsellor</t>
        </is>
      </c>
      <c r="E10" s="8" t="inlineStr">
        <is>
          <t>Counsellor / Psychologist</t>
        </is>
      </c>
      <c r="F10" s="10" t="inlineStr">
        <is>
          <t>Mental Health &amp; Counselling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DMLT / B.Sc. MLT — Lab Technician</t>
        </is>
      </c>
      <c r="E11" s="14" t="inlineStr">
        <is>
          <t>Laboratory Technician</t>
        </is>
      </c>
      <c r="F11" s="16" t="inlineStr">
        <is>
          <t>Diagnostic &amp; Lab Services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BPT / MPT — Registered Physiotherapist</t>
        </is>
      </c>
      <c r="E12" s="8" t="inlineStr">
        <is>
          <t>Physiotherapist</t>
        </is>
      </c>
      <c r="F12" s="10" t="inlineStr">
        <is>
          <t>Physiotherapy &amp; Rehabilitation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Senior Faculty Member (Elected)</t>
        </is>
      </c>
      <c r="E13" s="14" t="inlineStr">
        <is>
          <t>Faculty Rep – 1</t>
        </is>
      </c>
      <c r="F13" s="16" t="inlineStr">
        <is>
          <t>Student Health Welfare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Senior Female Faculty (Elected)</t>
        </is>
      </c>
      <c r="E14" s="8" t="inlineStr">
        <is>
          <t>Faculty Rep – 2</t>
        </is>
      </c>
      <c r="F14" s="10" t="inlineStr">
        <is>
          <t>Women's Health &amp; Welfare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Chief Warden</t>
        </is>
      </c>
      <c r="E15" s="14" t="inlineStr">
        <is>
          <t>Hostel Warden (Ex-off.)</t>
        </is>
      </c>
      <c r="F15" s="16" t="inlineStr">
        <is>
          <t>Hostel Student Health Link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Physical Education Director</t>
        </is>
      </c>
      <c r="E16" s="8" t="inlineStr">
        <is>
          <t>PE Director / Sports Coach</t>
        </is>
      </c>
      <c r="F16" s="10" t="inlineStr">
        <is>
          <t>Sports Medicine &amp; Fitness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Student Council — Health Secretary (Male)</t>
        </is>
      </c>
      <c r="E17" s="14" t="inlineStr">
        <is>
          <t>Student Rep – 1</t>
        </is>
      </c>
      <c r="F17" s="16" t="inlineStr">
        <is>
          <t>Male Student Health Voice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Student Council — Health Secretary (Female)</t>
        </is>
      </c>
      <c r="E18" s="8" t="inlineStr">
        <is>
          <t>Student Rep – 2</t>
        </is>
      </c>
      <c r="F18" s="10" t="inlineStr">
        <is>
          <t>Female Student Health Voice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IQAC In-charge</t>
        </is>
      </c>
      <c r="E19" s="14" t="inlineStr">
        <is>
          <t>IQAC Coordinator (Ex-off.)</t>
        </is>
      </c>
      <c r="F19" s="16" t="inlineStr">
        <is>
          <t>NAAC Health Data Compliance</t>
        </is>
      </c>
      <c r="G19" s="15" t="inlineStr"/>
      <c r="H19" s="16" t="inlineStr"/>
      <c r="I19" s="16" t="inlineStr"/>
    </row>
    <row r="20" ht="22" customHeight="1">
      <c r="B20" s="8" t="n">
        <v>16</v>
      </c>
      <c r="C20" s="9" t="inlineStr"/>
      <c r="D20" s="9" t="inlineStr">
        <is>
          <t>Finance Officer</t>
        </is>
      </c>
      <c r="E20" s="8" t="inlineStr">
        <is>
          <t>Finance Officer (Ex-off.)</t>
        </is>
      </c>
      <c r="F20" s="10" t="inlineStr">
        <is>
          <t>Medical Budget &amp; Procurement</t>
        </is>
      </c>
      <c r="G20" s="9" t="inlineStr"/>
      <c r="H20" s="10" t="inlineStr"/>
      <c r="I20" s="10" t="inlineStr"/>
    </row>
    <row r="21" ht="22" customHeight="1"/>
    <row r="22" ht="20" customHeight="1">
      <c r="B22" s="17" t="inlineStr">
        <is>
          <t>Medical Officer and Nurses must display valid registration certificates in the Medical Cell. Registration number to be updated annually. MCC meets monthly — emergency meetings as needed.</t>
        </is>
      </c>
    </row>
    <row r="23" ht="22" customHeight="1"/>
    <row r="24" ht="22" customHeight="1"/>
    <row r="25" ht="22" customHeight="1"/>
  </sheetData>
  <mergeCells count="4">
    <mergeCell ref="B3:I3"/>
    <mergeCell ref="B22:I22"/>
    <mergeCell ref="B2:I2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MEDICAL CELL COMMITTEE: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Academic Year:</t>
        </is>
      </c>
      <c r="C4" s="9" t="n"/>
    </row>
    <row r="5" ht="22" customHeight="1">
      <c r="B5" s="18" t="inlineStr">
        <is>
          <t>Date:</t>
        </is>
      </c>
      <c r="C5" s="9" t="n"/>
    </row>
    <row r="6" ht="22" customHeight="1">
      <c r="B6" s="18" t="inlineStr">
        <is>
          <t>Time:</t>
        </is>
      </c>
      <c r="C6" s="9" t="n"/>
    </row>
    <row r="7" ht="22" customHeight="1">
      <c r="B7" s="18" t="inlineStr">
        <is>
          <t>Venue:</t>
        </is>
      </c>
      <c r="C7" s="9" t="n"/>
    </row>
    <row r="8" ht="22" customHeight="1">
      <c r="B8" s="18" t="inlineStr">
        <is>
          <t>Mode:</t>
        </is>
      </c>
      <c r="C8" s="9" t="n"/>
    </row>
    <row r="9" ht="22" customHeight="1">
      <c r="B9" s="18" t="inlineStr">
        <is>
          <t>Notice by:</t>
        </is>
      </c>
      <c r="C9" s="9" t="n"/>
    </row>
    <row r="10" ht="22" customHeight="1">
      <c r="B10" s="18" t="inlineStr">
        <is>
          <t>Notice Date:</t>
        </is>
      </c>
      <c r="C10" s="9" t="n"/>
    </row>
    <row r="11" ht="24" customHeight="1">
      <c r="B11" s="19" t="inlineStr">
        <is>
          <t>AGENDA ITEMS</t>
        </is>
      </c>
    </row>
    <row r="12" ht="24" customHeight="1">
      <c r="B12" s="20" t="inlineStr">
        <is>
          <t>Item
No.</t>
        </is>
      </c>
      <c r="C12" s="20" t="inlineStr">
        <is>
          <t>Agenda Item</t>
        </is>
      </c>
      <c r="D12" s="20" t="inlineStr">
        <is>
          <t>Lead</t>
        </is>
      </c>
      <c r="E12" s="20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MCC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MCC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OPD statistics — monthly report by diagnosis category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Emergency cases — review of incidents and outcomes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Referral cases — hospital referrals and follow-up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Pharmacy — medicine stock, expiry and procurement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Equipment status — maintenance and calibration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Bio-medical waste management — compliance status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Health camp upcoming — planning and logistics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Annual health check-up — status and coverage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Mental health services — counselling statistics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Water quality and canteen hygiene — inspection results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Vaccination and immunisation — coverage status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Women's health services — menstrual health, wellness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Sports injuries and physiotherapy — update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Disease surveillance — seasonal illness, outbreak monitoring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Health awareness programmes — upcoming schedule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NAAC health data — compilation status</t>
        </is>
      </c>
      <c r="D30" s="10" t="inlineStr"/>
      <c r="E30" s="10" t="inlineStr"/>
    </row>
    <row r="31" ht="24" customHeight="1">
      <c r="B31" s="14" t="n">
        <v>19</v>
      </c>
      <c r="C31" s="15" t="inlineStr">
        <is>
          <t>Budget review — medical expenditure vs. allocation</t>
        </is>
      </c>
      <c r="D31" s="16" t="inlineStr"/>
      <c r="E31" s="16" t="inlineStr"/>
    </row>
    <row r="32" ht="24" customHeight="1">
      <c r="B32" s="8" t="n">
        <v>20</v>
      </c>
      <c r="C32" s="9" t="inlineStr">
        <is>
          <t>Any Other Matter with Permission of Chairperson (AOMPC)</t>
        </is>
      </c>
      <c r="D32" s="10" t="inlineStr"/>
      <c r="E32" s="10" t="inlineStr"/>
    </row>
    <row r="33" ht="24" customHeight="1"/>
    <row r="34" ht="24" customHeight="1">
      <c r="B34" s="21" t="inlineStr">
        <is>
          <t>DISPATCH RECORD</t>
        </is>
      </c>
    </row>
    <row r="35" ht="24" customHeight="1">
      <c r="B35" s="22" t="inlineStr">
        <is>
          <t>Sl.</t>
        </is>
      </c>
      <c r="C35" s="22" t="inlineStr">
        <is>
          <t>Member Name &amp; Role</t>
        </is>
      </c>
      <c r="D35" s="22" t="inlineStr">
        <is>
          <t>Mode</t>
        </is>
      </c>
      <c r="E35" s="22" t="inlineStr">
        <is>
          <t>Date &amp; Acknowledgement</t>
        </is>
      </c>
    </row>
    <row r="36" ht="22" customHeight="1">
      <c r="B36" s="23" t="n"/>
      <c r="C36" s="23" t="n"/>
      <c r="D36" s="23" t="n"/>
      <c r="E36" s="23" t="n"/>
    </row>
    <row r="37" ht="22" customHeight="1">
      <c r="B37" s="10" t="n"/>
      <c r="C37" s="10" t="n"/>
      <c r="D37" s="10" t="n"/>
      <c r="E37" s="10" t="n"/>
    </row>
    <row r="38" ht="22" customHeight="1">
      <c r="B38" s="23" t="n"/>
      <c r="C38" s="23" t="n"/>
      <c r="D38" s="23" t="n"/>
      <c r="E38" s="23" t="n"/>
    </row>
    <row r="39" ht="22" customHeight="1">
      <c r="B39" s="10" t="n"/>
      <c r="C39" s="10" t="n"/>
      <c r="D39" s="10" t="n"/>
      <c r="E39" s="10" t="n"/>
    </row>
  </sheetData>
  <mergeCells count="11">
    <mergeCell ref="C5:E5"/>
    <mergeCell ref="C8:E8"/>
    <mergeCell ref="C9:E9"/>
    <mergeCell ref="C4:E4"/>
    <mergeCell ref="C3:E3"/>
    <mergeCell ref="B11:E11"/>
    <mergeCell ref="B2:E2"/>
    <mergeCell ref="B34:E34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MCC: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20" t="inlineStr">
        <is>
          <t>Sl.</t>
        </is>
      </c>
      <c r="C4" s="20" t="inlineStr">
        <is>
          <t>Name</t>
        </is>
      </c>
      <c r="D4" s="20" t="inlineStr">
        <is>
          <t>Role</t>
        </is>
      </c>
      <c r="E4" s="20" t="inlineStr">
        <is>
          <t>Mode
(Physical/VC)</t>
        </is>
      </c>
      <c r="F4" s="20" t="inlineStr">
        <is>
          <t>Present
(P/A)</t>
        </is>
      </c>
      <c r="G4" s="20" t="inlineStr">
        <is>
          <t>Proxy
(Y/N)</t>
        </is>
      </c>
      <c r="H4" s="20" t="inlineStr">
        <is>
          <t>Proxy Holder</t>
        </is>
      </c>
      <c r="I4" s="20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>
      <c r="B21" s="14" t="n">
        <v>17</v>
      </c>
      <c r="C21" s="15" t="inlineStr"/>
      <c r="D21" s="15" t="inlineStr"/>
      <c r="E21" s="16" t="inlineStr">
        <is>
          <t>Physical</t>
        </is>
      </c>
      <c r="F21" s="16" t="inlineStr"/>
      <c r="G21" s="16" t="inlineStr">
        <is>
          <t>N</t>
        </is>
      </c>
      <c r="H21" s="16" t="inlineStr"/>
      <c r="I21" s="16" t="inlineStr"/>
    </row>
    <row r="22" ht="22" customHeight="1">
      <c r="B22" s="8" t="n">
        <v>18</v>
      </c>
      <c r="C22" s="9" t="inlineStr"/>
      <c r="D22" s="9" t="inlineStr"/>
      <c r="E22" s="10" t="inlineStr">
        <is>
          <t>Physical</t>
        </is>
      </c>
      <c r="F22" s="10" t="inlineStr"/>
      <c r="G22" s="10" t="inlineStr">
        <is>
          <t>N</t>
        </is>
      </c>
      <c r="H22" s="10" t="inlineStr"/>
      <c r="I22" s="10" t="inlineStr"/>
    </row>
    <row r="23" ht="22" customHeight="1"/>
    <row r="24" ht="24" customHeight="1">
      <c r="B24" s="21" t="inlineStr">
        <is>
          <t>QUORUM VERIFICATION</t>
        </is>
      </c>
    </row>
    <row r="25" ht="22" customHeight="1">
      <c r="B25" s="24" t="inlineStr">
        <is>
          <t>Total MCC Members</t>
        </is>
      </c>
      <c r="G25" s="25" t="inlineStr"/>
    </row>
    <row r="26" ht="22" customHeight="1">
      <c r="B26" s="26" t="inlineStr">
        <is>
          <t>Present (Physical)</t>
        </is>
      </c>
      <c r="G26" s="25">
        <f>COUNTIF(F5:F22,"P")</f>
        <v/>
      </c>
    </row>
    <row r="27" ht="22" customHeight="1">
      <c r="B27" s="24" t="inlineStr">
        <is>
          <t>Present (VC)</t>
        </is>
      </c>
      <c r="G27" s="25" t="inlineStr"/>
    </row>
    <row r="28">
      <c r="B28" s="26" t="inlineStr">
        <is>
          <t>Total Effective</t>
        </is>
      </c>
      <c r="G28" s="25">
        <f>IFERROR(C26+C27,"")</f>
        <v/>
      </c>
    </row>
    <row r="29">
      <c r="B29" s="24" t="inlineStr">
        <is>
          <t>Quorum Required (50%)</t>
        </is>
      </c>
      <c r="G29" s="25" t="inlineStr"/>
    </row>
    <row r="30">
      <c r="B30" s="26" t="inlineStr">
        <is>
          <t>Quorum Achieved?</t>
        </is>
      </c>
      <c r="G30" s="27">
        <f>IFERROR(IF(C28&gt;=C29,"YES — Meeting Valid","NO — Adjourned"),"")</f>
        <v/>
      </c>
    </row>
  </sheetData>
  <mergeCells count="15">
    <mergeCell ref="B30:F30"/>
    <mergeCell ref="B29:F29"/>
    <mergeCell ref="G28:I28"/>
    <mergeCell ref="G27:I27"/>
    <mergeCell ref="B24:I24"/>
    <mergeCell ref="B2:I2"/>
    <mergeCell ref="B25:F25"/>
    <mergeCell ref="B28:F28"/>
    <mergeCell ref="B3:I3"/>
    <mergeCell ref="G26:I26"/>
    <mergeCell ref="G29:I29"/>
    <mergeCell ref="G30:I30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MCC: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8" t="inlineStr">
        <is>
          <t>DISCUSSION &amp; RESOLUTIONS</t>
        </is>
      </c>
    </row>
    <row r="5" ht="30" customHeight="1">
      <c r="B5" s="29" t="inlineStr">
        <is>
          <t>Resolution
No.</t>
        </is>
      </c>
      <c r="C5" s="29" t="inlineStr">
        <is>
          <t>Discussion &amp; Resolution</t>
        </is>
      </c>
      <c r="D5" s="29" t="inlineStr">
        <is>
          <t>Responsible</t>
        </is>
      </c>
      <c r="E5" s="29" t="inlineStr">
        <is>
          <t>Voting</t>
        </is>
      </c>
      <c r="F5" s="29" t="inlineStr">
        <is>
          <t>Target
Date</t>
        </is>
      </c>
      <c r="G5" s="29" t="inlineStr">
        <is>
          <t>Status</t>
        </is>
      </c>
    </row>
    <row r="6" ht="30" customHeight="1">
      <c r="B6" s="14" t="inlineStr">
        <is>
          <t>MCC/RES/001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MCC/RES/002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MCC/RES/003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MCC/RES/004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MCC/RES/005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MCC/RES/006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MCC/RES/007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MCC/RES/008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MCC/RES/009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MCC/RES/010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MCC/RES/011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MCC/RES/012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MCC/RES/013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MCC/RES/014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30" t="inlineStr">
        <is>
          <t>Next Meeting: _______    Chairperson: ___________________    Medical Officer: ___________________</t>
        </is>
      </c>
    </row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MCC: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1" t="inlineStr">
        <is>
          <t>Resolution
No.</t>
        </is>
      </c>
      <c r="C4" s="31" t="inlineStr">
        <is>
          <t>Resolution / Decision</t>
        </is>
      </c>
      <c r="D4" s="31" t="inlineStr">
        <is>
          <t>Action Required</t>
        </is>
      </c>
      <c r="E4" s="31" t="inlineStr">
        <is>
          <t>Responsible</t>
        </is>
      </c>
      <c r="F4" s="31" t="inlineStr">
        <is>
          <t>Target
Date</t>
        </is>
      </c>
      <c r="G4" s="31" t="inlineStr">
        <is>
          <t>Completion
Date</t>
        </is>
      </c>
      <c r="H4" s="31" t="inlineStr">
        <is>
          <t>Status</t>
        </is>
      </c>
    </row>
    <row r="5" ht="26" customHeight="1">
      <c r="B5" s="32" t="inlineStr">
        <is>
          <t>MCC/RES/001</t>
        </is>
      </c>
      <c r="C5" s="33" t="inlineStr"/>
      <c r="D5" s="33" t="inlineStr"/>
      <c r="E5" s="34" t="inlineStr"/>
      <c r="F5" s="34" t="inlineStr"/>
      <c r="G5" s="34" t="inlineStr"/>
      <c r="H5" s="33" t="inlineStr">
        <is>
          <t>In Progress</t>
        </is>
      </c>
    </row>
    <row r="6" ht="26" customHeight="1">
      <c r="B6" s="8" t="inlineStr">
        <is>
          <t>MCC/RES/002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2" t="inlineStr">
        <is>
          <t>MCC/RES/003</t>
        </is>
      </c>
      <c r="C7" s="33" t="inlineStr"/>
      <c r="D7" s="33" t="inlineStr"/>
      <c r="E7" s="34" t="inlineStr"/>
      <c r="F7" s="34" t="inlineStr"/>
      <c r="G7" s="34" t="inlineStr"/>
      <c r="H7" s="33" t="inlineStr">
        <is>
          <t>In Progress</t>
        </is>
      </c>
    </row>
    <row r="8" ht="26" customHeight="1">
      <c r="B8" s="8" t="inlineStr">
        <is>
          <t>MCC/RES/004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2" t="inlineStr">
        <is>
          <t>MCC/RES/005</t>
        </is>
      </c>
      <c r="C9" s="33" t="inlineStr"/>
      <c r="D9" s="33" t="inlineStr"/>
      <c r="E9" s="34" t="inlineStr"/>
      <c r="F9" s="34" t="inlineStr"/>
      <c r="G9" s="34" t="inlineStr"/>
      <c r="H9" s="33" t="inlineStr">
        <is>
          <t>In Progress</t>
        </is>
      </c>
    </row>
    <row r="10" ht="26" customHeight="1">
      <c r="B10" s="8" t="inlineStr">
        <is>
          <t>MCC/RES/006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2" t="inlineStr">
        <is>
          <t>MCC/RES/007</t>
        </is>
      </c>
      <c r="C11" s="33" t="inlineStr"/>
      <c r="D11" s="33" t="inlineStr"/>
      <c r="E11" s="34" t="inlineStr"/>
      <c r="F11" s="34" t="inlineStr"/>
      <c r="G11" s="34" t="inlineStr"/>
      <c r="H11" s="33" t="inlineStr">
        <is>
          <t>In Progress</t>
        </is>
      </c>
    </row>
    <row r="12" ht="26" customHeight="1">
      <c r="B12" s="8" t="inlineStr">
        <is>
          <t>MCC/RES/008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2" t="inlineStr">
        <is>
          <t>MCC/RES/009</t>
        </is>
      </c>
      <c r="C13" s="33" t="inlineStr"/>
      <c r="D13" s="33" t="inlineStr"/>
      <c r="E13" s="34" t="inlineStr"/>
      <c r="F13" s="34" t="inlineStr"/>
      <c r="G13" s="34" t="inlineStr"/>
      <c r="H13" s="33" t="inlineStr">
        <is>
          <t>In Progress</t>
        </is>
      </c>
    </row>
    <row r="14" ht="26" customHeight="1">
      <c r="B14" s="8" t="inlineStr">
        <is>
          <t>MCC/RES/010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2" t="inlineStr">
        <is>
          <t>MCC/RES/011</t>
        </is>
      </c>
      <c r="C15" s="33" t="inlineStr"/>
      <c r="D15" s="33" t="inlineStr"/>
      <c r="E15" s="34" t="inlineStr"/>
      <c r="F15" s="34" t="inlineStr"/>
      <c r="G15" s="34" t="inlineStr"/>
      <c r="H15" s="33" t="inlineStr">
        <is>
          <t>In Progress</t>
        </is>
      </c>
    </row>
    <row r="16" ht="26" customHeight="1">
      <c r="B16" s="8" t="inlineStr">
        <is>
          <t>MCC/RES/012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2" t="inlineStr">
        <is>
          <t>MCC/RES/013</t>
        </is>
      </c>
      <c r="C17" s="33" t="inlineStr"/>
      <c r="D17" s="33" t="inlineStr"/>
      <c r="E17" s="34" t="inlineStr"/>
      <c r="F17" s="34" t="inlineStr"/>
      <c r="G17" s="34" t="inlineStr"/>
      <c r="H17" s="33" t="inlineStr">
        <is>
          <t>In Progress</t>
        </is>
      </c>
    </row>
    <row r="18" ht="26" customHeight="1">
      <c r="B18" s="8" t="inlineStr">
        <is>
          <t>MCC/RES/014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/>
    <row r="20" ht="24" customHeight="1">
      <c r="B20" s="35" t="inlineStr">
        <is>
          <t>ATR SUMMARY</t>
        </is>
      </c>
    </row>
    <row r="21" ht="26" customHeight="1">
      <c r="B21" s="36" t="inlineStr">
        <is>
          <t>Total Resolutions Under Review</t>
        </is>
      </c>
      <c r="F21" s="37">
        <f>COUNTA(B5:B18)</f>
        <v/>
      </c>
    </row>
    <row r="22" ht="26" customHeight="1">
      <c r="B22" s="26" t="inlineStr">
        <is>
          <t>Implemented</t>
        </is>
      </c>
      <c r="F22" s="38">
        <f>COUNTIF(H5:H18,"Implemented")</f>
        <v/>
      </c>
    </row>
    <row r="23" ht="26" customHeight="1">
      <c r="B23" s="36" t="inlineStr">
        <is>
          <t>In Progress</t>
        </is>
      </c>
      <c r="F23" s="37">
        <f>COUNTIF(H5:H18,"In Progress")</f>
        <v/>
      </c>
    </row>
    <row r="24">
      <c r="B24" s="26" t="inlineStr">
        <is>
          <t>Pending</t>
        </is>
      </c>
      <c r="F24" s="38">
        <f>COUNTIF(H5:H18,"Pending")</f>
        <v/>
      </c>
    </row>
    <row r="25">
      <c r="B25" s="36" t="inlineStr">
        <is>
          <t>Deferred</t>
        </is>
      </c>
      <c r="F25" s="37">
        <f>COUNTIF(H5:H18,"Deferred")</f>
        <v/>
      </c>
    </row>
    <row r="26">
      <c r="B26" s="26" t="inlineStr">
        <is>
          <t>Implementation Rate (%)</t>
        </is>
      </c>
      <c r="F26" s="38">
        <f>IFERROR(ROUND(C22/C21*100,1),"")</f>
        <v/>
      </c>
    </row>
  </sheetData>
  <mergeCells count="15">
    <mergeCell ref="F23:H23"/>
    <mergeCell ref="B23:E23"/>
    <mergeCell ref="B26:E26"/>
    <mergeCell ref="F22:H22"/>
    <mergeCell ref="B21:E21"/>
    <mergeCell ref="F26:H26"/>
    <mergeCell ref="B2:H2"/>
    <mergeCell ref="B25:E25"/>
    <mergeCell ref="B24:E24"/>
    <mergeCell ref="B3:H3"/>
    <mergeCell ref="F21:H21"/>
    <mergeCell ref="B20:H20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0" customWidth="1" min="4" max="4"/>
    <col width="10" customWidth="1" min="5" max="5"/>
    <col width="12" customWidth="1" min="6" max="6"/>
    <col width="16" customWidth="1" min="7" max="7"/>
    <col width="14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MCC-10: DAILY OPD ATTENDANCE &amp; CONSULTATION REGISTER</t>
        </is>
      </c>
    </row>
    <row r="3" ht="18" customHeight="1">
      <c r="B3" s="39" t="inlineStr">
        <is>
          <t>CONFIDENTIAL — Medical records are protected health information. Access restricted to Medical Cell staff and authorised personnel only. Retain as per Medical Records Rules.</t>
        </is>
      </c>
    </row>
    <row r="4" ht="25" customHeight="1">
      <c r="B4" s="2" t="inlineStr">
        <is>
          <t>Date: _______  Medical Officer: ___________________  Nurse: ___________________  OPD Hours: ___________________</t>
        </is>
      </c>
    </row>
    <row r="5" ht="22" customHeight="1">
      <c r="B5" s="20" t="inlineStr">
        <is>
          <t>Token
No.</t>
        </is>
      </c>
      <c r="C5" s="20" t="inlineStr">
        <is>
          <t>Patient Name</t>
        </is>
      </c>
      <c r="D5" s="20" t="inlineStr">
        <is>
          <t>MRN /
Roll No.</t>
        </is>
      </c>
      <c r="E5" s="20" t="inlineStr">
        <is>
          <t>Age /
Gender</t>
        </is>
      </c>
      <c r="F5" s="20" t="inlineStr">
        <is>
          <t>Category
(Student/Staff)</t>
        </is>
      </c>
      <c r="G5" s="20" t="inlineStr">
        <is>
          <t>Chief
Complaint</t>
        </is>
      </c>
      <c r="H5" s="20" t="inlineStr">
        <is>
          <t>Diagnosis /
Condition</t>
        </is>
      </c>
      <c r="I5" s="20" t="inlineStr">
        <is>
          <t>Treatment
Given</t>
        </is>
      </c>
      <c r="J5" s="20" t="inlineStr">
        <is>
          <t>Referred?
(Y/N)</t>
        </is>
      </c>
      <c r="K5" s="20" t="inlineStr">
        <is>
          <t>Follow-up
Date</t>
        </is>
      </c>
    </row>
    <row r="6" ht="22" customHeight="1">
      <c r="B6" s="14" t="n">
        <v>1</v>
      </c>
      <c r="C6" s="15" t="inlineStr"/>
      <c r="D6" s="16" t="inlineStr"/>
      <c r="E6" s="16" t="inlineStr"/>
      <c r="F6" s="16" t="inlineStr">
        <is>
          <t>Student</t>
        </is>
      </c>
      <c r="G6" s="15" t="inlineStr">
        <is>
          <t>Fever / Cold / Flu</t>
        </is>
      </c>
      <c r="H6" s="15" t="inlineStr"/>
      <c r="I6" s="15" t="inlineStr"/>
      <c r="J6" s="16" t="inlineStr">
        <is>
          <t>N</t>
        </is>
      </c>
      <c r="K6" s="16" t="inlineStr"/>
    </row>
    <row r="7" ht="22" customHeight="1">
      <c r="B7" s="8" t="n">
        <v>2</v>
      </c>
      <c r="C7" s="9" t="inlineStr"/>
      <c r="D7" s="10" t="inlineStr"/>
      <c r="E7" s="10" t="inlineStr"/>
      <c r="F7" s="10" t="inlineStr">
        <is>
          <t>Student</t>
        </is>
      </c>
      <c r="G7" s="9" t="inlineStr">
        <is>
          <t>Headache / Migraine</t>
        </is>
      </c>
      <c r="H7" s="9" t="inlineStr"/>
      <c r="I7" s="9" t="inlineStr"/>
      <c r="J7" s="10" t="inlineStr">
        <is>
          <t>N</t>
        </is>
      </c>
      <c r="K7" s="10" t="inlineStr"/>
    </row>
    <row r="8" ht="22" customHeight="1">
      <c r="B8" s="14" t="n">
        <v>3</v>
      </c>
      <c r="C8" s="15" t="inlineStr"/>
      <c r="D8" s="16" t="inlineStr"/>
      <c r="E8" s="16" t="inlineStr"/>
      <c r="F8" s="16" t="inlineStr">
        <is>
          <t>Student</t>
        </is>
      </c>
      <c r="G8" s="15" t="inlineStr">
        <is>
          <t>Stomach Pain / Gastritis</t>
        </is>
      </c>
      <c r="H8" s="15" t="inlineStr"/>
      <c r="I8" s="15" t="inlineStr"/>
      <c r="J8" s="16" t="inlineStr">
        <is>
          <t>N</t>
        </is>
      </c>
      <c r="K8" s="16" t="inlineStr"/>
    </row>
    <row r="9" ht="22" customHeight="1">
      <c r="B9" s="8" t="n">
        <v>4</v>
      </c>
      <c r="C9" s="9" t="inlineStr"/>
      <c r="D9" s="10" t="inlineStr"/>
      <c r="E9" s="10" t="inlineStr"/>
      <c r="F9" s="10" t="inlineStr">
        <is>
          <t>Staff</t>
        </is>
      </c>
      <c r="G9" s="9" t="inlineStr">
        <is>
          <t>Vomiting / Diarrhoea</t>
        </is>
      </c>
      <c r="H9" s="9" t="inlineStr"/>
      <c r="I9" s="9" t="inlineStr"/>
      <c r="J9" s="10" t="inlineStr">
        <is>
          <t>N</t>
        </is>
      </c>
      <c r="K9" s="10" t="inlineStr"/>
    </row>
    <row r="10" ht="22" customHeight="1">
      <c r="B10" s="14" t="n">
        <v>5</v>
      </c>
      <c r="C10" s="15" t="inlineStr"/>
      <c r="D10" s="16" t="inlineStr"/>
      <c r="E10" s="16" t="inlineStr"/>
      <c r="F10" s="16" t="inlineStr">
        <is>
          <t>Student</t>
        </is>
      </c>
      <c r="G10" s="15" t="inlineStr">
        <is>
          <t>Body Pain / Myalgia</t>
        </is>
      </c>
      <c r="H10" s="15" t="inlineStr"/>
      <c r="I10" s="15" t="inlineStr"/>
      <c r="J10" s="16" t="inlineStr">
        <is>
          <t>N</t>
        </is>
      </c>
      <c r="K10" s="16" t="inlineStr"/>
    </row>
    <row r="11" ht="22" customHeight="1">
      <c r="B11" s="8" t="n">
        <v>6</v>
      </c>
      <c r="C11" s="9" t="inlineStr"/>
      <c r="D11" s="10" t="inlineStr"/>
      <c r="E11" s="10" t="inlineStr"/>
      <c r="F11" s="10" t="inlineStr">
        <is>
          <t>Student</t>
        </is>
      </c>
      <c r="G11" s="9" t="inlineStr">
        <is>
          <t>Eye Complaint</t>
        </is>
      </c>
      <c r="H11" s="9" t="inlineStr"/>
      <c r="I11" s="9" t="inlineStr"/>
      <c r="J11" s="10" t="inlineStr">
        <is>
          <t>N</t>
        </is>
      </c>
      <c r="K11" s="10" t="inlineStr"/>
    </row>
    <row r="12" ht="22" customHeight="1">
      <c r="B12" s="14" t="n">
        <v>7</v>
      </c>
      <c r="C12" s="15" t="inlineStr"/>
      <c r="D12" s="16" t="inlineStr"/>
      <c r="E12" s="16" t="inlineStr"/>
      <c r="F12" s="16" t="inlineStr">
        <is>
          <t>Student</t>
        </is>
      </c>
      <c r="G12" s="15" t="inlineStr">
        <is>
          <t>Ear / Throat Pain</t>
        </is>
      </c>
      <c r="H12" s="15" t="inlineStr"/>
      <c r="I12" s="15" t="inlineStr"/>
      <c r="J12" s="16" t="inlineStr">
        <is>
          <t>N</t>
        </is>
      </c>
      <c r="K12" s="16" t="inlineStr"/>
    </row>
    <row r="13" ht="22" customHeight="1">
      <c r="B13" s="8" t="n">
        <v>8</v>
      </c>
      <c r="C13" s="9" t="inlineStr"/>
      <c r="D13" s="10" t="inlineStr"/>
      <c r="E13" s="10" t="inlineStr"/>
      <c r="F13" s="10" t="inlineStr">
        <is>
          <t>Staff</t>
        </is>
      </c>
      <c r="G13" s="9" t="inlineStr">
        <is>
          <t>Skin / Allergy</t>
        </is>
      </c>
      <c r="H13" s="9" t="inlineStr"/>
      <c r="I13" s="9" t="inlineStr"/>
      <c r="J13" s="10" t="inlineStr">
        <is>
          <t>N</t>
        </is>
      </c>
      <c r="K13" s="10" t="inlineStr"/>
    </row>
    <row r="14" ht="22" customHeight="1">
      <c r="B14" s="14" t="n">
        <v>9</v>
      </c>
      <c r="C14" s="15" t="inlineStr"/>
      <c r="D14" s="16" t="inlineStr"/>
      <c r="E14" s="16" t="inlineStr"/>
      <c r="F14" s="16" t="inlineStr">
        <is>
          <t>Student</t>
        </is>
      </c>
      <c r="G14" s="15" t="inlineStr">
        <is>
          <t>Dental Pain</t>
        </is>
      </c>
      <c r="H14" s="15" t="inlineStr"/>
      <c r="I14" s="15" t="inlineStr"/>
      <c r="J14" s="16" t="inlineStr">
        <is>
          <t>N</t>
        </is>
      </c>
      <c r="K14" s="16" t="inlineStr"/>
    </row>
    <row r="15" ht="22" customHeight="1">
      <c r="B15" s="8" t="n">
        <v>10</v>
      </c>
      <c r="C15" s="9" t="inlineStr"/>
      <c r="D15" s="10" t="inlineStr"/>
      <c r="E15" s="10" t="inlineStr"/>
      <c r="F15" s="10" t="inlineStr">
        <is>
          <t>Student</t>
        </is>
      </c>
      <c r="G15" s="9" t="inlineStr">
        <is>
          <t>Injury / Wound</t>
        </is>
      </c>
      <c r="H15" s="9" t="inlineStr"/>
      <c r="I15" s="9" t="inlineStr"/>
      <c r="J15" s="10" t="inlineStr">
        <is>
          <t>N</t>
        </is>
      </c>
      <c r="K15" s="10" t="inlineStr"/>
    </row>
    <row r="16" ht="22" customHeight="1">
      <c r="B16" s="14" t="n">
        <v>11</v>
      </c>
      <c r="C16" s="15" t="inlineStr"/>
      <c r="D16" s="16" t="inlineStr"/>
      <c r="E16" s="16" t="inlineStr"/>
      <c r="F16" s="16" t="inlineStr">
        <is>
          <t>Student</t>
        </is>
      </c>
      <c r="G16" s="15" t="inlineStr">
        <is>
          <t>Menstrual Pain / Dysmenorrhoea</t>
        </is>
      </c>
      <c r="H16" s="15" t="inlineStr"/>
      <c r="I16" s="15" t="inlineStr"/>
      <c r="J16" s="16" t="inlineStr">
        <is>
          <t>N</t>
        </is>
      </c>
      <c r="K16" s="16" t="inlineStr"/>
    </row>
    <row r="17" ht="22" customHeight="1">
      <c r="B17" s="8" t="n">
        <v>12</v>
      </c>
      <c r="C17" s="9" t="inlineStr"/>
      <c r="D17" s="10" t="inlineStr"/>
      <c r="E17" s="10" t="inlineStr"/>
      <c r="F17" s="10" t="inlineStr">
        <is>
          <t>Staff</t>
        </is>
      </c>
      <c r="G17" s="9" t="inlineStr">
        <is>
          <t>Chest Pain / Breathing</t>
        </is>
      </c>
      <c r="H17" s="9" t="inlineStr"/>
      <c r="I17" s="9" t="inlineStr"/>
      <c r="J17" s="10" t="inlineStr">
        <is>
          <t>N</t>
        </is>
      </c>
      <c r="K17" s="10" t="inlineStr"/>
    </row>
    <row r="18" ht="22" customHeight="1">
      <c r="B18" s="14" t="n">
        <v>13</v>
      </c>
      <c r="C18" s="15" t="inlineStr"/>
      <c r="D18" s="16" t="inlineStr"/>
      <c r="E18" s="16" t="inlineStr"/>
      <c r="F18" s="16" t="inlineStr">
        <is>
          <t>Student</t>
        </is>
      </c>
      <c r="G18" s="15" t="inlineStr">
        <is>
          <t>Anxiety / Stress</t>
        </is>
      </c>
      <c r="H18" s="15" t="inlineStr"/>
      <c r="I18" s="15" t="inlineStr"/>
      <c r="J18" s="16" t="inlineStr">
        <is>
          <t>N</t>
        </is>
      </c>
      <c r="K18" s="16" t="inlineStr"/>
    </row>
    <row r="19" ht="22" customHeight="1">
      <c r="B19" s="8" t="n">
        <v>14</v>
      </c>
      <c r="C19" s="9" t="inlineStr"/>
      <c r="D19" s="10" t="inlineStr"/>
      <c r="E19" s="10" t="inlineStr"/>
      <c r="F19" s="10" t="inlineStr">
        <is>
          <t>Student</t>
        </is>
      </c>
      <c r="G19" s="9" t="inlineStr">
        <is>
          <t>Fatigue / Weakness</t>
        </is>
      </c>
      <c r="H19" s="9" t="inlineStr"/>
      <c r="I19" s="9" t="inlineStr"/>
      <c r="J19" s="10" t="inlineStr">
        <is>
          <t>N</t>
        </is>
      </c>
      <c r="K19" s="10" t="inlineStr"/>
    </row>
    <row r="20" ht="22" customHeight="1">
      <c r="B20" s="14" t="n">
        <v>15</v>
      </c>
      <c r="C20" s="15" t="inlineStr"/>
      <c r="D20" s="16" t="inlineStr"/>
      <c r="E20" s="16" t="inlineStr"/>
      <c r="F20" s="16" t="inlineStr">
        <is>
          <t>Student</t>
        </is>
      </c>
      <c r="G20" s="15" t="inlineStr">
        <is>
          <t>Blood Pressure Check</t>
        </is>
      </c>
      <c r="H20" s="15" t="inlineStr"/>
      <c r="I20" s="15" t="inlineStr"/>
      <c r="J20" s="16" t="inlineStr">
        <is>
          <t>N</t>
        </is>
      </c>
      <c r="K20" s="16" t="inlineStr"/>
    </row>
    <row r="21" ht="22" customHeight="1">
      <c r="B21" s="8" t="n">
        <v>16</v>
      </c>
      <c r="C21" s="9" t="inlineStr"/>
      <c r="D21" s="10" t="inlineStr"/>
      <c r="E21" s="10" t="inlineStr"/>
      <c r="F21" s="10" t="inlineStr">
        <is>
          <t>Staff</t>
        </is>
      </c>
      <c r="G21" s="9" t="inlineStr">
        <is>
          <t>Urinary Complaint</t>
        </is>
      </c>
      <c r="H21" s="9" t="inlineStr"/>
      <c r="I21" s="9" t="inlineStr"/>
      <c r="J21" s="10" t="inlineStr">
        <is>
          <t>N</t>
        </is>
      </c>
      <c r="K21" s="10" t="inlineStr"/>
    </row>
    <row r="22" ht="22" customHeight="1">
      <c r="B22" s="14" t="n">
        <v>17</v>
      </c>
      <c r="C22" s="15" t="inlineStr"/>
      <c r="D22" s="16" t="inlineStr"/>
      <c r="E22" s="16" t="inlineStr"/>
      <c r="F22" s="16" t="inlineStr">
        <is>
          <t>Student</t>
        </is>
      </c>
      <c r="G22" s="15" t="inlineStr">
        <is>
          <t>Joint / Back Pain</t>
        </is>
      </c>
      <c r="H22" s="15" t="inlineStr"/>
      <c r="I22" s="15" t="inlineStr"/>
      <c r="J22" s="16" t="inlineStr">
        <is>
          <t>N</t>
        </is>
      </c>
      <c r="K22" s="16" t="inlineStr"/>
    </row>
    <row r="23" ht="22" customHeight="1">
      <c r="B23" s="8" t="n">
        <v>18</v>
      </c>
      <c r="C23" s="9" t="inlineStr"/>
      <c r="D23" s="10" t="inlineStr"/>
      <c r="E23" s="10" t="inlineStr"/>
      <c r="F23" s="10" t="inlineStr">
        <is>
          <t>Student</t>
        </is>
      </c>
      <c r="G23" s="9" t="inlineStr">
        <is>
          <t>General Check-up</t>
        </is>
      </c>
      <c r="H23" s="9" t="inlineStr"/>
      <c r="I23" s="9" t="inlineStr"/>
      <c r="J23" s="10" t="inlineStr">
        <is>
          <t>N</t>
        </is>
      </c>
      <c r="K23" s="10" t="inlineStr"/>
    </row>
    <row r="24" ht="22" customHeight="1">
      <c r="B24" s="14" t="n">
        <v>19</v>
      </c>
      <c r="C24" s="15" t="inlineStr"/>
      <c r="D24" s="16" t="inlineStr"/>
      <c r="E24" s="16" t="inlineStr"/>
      <c r="F24" s="16" t="inlineStr">
        <is>
          <t>Student</t>
        </is>
      </c>
      <c r="G24" s="15" t="inlineStr">
        <is>
          <t>Medication Refill</t>
        </is>
      </c>
      <c r="H24" s="15" t="inlineStr"/>
      <c r="I24" s="15" t="inlineStr"/>
      <c r="J24" s="16" t="inlineStr">
        <is>
          <t>N</t>
        </is>
      </c>
      <c r="K24" s="16" t="inlineStr"/>
    </row>
    <row r="25" ht="22" customHeight="1">
      <c r="B25" s="8" t="n">
        <v>20</v>
      </c>
      <c r="C25" s="9" t="inlineStr"/>
      <c r="D25" s="10" t="inlineStr"/>
      <c r="E25" s="10" t="inlineStr"/>
      <c r="F25" s="10" t="inlineStr">
        <is>
          <t>Staff</t>
        </is>
      </c>
      <c r="G25" s="9" t="inlineStr">
        <is>
          <t>Other</t>
        </is>
      </c>
      <c r="H25" s="9" t="inlineStr"/>
      <c r="I25" s="9" t="inlineStr"/>
      <c r="J25" s="10" t="inlineStr">
        <is>
          <t>N</t>
        </is>
      </c>
      <c r="K25" s="10" t="inlineStr"/>
    </row>
    <row r="26" ht="22" customHeight="1">
      <c r="B26" s="14" t="n">
        <v>21</v>
      </c>
      <c r="C26" s="15" t="inlineStr"/>
      <c r="D26" s="16" t="inlineStr"/>
      <c r="E26" s="16" t="inlineStr"/>
      <c r="F26" s="16" t="inlineStr">
        <is>
          <t>Student</t>
        </is>
      </c>
      <c r="G26" s="15" t="inlineStr">
        <is>
          <t>Fever / Cold / Flu</t>
        </is>
      </c>
      <c r="H26" s="15" t="inlineStr"/>
      <c r="I26" s="15" t="inlineStr"/>
      <c r="J26" s="16" t="inlineStr">
        <is>
          <t>N</t>
        </is>
      </c>
      <c r="K26" s="16" t="inlineStr"/>
    </row>
    <row r="27" ht="22" customHeight="1">
      <c r="B27" s="8" t="n">
        <v>22</v>
      </c>
      <c r="C27" s="9" t="inlineStr"/>
      <c r="D27" s="10" t="inlineStr"/>
      <c r="E27" s="10" t="inlineStr"/>
      <c r="F27" s="10" t="inlineStr">
        <is>
          <t>Student</t>
        </is>
      </c>
      <c r="G27" s="9" t="inlineStr">
        <is>
          <t>Headache / Migraine</t>
        </is>
      </c>
      <c r="H27" s="9" t="inlineStr"/>
      <c r="I27" s="9" t="inlineStr"/>
      <c r="J27" s="10" t="inlineStr">
        <is>
          <t>N</t>
        </is>
      </c>
      <c r="K27" s="10" t="inlineStr"/>
    </row>
    <row r="28" ht="22" customHeight="1">
      <c r="B28" s="14" t="n">
        <v>23</v>
      </c>
      <c r="C28" s="15" t="inlineStr"/>
      <c r="D28" s="16" t="inlineStr"/>
      <c r="E28" s="16" t="inlineStr"/>
      <c r="F28" s="16" t="inlineStr">
        <is>
          <t>Student</t>
        </is>
      </c>
      <c r="G28" s="15" t="inlineStr">
        <is>
          <t>Stomach Pain / Gastritis</t>
        </is>
      </c>
      <c r="H28" s="15" t="inlineStr"/>
      <c r="I28" s="15" t="inlineStr"/>
      <c r="J28" s="16" t="inlineStr">
        <is>
          <t>N</t>
        </is>
      </c>
      <c r="K28" s="16" t="inlineStr"/>
    </row>
    <row r="29" ht="22" customHeight="1">
      <c r="B29" s="8" t="n">
        <v>24</v>
      </c>
      <c r="C29" s="9" t="inlineStr"/>
      <c r="D29" s="10" t="inlineStr"/>
      <c r="E29" s="10" t="inlineStr"/>
      <c r="F29" s="10" t="inlineStr">
        <is>
          <t>Staff</t>
        </is>
      </c>
      <c r="G29" s="9" t="inlineStr">
        <is>
          <t>Vomiting / Diarrhoea</t>
        </is>
      </c>
      <c r="H29" s="9" t="inlineStr"/>
      <c r="I29" s="9" t="inlineStr"/>
      <c r="J29" s="10" t="inlineStr">
        <is>
          <t>N</t>
        </is>
      </c>
      <c r="K29" s="10" t="inlineStr"/>
    </row>
    <row r="30" ht="22" customHeight="1">
      <c r="B30" s="14" t="n">
        <v>25</v>
      </c>
      <c r="C30" s="15" t="inlineStr"/>
      <c r="D30" s="16" t="inlineStr"/>
      <c r="E30" s="16" t="inlineStr"/>
      <c r="F30" s="16" t="inlineStr">
        <is>
          <t>Student</t>
        </is>
      </c>
      <c r="G30" s="15" t="inlineStr">
        <is>
          <t>Body Pain / Myalgia</t>
        </is>
      </c>
      <c r="H30" s="15" t="inlineStr"/>
      <c r="I30" s="15" t="inlineStr"/>
      <c r="J30" s="16" t="inlineStr">
        <is>
          <t>N</t>
        </is>
      </c>
      <c r="K30" s="16" t="inlineStr"/>
    </row>
    <row r="31" ht="22" customHeight="1">
      <c r="B31" s="8" t="n">
        <v>26</v>
      </c>
      <c r="C31" s="9" t="inlineStr"/>
      <c r="D31" s="10" t="inlineStr"/>
      <c r="E31" s="10" t="inlineStr"/>
      <c r="F31" s="10" t="inlineStr">
        <is>
          <t>Student</t>
        </is>
      </c>
      <c r="G31" s="9" t="inlineStr">
        <is>
          <t>Eye Complaint</t>
        </is>
      </c>
      <c r="H31" s="9" t="inlineStr"/>
      <c r="I31" s="9" t="inlineStr"/>
      <c r="J31" s="10" t="inlineStr">
        <is>
          <t>N</t>
        </is>
      </c>
      <c r="K31" s="10" t="inlineStr"/>
    </row>
    <row r="32" ht="22" customHeight="1">
      <c r="B32" s="14" t="n">
        <v>27</v>
      </c>
      <c r="C32" s="15" t="inlineStr"/>
      <c r="D32" s="16" t="inlineStr"/>
      <c r="E32" s="16" t="inlineStr"/>
      <c r="F32" s="16" t="inlineStr">
        <is>
          <t>Student</t>
        </is>
      </c>
      <c r="G32" s="15" t="inlineStr">
        <is>
          <t>Ear / Throat Pain</t>
        </is>
      </c>
      <c r="H32" s="15" t="inlineStr"/>
      <c r="I32" s="15" t="inlineStr"/>
      <c r="J32" s="16" t="inlineStr">
        <is>
          <t>N</t>
        </is>
      </c>
      <c r="K32" s="16" t="inlineStr"/>
    </row>
    <row r="33" ht="22" customHeight="1">
      <c r="B33" s="8" t="n">
        <v>28</v>
      </c>
      <c r="C33" s="9" t="inlineStr"/>
      <c r="D33" s="10" t="inlineStr"/>
      <c r="E33" s="10" t="inlineStr"/>
      <c r="F33" s="10" t="inlineStr">
        <is>
          <t>Staff</t>
        </is>
      </c>
      <c r="G33" s="9" t="inlineStr">
        <is>
          <t>Skin / Allergy</t>
        </is>
      </c>
      <c r="H33" s="9" t="inlineStr"/>
      <c r="I33" s="9" t="inlineStr"/>
      <c r="J33" s="10" t="inlineStr">
        <is>
          <t>N</t>
        </is>
      </c>
      <c r="K33" s="10" t="inlineStr"/>
    </row>
    <row r="34" ht="22" customHeight="1">
      <c r="B34" s="14" t="n">
        <v>29</v>
      </c>
      <c r="C34" s="15" t="inlineStr"/>
      <c r="D34" s="16" t="inlineStr"/>
      <c r="E34" s="16" t="inlineStr"/>
      <c r="F34" s="16" t="inlineStr">
        <is>
          <t>Student</t>
        </is>
      </c>
      <c r="G34" s="15" t="inlineStr">
        <is>
          <t>Dental Pain</t>
        </is>
      </c>
      <c r="H34" s="15" t="inlineStr"/>
      <c r="I34" s="15" t="inlineStr"/>
      <c r="J34" s="16" t="inlineStr">
        <is>
          <t>N</t>
        </is>
      </c>
      <c r="K34" s="16" t="inlineStr"/>
    </row>
    <row r="35" ht="22" customHeight="1">
      <c r="B35" s="8" t="n">
        <v>30</v>
      </c>
      <c r="C35" s="9" t="inlineStr"/>
      <c r="D35" s="10" t="inlineStr"/>
      <c r="E35" s="10" t="inlineStr"/>
      <c r="F35" s="10" t="inlineStr">
        <is>
          <t>Student</t>
        </is>
      </c>
      <c r="G35" s="9" t="inlineStr">
        <is>
          <t>Injury / Wound</t>
        </is>
      </c>
      <c r="H35" s="9" t="inlineStr"/>
      <c r="I35" s="9" t="inlineStr"/>
      <c r="J35" s="10" t="inlineStr">
        <is>
          <t>N</t>
        </is>
      </c>
      <c r="K35" s="10" t="inlineStr"/>
    </row>
    <row r="36" ht="22" customHeight="1"/>
    <row r="37" ht="24" customHeight="1">
      <c r="B37" s="35" t="inlineStr">
        <is>
          <t>DAILY OPD SUMMARY</t>
        </is>
      </c>
    </row>
    <row r="38" ht="22" customHeight="1">
      <c r="B38" s="40" t="inlineStr">
        <is>
          <t>Total Patients Today</t>
        </is>
      </c>
      <c r="F38" s="37">
        <f>COUNTA(B6:B35)</f>
        <v/>
      </c>
    </row>
    <row r="39" ht="22" customHeight="1">
      <c r="B39" s="26" t="inlineStr">
        <is>
          <t>Students</t>
        </is>
      </c>
      <c r="F39" s="38">
        <f>COUNTIF(F6:F35,"Student")</f>
        <v/>
      </c>
    </row>
    <row r="40" ht="22" customHeight="1">
      <c r="B40" s="40" t="inlineStr">
        <is>
          <t>Staff</t>
        </is>
      </c>
      <c r="F40" s="37">
        <f>COUNTIF(F6:F35,"Staff")</f>
        <v/>
      </c>
    </row>
    <row r="41" ht="22" customHeight="1">
      <c r="B41" s="26" t="inlineStr">
        <is>
          <t>Referred to Hospital</t>
        </is>
      </c>
      <c r="F41" s="38">
        <f>COUNTIF(J6:J35,"Y")</f>
        <v/>
      </c>
    </row>
    <row r="42">
      <c r="B42" s="40" t="inlineStr">
        <is>
          <t>Require Follow-up</t>
        </is>
      </c>
      <c r="F42" s="37">
        <f>COUNTIF(K6:K35,"&lt;&gt;"&amp;"")</f>
        <v/>
      </c>
    </row>
    <row r="43">
      <c r="B43" s="26" t="inlineStr">
        <is>
          <t>Emergency Cases</t>
        </is>
      </c>
      <c r="F43" s="38" t="inlineStr"/>
    </row>
  </sheetData>
  <mergeCells count="16">
    <mergeCell ref="B40:E40"/>
    <mergeCell ref="B41:E41"/>
    <mergeCell ref="F38:K38"/>
    <mergeCell ref="B4:K4"/>
    <mergeCell ref="B43:E43"/>
    <mergeCell ref="F42:K42"/>
    <mergeCell ref="B38:E38"/>
    <mergeCell ref="F40:K40"/>
    <mergeCell ref="F41:K41"/>
    <mergeCell ref="B39:E39"/>
    <mergeCell ref="F43:K43"/>
    <mergeCell ref="B2:K2"/>
    <mergeCell ref="F39:K39"/>
    <mergeCell ref="B42:E42"/>
    <mergeCell ref="B3:K3"/>
    <mergeCell ref="B37:K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2" t="inlineStr">
        <is>
          <t>MCC-11: OPD PATIENT CASE SHEET / CONSULTATION FORM</t>
        </is>
      </c>
    </row>
    <row r="3" ht="18" customHeight="1">
      <c r="B3" s="39" t="inlineStr">
        <is>
          <t>CONFIDENTIAL — Medical record protected under doctor-patient privilege. Not to be shared without patient written consent.</t>
        </is>
      </c>
    </row>
    <row r="4" ht="22" customHeight="1">
      <c r="B4" s="13" t="inlineStr">
        <is>
          <t>Legal Framework: Clinical Establishments Act 2010 | MCI / NMC Regulations | Drugs &amp; Cosmetics Act 1940 | POCSO Act (for minors) | Mental Healthcare Act 2017 | Personal Data Protection norms</t>
        </is>
      </c>
    </row>
    <row r="5" ht="25" customHeight="1">
      <c r="B5" s="2" t="inlineStr">
        <is>
          <t>Case No.: MCC/OPD/______/______   Date: _______   Time: _______   Consulting Doctor: ___________________   Token No.: _______</t>
        </is>
      </c>
    </row>
    <row r="6" ht="24" customHeight="1">
      <c r="B6" s="19" t="inlineStr">
        <is>
          <t>SECTION A — PATIENT DETAILS</t>
        </is>
      </c>
    </row>
    <row r="7" ht="26" customHeight="1">
      <c r="B7" s="41" t="inlineStr">
        <is>
          <t>Patient Name:</t>
        </is>
      </c>
      <c r="C7" s="9" t="n"/>
    </row>
    <row r="8" ht="26" customHeight="1">
      <c r="B8" s="41" t="inlineStr">
        <is>
          <t>MRN / Roll No.:</t>
        </is>
      </c>
      <c r="C8" s="9" t="n"/>
    </row>
    <row r="9" ht="26" customHeight="1">
      <c r="B9" s="41" t="inlineStr">
        <is>
          <t>Age:</t>
        </is>
      </c>
      <c r="C9" s="9" t="n"/>
    </row>
    <row r="10" ht="26" customHeight="1">
      <c r="B10" s="41" t="inlineStr">
        <is>
          <t>Gender:</t>
        </is>
      </c>
      <c r="C10" s="42" t="inlineStr">
        <is>
          <t>[ ] Male  [ ] Female  [ ] Other</t>
        </is>
      </c>
    </row>
    <row r="11" ht="26" customHeight="1">
      <c r="B11" s="41" t="inlineStr">
        <is>
          <t>Category:</t>
        </is>
      </c>
      <c r="C11" s="42" t="inlineStr">
        <is>
          <t>[ ] Student  [ ] Faculty  [ ] Staff  [ ] Family Member</t>
        </is>
      </c>
    </row>
    <row r="12" ht="26" customHeight="1">
      <c r="B12" s="41" t="inlineStr">
        <is>
          <t>Programme / Department:</t>
        </is>
      </c>
      <c r="C12" s="9" t="n"/>
    </row>
    <row r="13" ht="26" customHeight="1">
      <c r="B13" s="41" t="inlineStr">
        <is>
          <t>Contact Number:</t>
        </is>
      </c>
      <c r="C13" s="9" t="n"/>
    </row>
    <row r="14" ht="26" customHeight="1">
      <c r="B14" s="41" t="inlineStr">
        <is>
          <t>Blood Group:</t>
        </is>
      </c>
      <c r="C14" s="9" t="n"/>
    </row>
    <row r="15" ht="26" customHeight="1">
      <c r="B15" s="41" t="inlineStr">
        <is>
          <t>Known Allergies:</t>
        </is>
      </c>
      <c r="C15" s="9" t="n"/>
    </row>
    <row r="16" ht="26" customHeight="1">
      <c r="B16" s="41" t="inlineStr">
        <is>
          <t>Chronic Conditions / Ongoing Medication:</t>
        </is>
      </c>
      <c r="C16" s="9" t="n"/>
    </row>
    <row r="17" ht="28" customHeight="1"/>
    <row r="18" ht="24" customHeight="1">
      <c r="B18" s="43" t="inlineStr">
        <is>
          <t>SECTION B — CLINICAL ASSESSMENT</t>
        </is>
      </c>
    </row>
    <row r="19" ht="26" customHeight="1">
      <c r="B19" s="44" t="inlineStr">
        <is>
          <t>Chief Complaint (in patient's words):</t>
        </is>
      </c>
      <c r="C19" s="9" t="n"/>
    </row>
    <row r="20" ht="26" customHeight="1">
      <c r="B20" s="44" t="inlineStr">
        <is>
          <t>Duration of Complaint:</t>
        </is>
      </c>
      <c r="C20" s="42" t="inlineStr">
        <is>
          <t>[ ] &lt; 1 day  [ ] 1–3 days  [ ] 4–7 days  [ ] &gt; 1 week  [ ] Chronic</t>
        </is>
      </c>
    </row>
    <row r="21" ht="26" customHeight="1">
      <c r="B21" s="44" t="inlineStr">
        <is>
          <t>Temperature (°F):</t>
        </is>
      </c>
      <c r="C21" s="9" t="n"/>
    </row>
    <row r="22" ht="26" customHeight="1">
      <c r="B22" s="44" t="inlineStr">
        <is>
          <t>Pulse Rate (bpm):</t>
        </is>
      </c>
      <c r="C22" s="9" t="n"/>
    </row>
    <row r="23" ht="26" customHeight="1">
      <c r="B23" s="44" t="inlineStr">
        <is>
          <t>Blood Pressure (mmHg):</t>
        </is>
      </c>
      <c r="C23" s="9" t="n"/>
    </row>
    <row r="24" ht="26" customHeight="1">
      <c r="B24" s="44" t="inlineStr">
        <is>
          <t>Respiratory Rate (/min):</t>
        </is>
      </c>
      <c r="C24" s="9" t="n"/>
    </row>
    <row r="25" ht="26" customHeight="1">
      <c r="B25" s="44" t="inlineStr">
        <is>
          <t>SpO2 (%):</t>
        </is>
      </c>
      <c r="C25" s="9" t="n"/>
    </row>
    <row r="26" ht="26" customHeight="1">
      <c r="B26" s="44" t="inlineStr">
        <is>
          <t>Weight (kg):</t>
        </is>
      </c>
      <c r="C26" s="9" t="n"/>
    </row>
    <row r="27" ht="26" customHeight="1">
      <c r="B27" s="44" t="inlineStr">
        <is>
          <t>BMI:</t>
        </is>
      </c>
      <c r="C27" s="9" t="n"/>
    </row>
    <row r="28" ht="28" customHeight="1"/>
    <row r="29" ht="24" customHeight="1">
      <c r="B29" s="19" t="inlineStr">
        <is>
          <t>SECTION C — CLINICAL FINDINGS &amp; DIAGNOSIS</t>
        </is>
      </c>
    </row>
    <row r="30" ht="30" customHeight="1">
      <c r="B30" s="41" t="inlineStr">
        <is>
          <t>Examination Findings:</t>
        </is>
      </c>
      <c r="C30" s="9" t="n"/>
    </row>
    <row r="31" ht="30" customHeight="1">
      <c r="B31" s="41" t="inlineStr">
        <is>
          <t>Provisional Diagnosis:</t>
        </is>
      </c>
      <c r="C31" s="9" t="n"/>
    </row>
    <row r="32" ht="30" customHeight="1">
      <c r="B32" s="41" t="inlineStr">
        <is>
          <t>ICD-10 Code (if known):</t>
        </is>
      </c>
      <c r="C32" s="9" t="n"/>
    </row>
    <row r="33" ht="30" customHeight="1">
      <c r="B33" s="41" t="inlineStr">
        <is>
          <t>Investigations Advised:</t>
        </is>
      </c>
      <c r="C33" s="42" t="inlineStr">
        <is>
          <t>[ ] CBC  [ ] Blood Sugar  [ ] Urine RE  [ ] ECG  [ ] X-Ray  [ ] Other: _______</t>
        </is>
      </c>
    </row>
    <row r="34" ht="30" customHeight="1">
      <c r="B34" s="41" t="inlineStr">
        <is>
          <t>Investigation Results (if done):</t>
        </is>
      </c>
      <c r="C34" s="9" t="n"/>
    </row>
    <row r="35" ht="28" customHeight="1"/>
    <row r="36" ht="24" customHeight="1">
      <c r="B36" s="45" t="inlineStr">
        <is>
          <t>SECTION D — TREATMENT &amp; PRESCRIPTION</t>
        </is>
      </c>
    </row>
    <row r="37" ht="28" customHeight="1">
      <c r="B37" s="46" t="inlineStr">
        <is>
          <t>Medicine Name</t>
        </is>
      </c>
      <c r="C37" s="46" t="inlineStr">
        <is>
          <t>Dose</t>
        </is>
      </c>
      <c r="D37" s="46" t="inlineStr">
        <is>
          <t>Frequency</t>
        </is>
      </c>
      <c r="E37" s="46" t="inlineStr">
        <is>
          <t>Duration</t>
        </is>
      </c>
    </row>
    <row r="38" ht="28" customHeight="1">
      <c r="B38" s="47" t="inlineStr"/>
      <c r="C38" s="48" t="inlineStr"/>
      <c r="D38" s="48" t="inlineStr"/>
      <c r="E38" s="48" t="inlineStr"/>
    </row>
    <row r="39" ht="28" customHeight="1">
      <c r="B39" s="9" t="inlineStr"/>
      <c r="C39" s="10" t="inlineStr"/>
      <c r="D39" s="10" t="inlineStr"/>
      <c r="E39" s="10" t="inlineStr"/>
    </row>
    <row r="40" ht="28" customHeight="1">
      <c r="B40" s="47" t="inlineStr"/>
      <c r="C40" s="48" t="inlineStr"/>
      <c r="D40" s="48" t="inlineStr"/>
      <c r="E40" s="48" t="inlineStr"/>
    </row>
    <row r="41" ht="28" customHeight="1">
      <c r="B41" s="9" t="inlineStr"/>
      <c r="C41" s="10" t="inlineStr"/>
      <c r="D41" s="10" t="inlineStr"/>
      <c r="E41" s="10" t="inlineStr"/>
    </row>
    <row r="42" ht="28" customHeight="1">
      <c r="B42" s="47" t="inlineStr"/>
      <c r="C42" s="48" t="inlineStr"/>
      <c r="D42" s="48" t="inlineStr"/>
      <c r="E42" s="48" t="inlineStr"/>
    </row>
    <row r="43" ht="28" customHeight="1">
      <c r="B43" s="9" t="inlineStr"/>
      <c r="C43" s="10" t="inlineStr"/>
      <c r="D43" s="10" t="inlineStr"/>
      <c r="E43" s="10" t="inlineStr"/>
    </row>
    <row r="44" ht="28" customHeight="1"/>
    <row r="45" ht="24" customHeight="1">
      <c r="B45" s="49" t="inlineStr">
        <is>
          <t>SECTION E — ADVICE, REFERRAL &amp; FOLLOW-UP</t>
        </is>
      </c>
    </row>
    <row r="46" ht="28" customHeight="1">
      <c r="B46" s="50" t="inlineStr">
        <is>
          <t>General Advice / Instructions:</t>
        </is>
      </c>
      <c r="C46" s="9" t="n"/>
    </row>
    <row r="47" ht="28" customHeight="1">
      <c r="B47" s="50" t="inlineStr">
        <is>
          <t>Rest Advised:</t>
        </is>
      </c>
      <c r="C47" s="42" t="inlineStr">
        <is>
          <t>[ ] Yes — Days: _______   [ ] No</t>
        </is>
      </c>
    </row>
    <row r="48" ht="28" customHeight="1">
      <c r="B48" s="50" t="inlineStr">
        <is>
          <t>Referred to Hospital:</t>
        </is>
      </c>
      <c r="C48" s="42" t="inlineStr">
        <is>
          <t>[ ] Yes — Hospital: _______   Reason: _______   [ ] No</t>
        </is>
      </c>
    </row>
    <row r="49" ht="28" customHeight="1">
      <c r="B49" s="50" t="inlineStr">
        <is>
          <t>Follow-up Required:</t>
        </is>
      </c>
      <c r="C49" s="42" t="inlineStr">
        <is>
          <t>[ ] Yes — Date: _______   [ ] No follow-up needed</t>
        </is>
      </c>
    </row>
    <row r="50" ht="28" customHeight="1">
      <c r="B50" s="50" t="inlineStr">
        <is>
          <t>Fitness Certificate Issued:</t>
        </is>
      </c>
      <c r="C50" s="42" t="inlineStr">
        <is>
          <t>[ ] Yes   [ ] No  (for sports / exams / duty)</t>
        </is>
      </c>
    </row>
    <row r="51" ht="28" customHeight="1"/>
    <row r="52">
      <c r="B52" s="30" t="inlineStr">
        <is>
          <t>Doctor's Signature &amp; Stamp: ___________________    Date: ___________________    Patient Signature: ___________________</t>
        </is>
      </c>
    </row>
  </sheetData>
  <mergeCells count="39">
    <mergeCell ref="C16:E16"/>
    <mergeCell ref="C50:E50"/>
    <mergeCell ref="C31:E31"/>
    <mergeCell ref="C47:E47"/>
    <mergeCell ref="B6:E6"/>
    <mergeCell ref="C22:E22"/>
    <mergeCell ref="C9:E9"/>
    <mergeCell ref="B5:E5"/>
    <mergeCell ref="C21:E21"/>
    <mergeCell ref="C12:E12"/>
    <mergeCell ref="B36:E36"/>
    <mergeCell ref="C46:E46"/>
    <mergeCell ref="B45:E45"/>
    <mergeCell ref="C11:E11"/>
    <mergeCell ref="C27:E27"/>
    <mergeCell ref="B4:E4"/>
    <mergeCell ref="C23:E23"/>
    <mergeCell ref="C8:E8"/>
    <mergeCell ref="C48:E48"/>
    <mergeCell ref="B3:E3"/>
    <mergeCell ref="C7:E7"/>
    <mergeCell ref="C32:E32"/>
    <mergeCell ref="B18:E18"/>
    <mergeCell ref="C13:E13"/>
    <mergeCell ref="C19:E19"/>
    <mergeCell ref="B52:E52"/>
    <mergeCell ref="C49:E49"/>
    <mergeCell ref="B2:E2"/>
    <mergeCell ref="C30:E30"/>
    <mergeCell ref="C34:E34"/>
    <mergeCell ref="C15:E15"/>
    <mergeCell ref="C24:E24"/>
    <mergeCell ref="C33:E33"/>
    <mergeCell ref="C14:E14"/>
    <mergeCell ref="B29:E29"/>
    <mergeCell ref="C26:E26"/>
    <mergeCell ref="C20:E20"/>
    <mergeCell ref="C25:E25"/>
    <mergeCell ref="C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P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" customWidth="1" min="17" max="17"/>
  </cols>
  <sheetData>
    <row r="1" ht="10" customHeight="1"/>
    <row r="2" ht="48" customHeight="1">
      <c r="B2" s="12" t="inlineStr">
        <is>
          <t>MCC-14: OPD MONTHLY STATISTICS — DIAGNOSIS-WISE</t>
        </is>
      </c>
    </row>
    <row r="3" ht="20" customHeight="1">
      <c r="B3" s="2" t="inlineStr">
        <is>
          <t>A.Y.: _______  Medical Officer: ___________________</t>
        </is>
      </c>
    </row>
    <row r="4" ht="25" customHeight="1">
      <c r="B4" s="20" t="inlineStr">
        <is>
          <t>Diagnosis Category</t>
        </is>
      </c>
      <c r="C4" s="20" t="inlineStr">
        <is>
          <t>Apr</t>
        </is>
      </c>
      <c r="D4" s="20" t="inlineStr">
        <is>
          <t>May</t>
        </is>
      </c>
      <c r="E4" s="20" t="inlineStr">
        <is>
          <t>Jun</t>
        </is>
      </c>
      <c r="F4" s="20" t="inlineStr">
        <is>
          <t>Jul</t>
        </is>
      </c>
      <c r="G4" s="20" t="inlineStr">
        <is>
          <t>Aug</t>
        </is>
      </c>
      <c r="H4" s="20" t="inlineStr">
        <is>
          <t>Sep</t>
        </is>
      </c>
      <c r="I4" s="20" t="inlineStr">
        <is>
          <t>Oct</t>
        </is>
      </c>
      <c r="J4" s="20" t="inlineStr">
        <is>
          <t>Nov</t>
        </is>
      </c>
      <c r="K4" s="20" t="inlineStr">
        <is>
          <t>Dec</t>
        </is>
      </c>
      <c r="L4" s="20" t="inlineStr">
        <is>
          <t>Jan</t>
        </is>
      </c>
      <c r="M4" s="20" t="inlineStr">
        <is>
          <t>Feb</t>
        </is>
      </c>
      <c r="N4" s="20" t="inlineStr">
        <is>
          <t>Mar</t>
        </is>
      </c>
      <c r="O4" s="20" t="inlineStr">
        <is>
          <t>TOTAL</t>
        </is>
      </c>
    </row>
    <row r="5" ht="22" customHeight="1">
      <c r="B5" s="51" t="inlineStr">
        <is>
          <t>Fever / Viral Illness / Flu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52">
        <f>IFERROR(SUM(D5:N5),"")</f>
        <v/>
      </c>
    </row>
    <row r="6" ht="22" customHeight="1">
      <c r="B6" s="53" t="inlineStr">
        <is>
          <t>Upper Respiratory Tract Infection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52">
        <f>IFERROR(SUM(D6:N6),"")</f>
        <v/>
      </c>
    </row>
    <row r="7" ht="22" customHeight="1">
      <c r="B7" s="51" t="inlineStr">
        <is>
          <t>Gastroenteritis / Stomach Ailments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52">
        <f>IFERROR(SUM(D7:N7),"")</f>
        <v/>
      </c>
    </row>
    <row r="8" ht="22" customHeight="1">
      <c r="B8" s="53" t="inlineStr">
        <is>
          <t>Headache / Migraine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52">
        <f>IFERROR(SUM(D8:N8),"")</f>
        <v/>
      </c>
    </row>
    <row r="9" ht="22" customHeight="1">
      <c r="B9" s="51" t="inlineStr">
        <is>
          <t>Body Pain / Myalgia / Arthralgia</t>
        </is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52">
        <f>IFERROR(SUM(D9:N9),"")</f>
        <v/>
      </c>
    </row>
    <row r="10" ht="22" customHeight="1">
      <c r="B10" s="53" t="inlineStr">
        <is>
          <t>Skin Conditions / Allergy / Dermatitis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52">
        <f>IFERROR(SUM(D10:N10),"")</f>
        <v/>
      </c>
    </row>
    <row r="11" ht="22" customHeight="1">
      <c r="B11" s="51" t="inlineStr">
        <is>
          <t>Eye Complaints (Conjunctivitis etc.)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52">
        <f>IFERROR(SUM(D11:N11),"")</f>
        <v/>
      </c>
    </row>
    <row r="12" ht="22" customHeight="1">
      <c r="B12" s="53" t="inlineStr">
        <is>
          <t>Ear / Nose / Throat (ENT)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52">
        <f>IFERROR(SUM(D12:N12),"")</f>
        <v/>
      </c>
    </row>
    <row r="13" ht="22" customHeight="1">
      <c r="B13" s="51" t="inlineStr">
        <is>
          <t>Dental / Oral Health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52">
        <f>IFERROR(SUM(D13:N13),"")</f>
        <v/>
      </c>
    </row>
    <row r="14" ht="22" customHeight="1">
      <c r="B14" s="53" t="inlineStr">
        <is>
          <t>Injuries / Wounds / Fractures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52">
        <f>IFERROR(SUM(D14:N14),"")</f>
        <v/>
      </c>
    </row>
    <row r="15" ht="22" customHeight="1">
      <c r="B15" s="51" t="inlineStr">
        <is>
          <t>Menstrual Disorders / Gynaecological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52">
        <f>IFERROR(SUM(D15:N15),"")</f>
        <v/>
      </c>
    </row>
    <row r="16" ht="22" customHeight="1">
      <c r="B16" s="53" t="inlineStr">
        <is>
          <t>Urinary Tract Infection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52">
        <f>IFERROR(SUM(D16:N16),"")</f>
        <v/>
      </c>
    </row>
    <row r="17" ht="22" customHeight="1">
      <c r="B17" s="51" t="inlineStr">
        <is>
          <t>Hypertension / Cardiovascular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52">
        <f>IFERROR(SUM(D17:N17),"")</f>
        <v/>
      </c>
    </row>
    <row r="18" ht="22" customHeight="1">
      <c r="B18" s="53" t="inlineStr">
        <is>
          <t>Diabetes / Metabolic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52">
        <f>IFERROR(SUM(D18:N18),"")</f>
        <v/>
      </c>
    </row>
    <row r="19" ht="22" customHeight="1">
      <c r="B19" s="51" t="inlineStr">
        <is>
          <t>Mental Health / Anxiety / Depression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52">
        <f>IFERROR(SUM(D19:N19),"")</f>
        <v/>
      </c>
    </row>
    <row r="20" ht="22" customHeight="1">
      <c r="B20" s="53" t="inlineStr">
        <is>
          <t>Anaemia / Nutritional Deficiency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52">
        <f>IFERROR(SUM(D20:N20),"")</f>
        <v/>
      </c>
    </row>
    <row r="21" ht="22" customHeight="1">
      <c r="B21" s="51" t="inlineStr">
        <is>
          <t>Asthma / Respiratory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52">
        <f>IFERROR(SUM(D21:N21),"")</f>
        <v/>
      </c>
    </row>
    <row r="22" ht="22" customHeight="1">
      <c r="B22" s="53" t="inlineStr">
        <is>
          <t>Gastrointestinal / Acidity / Ulcer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52">
        <f>IFERROR(SUM(D22:N22),"")</f>
        <v/>
      </c>
    </row>
    <row r="23" ht="22" customHeight="1">
      <c r="B23" s="51" t="inlineStr">
        <is>
          <t>General Check-up / Preventive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52">
        <f>IFERROR(SUM(D23:N23),"")</f>
        <v/>
      </c>
    </row>
    <row r="24" ht="22" customHeight="1">
      <c r="B24" s="53" t="inlineStr">
        <is>
          <t>Other / Unclassified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52">
        <f>IFERROR(SUM(D24:N24),"")</f>
        <v/>
      </c>
    </row>
    <row r="25" ht="22" customHeight="1"/>
    <row r="26" ht="26" customHeight="1">
      <c r="B26" s="54" t="inlineStr">
        <is>
          <t>MONTHLY TOTAL</t>
        </is>
      </c>
      <c r="C26" s="52">
        <f>IFERROR(SUM(C5:C24),"")</f>
        <v/>
      </c>
      <c r="D26" s="52">
        <f>IFERROR(SUM(D5:D24),"")</f>
        <v/>
      </c>
      <c r="E26" s="52">
        <f>IFERROR(SUM(E5:E24),"")</f>
        <v/>
      </c>
      <c r="F26" s="52">
        <f>IFERROR(SUM(F5:F24),"")</f>
        <v/>
      </c>
      <c r="G26" s="52">
        <f>IFERROR(SUM(G5:G24),"")</f>
        <v/>
      </c>
      <c r="H26" s="52">
        <f>IFERROR(SUM(H5:H24),"")</f>
        <v/>
      </c>
      <c r="I26" s="52">
        <f>IFERROR(SUM(I5:I24),"")</f>
        <v/>
      </c>
      <c r="J26" s="52">
        <f>IFERROR(SUM(J5:J24),"")</f>
        <v/>
      </c>
      <c r="K26" s="52">
        <f>IFERROR(SUM(K5:K24),"")</f>
        <v/>
      </c>
      <c r="L26" s="52">
        <f>IFERROR(SUM(L5:L24),"")</f>
        <v/>
      </c>
      <c r="M26" s="52">
        <f>IFERROR(SUM(M5:M24),"")</f>
        <v/>
      </c>
      <c r="N26" s="52">
        <f>IFERROR(SUM(N5:N24),"")</f>
        <v/>
      </c>
      <c r="O26" s="52">
        <f>IFERROR(SUM(O5:O24),"")</f>
        <v/>
      </c>
    </row>
    <row r="27" ht="22" customHeight="1"/>
    <row r="28" ht="24" customHeight="1">
      <c r="B28" s="35" t="inlineStr">
        <is>
          <t>ANNUAL OPD SUMMARY</t>
        </is>
      </c>
    </row>
    <row r="29" ht="22" customHeight="1">
      <c r="B29" s="40" t="inlineStr">
        <is>
          <t>Total OPD Visits (Annual)</t>
        </is>
      </c>
      <c r="H29" s="37">
        <f>IFERROR(O26,"")</f>
        <v/>
      </c>
    </row>
    <row r="30" ht="22" customHeight="1">
      <c r="B30" s="26" t="inlineStr">
        <is>
          <t>Students vs. Staff Ratio</t>
        </is>
      </c>
      <c r="H30" s="38" t="inlineStr"/>
    </row>
    <row r="31" ht="22" customHeight="1">
      <c r="B31" s="40" t="inlineStr">
        <is>
          <t>Most Common Diagnosis</t>
        </is>
      </c>
      <c r="H31" s="37" t="inlineStr"/>
    </row>
    <row r="32" ht="22" customHeight="1">
      <c r="B32" s="26" t="inlineStr">
        <is>
          <t>Peak Month for OPD Visits</t>
        </is>
      </c>
      <c r="H32" s="38" t="inlineStr"/>
    </row>
    <row r="33" ht="22" customHeight="1">
      <c r="B33" s="40" t="inlineStr">
        <is>
          <t>Total Referrals to Hospital</t>
        </is>
      </c>
      <c r="H33" s="37" t="inlineStr"/>
    </row>
    <row r="34" ht="22" customHeight="1">
      <c r="B34" s="26" t="inlineStr">
        <is>
          <t>Average Daily OPD (Annual avg)</t>
        </is>
      </c>
      <c r="H34" s="38">
        <f>IFERROR(ROUND(O26/260,1),"")</f>
        <v/>
      </c>
    </row>
    <row r="35" ht="22" customHeight="1"/>
    <row r="36" ht="22" customHeight="1"/>
    <row r="37" ht="22" customHeight="1"/>
  </sheetData>
  <mergeCells count="15">
    <mergeCell ref="B34:G34"/>
    <mergeCell ref="H34:O34"/>
    <mergeCell ref="B2:P2"/>
    <mergeCell ref="B28:P28"/>
    <mergeCell ref="H29:O29"/>
    <mergeCell ref="B3:P3"/>
    <mergeCell ref="B31:G31"/>
    <mergeCell ref="H33:O33"/>
    <mergeCell ref="B32:G32"/>
    <mergeCell ref="H32:O32"/>
    <mergeCell ref="B30:G30"/>
    <mergeCell ref="B29:G29"/>
    <mergeCell ref="B33:G33"/>
    <mergeCell ref="H30:O30"/>
    <mergeCell ref="H31:O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MCC-15: MEDICINE INVENTORY &amp; STOCK REGISTER</t>
        </is>
      </c>
    </row>
    <row r="3" ht="20" customHeight="1">
      <c r="B3" s="17" t="inlineStr">
        <is>
          <t>Monthly physical verification of all medicines mandatory. Controlled drugs (Schedule H, H1, X) require separate register and double-lock storage. Expiry check: remove medicines expiring within 30 days from active stock.</t>
        </is>
      </c>
    </row>
    <row r="4" ht="25" customHeight="1">
      <c r="B4" s="20" t="inlineStr">
        <is>
          <t>Item
Code</t>
        </is>
      </c>
      <c r="C4" s="20" t="inlineStr">
        <is>
          <t>Medicine Name /
Composition</t>
        </is>
      </c>
      <c r="D4" s="20" t="inlineStr">
        <is>
          <t>Category /
Schedule</t>
        </is>
      </c>
      <c r="E4" s="20" t="inlineStr">
        <is>
          <t>Unit</t>
        </is>
      </c>
      <c r="F4" s="20" t="inlineStr">
        <is>
          <t>Opening
Stock</t>
        </is>
      </c>
      <c r="G4" s="20" t="inlineStr">
        <is>
          <t>Received
(Month)</t>
        </is>
      </c>
      <c r="H4" s="20" t="inlineStr">
        <is>
          <t>Issued
(Month)</t>
        </is>
      </c>
      <c r="I4" s="20" t="inlineStr">
        <is>
          <t>Closing
Stock</t>
        </is>
      </c>
      <c r="J4" s="20" t="inlineStr">
        <is>
          <t>Expiry
Date</t>
        </is>
      </c>
      <c r="K4" s="20" t="inlineStr">
        <is>
          <t>Status</t>
        </is>
      </c>
    </row>
    <row r="5" ht="22" customHeight="1">
      <c r="B5" s="14" t="inlineStr">
        <is>
          <t>MED/0001</t>
        </is>
      </c>
      <c r="C5" s="15" t="inlineStr"/>
      <c r="D5" s="16" t="inlineStr">
        <is>
          <t>Antipyretic / Analgesic</t>
        </is>
      </c>
      <c r="E5" s="16" t="inlineStr">
        <is>
          <t>Tabs</t>
        </is>
      </c>
      <c r="F5" s="16" t="inlineStr"/>
      <c r="G5" s="16" t="inlineStr"/>
      <c r="H5" s="16" t="inlineStr"/>
      <c r="I5" s="55">
        <f>IFERROR(F5+G5-H5,"")</f>
        <v/>
      </c>
      <c r="J5" s="16" t="inlineStr"/>
      <c r="K5" s="16">
        <f>IFERROR(IF(I5&lt;=0,"OUT OF STOCK",IF(J5&lt;TODAY(),"EXPIRED — Remove",IF(J5-TODAY()&lt;=30,"Expiring Soon","In Stock"))),"")</f>
        <v/>
      </c>
    </row>
    <row r="6" ht="22" customHeight="1">
      <c r="B6" s="8" t="inlineStr">
        <is>
          <t>MED/0002</t>
        </is>
      </c>
      <c r="C6" s="9" t="inlineStr"/>
      <c r="D6" s="10" t="inlineStr">
        <is>
          <t>Antibiotic</t>
        </is>
      </c>
      <c r="E6" s="10" t="inlineStr">
        <is>
          <t>Tabs</t>
        </is>
      </c>
      <c r="F6" s="10" t="inlineStr"/>
      <c r="G6" s="10" t="inlineStr"/>
      <c r="H6" s="10" t="inlineStr"/>
      <c r="I6" s="38">
        <f>IFERROR(F6+G6-H6,"")</f>
        <v/>
      </c>
      <c r="J6" s="10" t="inlineStr"/>
      <c r="K6" s="10">
        <f>IFERROR(IF(I6&lt;=0,"OUT OF STOCK",IF(J6&lt;TODAY(),"EXPIRED — Remove",IF(J6-TODAY()&lt;=30,"Expiring Soon","In Stock"))),"")</f>
        <v/>
      </c>
    </row>
    <row r="7" ht="22" customHeight="1">
      <c r="B7" s="14" t="inlineStr">
        <is>
          <t>MED/0003</t>
        </is>
      </c>
      <c r="C7" s="15" t="inlineStr"/>
      <c r="D7" s="16" t="inlineStr">
        <is>
          <t>Antacid / GI</t>
        </is>
      </c>
      <c r="E7" s="16" t="inlineStr">
        <is>
          <t>Tabs</t>
        </is>
      </c>
      <c r="F7" s="16" t="inlineStr"/>
      <c r="G7" s="16" t="inlineStr"/>
      <c r="H7" s="16" t="inlineStr"/>
      <c r="I7" s="55">
        <f>IFERROR(F7+G7-H7,"")</f>
        <v/>
      </c>
      <c r="J7" s="16" t="inlineStr"/>
      <c r="K7" s="16">
        <f>IFERROR(IF(I7&lt;=0,"OUT OF STOCK",IF(J7&lt;TODAY(),"EXPIRED — Remove",IF(J7-TODAY()&lt;=30,"Expiring Soon","In Stock"))),"")</f>
        <v/>
      </c>
    </row>
    <row r="8" ht="22" customHeight="1">
      <c r="B8" s="8" t="inlineStr">
        <is>
          <t>MED/0004</t>
        </is>
      </c>
      <c r="C8" s="9" t="inlineStr"/>
      <c r="D8" s="10" t="inlineStr">
        <is>
          <t>Antihistamine / Allergy</t>
        </is>
      </c>
      <c r="E8" s="10" t="inlineStr">
        <is>
          <t>Tabs</t>
        </is>
      </c>
      <c r="F8" s="10" t="inlineStr"/>
      <c r="G8" s="10" t="inlineStr"/>
      <c r="H8" s="10" t="inlineStr"/>
      <c r="I8" s="38">
        <f>IFERROR(F8+G8-H8,"")</f>
        <v/>
      </c>
      <c r="J8" s="10" t="inlineStr"/>
      <c r="K8" s="10">
        <f>IFERROR(IF(I8&lt;=0,"OUT OF STOCK",IF(J8&lt;TODAY(),"EXPIRED — Remove",IF(J8-TODAY()&lt;=30,"Expiring Soon","In Stock"))),"")</f>
        <v/>
      </c>
    </row>
    <row r="9" ht="22" customHeight="1">
      <c r="B9" s="14" t="inlineStr">
        <is>
          <t>MED/0005</t>
        </is>
      </c>
      <c r="C9" s="15" t="inlineStr"/>
      <c r="D9" s="16" t="inlineStr">
        <is>
          <t>Vitamins / Supplements</t>
        </is>
      </c>
      <c r="E9" s="16" t="inlineStr">
        <is>
          <t>Tabs</t>
        </is>
      </c>
      <c r="F9" s="16" t="inlineStr"/>
      <c r="G9" s="16" t="inlineStr"/>
      <c r="H9" s="16" t="inlineStr"/>
      <c r="I9" s="55">
        <f>IFERROR(F9+G9-H9,"")</f>
        <v/>
      </c>
      <c r="J9" s="16" t="inlineStr"/>
      <c r="K9" s="16">
        <f>IFERROR(IF(I9&lt;=0,"OUT OF STOCK",IF(J9&lt;TODAY(),"EXPIRED — Remove",IF(J9-TODAY()&lt;=30,"Expiring Soon","In Stock"))),"")</f>
        <v/>
      </c>
    </row>
    <row r="10" ht="22" customHeight="1">
      <c r="B10" s="8" t="inlineStr">
        <is>
          <t>MED/0006</t>
        </is>
      </c>
      <c r="C10" s="9" t="inlineStr"/>
      <c r="D10" s="10" t="inlineStr">
        <is>
          <t>Anti-hypertensive</t>
        </is>
      </c>
      <c r="E10" s="10" t="inlineStr">
        <is>
          <t>Tabs</t>
        </is>
      </c>
      <c r="F10" s="10" t="inlineStr"/>
      <c r="G10" s="10" t="inlineStr"/>
      <c r="H10" s="10" t="inlineStr"/>
      <c r="I10" s="38">
        <f>IFERROR(F10+G10-H10,"")</f>
        <v/>
      </c>
      <c r="J10" s="10" t="inlineStr"/>
      <c r="K10" s="10">
        <f>IFERROR(IF(I10&lt;=0,"OUT OF STOCK",IF(J10&lt;TODAY(),"EXPIRED — Remove",IF(J10-TODAY()&lt;=30,"Expiring Soon","In Stock"))),"")</f>
        <v/>
      </c>
    </row>
    <row r="11" ht="22" customHeight="1">
      <c r="B11" s="14" t="inlineStr">
        <is>
          <t>MED/0007</t>
        </is>
      </c>
      <c r="C11" s="15" t="inlineStr"/>
      <c r="D11" s="16" t="inlineStr">
        <is>
          <t>ORS / Rehydration</t>
        </is>
      </c>
      <c r="E11" s="16" t="inlineStr">
        <is>
          <t>Tabs</t>
        </is>
      </c>
      <c r="F11" s="16" t="inlineStr"/>
      <c r="G11" s="16" t="inlineStr"/>
      <c r="H11" s="16" t="inlineStr"/>
      <c r="I11" s="55">
        <f>IFERROR(F11+G11-H11,"")</f>
        <v/>
      </c>
      <c r="J11" s="16" t="inlineStr"/>
      <c r="K11" s="16">
        <f>IFERROR(IF(I11&lt;=0,"OUT OF STOCK",IF(J11&lt;TODAY(),"EXPIRED — Remove",IF(J11-TODAY()&lt;=30,"Expiring Soon","In Stock"))),"")</f>
        <v/>
      </c>
    </row>
    <row r="12" ht="22" customHeight="1">
      <c r="B12" s="8" t="inlineStr">
        <is>
          <t>MED/0008</t>
        </is>
      </c>
      <c r="C12" s="9" t="inlineStr"/>
      <c r="D12" s="10" t="inlineStr">
        <is>
          <t>Topical / Antiseptic</t>
        </is>
      </c>
      <c r="E12" s="10" t="inlineStr">
        <is>
          <t>Tabs</t>
        </is>
      </c>
      <c r="F12" s="10" t="inlineStr"/>
      <c r="G12" s="10" t="inlineStr"/>
      <c r="H12" s="10" t="inlineStr"/>
      <c r="I12" s="38">
        <f>IFERROR(F12+G12-H12,"")</f>
        <v/>
      </c>
      <c r="J12" s="10" t="inlineStr"/>
      <c r="K12" s="10">
        <f>IFERROR(IF(I12&lt;=0,"OUT OF STOCK",IF(J12&lt;TODAY(),"EXPIRED — Remove",IF(J12-TODAY()&lt;=30,"Expiring Soon","In Stock"))),"")</f>
        <v/>
      </c>
    </row>
    <row r="13" ht="22" customHeight="1">
      <c r="B13" s="14" t="inlineStr">
        <is>
          <t>MED/0009</t>
        </is>
      </c>
      <c r="C13" s="15" t="inlineStr"/>
      <c r="D13" s="16" t="inlineStr">
        <is>
          <t>Eye / Ear Drops</t>
        </is>
      </c>
      <c r="E13" s="16" t="inlineStr">
        <is>
          <t>Tabs</t>
        </is>
      </c>
      <c r="F13" s="16" t="inlineStr"/>
      <c r="G13" s="16" t="inlineStr"/>
      <c r="H13" s="16" t="inlineStr"/>
      <c r="I13" s="55">
        <f>IFERROR(F13+G13-H13,"")</f>
        <v/>
      </c>
      <c r="J13" s="16" t="inlineStr"/>
      <c r="K13" s="16">
        <f>IFERROR(IF(I13&lt;=0,"OUT OF STOCK",IF(J13&lt;TODAY(),"EXPIRED — Remove",IF(J13-TODAY()&lt;=30,"Expiring Soon","In Stock"))),"")</f>
        <v/>
      </c>
    </row>
    <row r="14" ht="22" customHeight="1">
      <c r="B14" s="8" t="inlineStr">
        <is>
          <t>MED/0010</t>
        </is>
      </c>
      <c r="C14" s="9" t="inlineStr"/>
      <c r="D14" s="10" t="inlineStr">
        <is>
          <t>Antifungal</t>
        </is>
      </c>
      <c r="E14" s="10" t="inlineStr">
        <is>
          <t>Tabs</t>
        </is>
      </c>
      <c r="F14" s="10" t="inlineStr"/>
      <c r="G14" s="10" t="inlineStr"/>
      <c r="H14" s="10" t="inlineStr"/>
      <c r="I14" s="38">
        <f>IFERROR(F14+G14-H14,"")</f>
        <v/>
      </c>
      <c r="J14" s="10" t="inlineStr"/>
      <c r="K14" s="10">
        <f>IFERROR(IF(I14&lt;=0,"OUT OF STOCK",IF(J14&lt;TODAY(),"EXPIRED — Remove",IF(J14-TODAY()&lt;=30,"Expiring Soon","In Stock"))),"")</f>
        <v/>
      </c>
    </row>
    <row r="15" ht="22" customHeight="1">
      <c r="B15" s="14" t="inlineStr">
        <is>
          <t>MED/0011</t>
        </is>
      </c>
      <c r="C15" s="15" t="inlineStr"/>
      <c r="D15" s="16" t="inlineStr">
        <is>
          <t>Emergency / Injection</t>
        </is>
      </c>
      <c r="E15" s="16" t="inlineStr">
        <is>
          <t>Tabs</t>
        </is>
      </c>
      <c r="F15" s="16" t="inlineStr"/>
      <c r="G15" s="16" t="inlineStr"/>
      <c r="H15" s="16" t="inlineStr"/>
      <c r="I15" s="55">
        <f>IFERROR(F15+G15-H15,"")</f>
        <v/>
      </c>
      <c r="J15" s="16" t="inlineStr"/>
      <c r="K15" s="16">
        <f>IFERROR(IF(I15&lt;=0,"OUT OF STOCK",IF(J15&lt;TODAY(),"EXPIRED — Remove",IF(J15-TODAY()&lt;=30,"Expiring Soon","In Stock"))),"")</f>
        <v/>
      </c>
    </row>
    <row r="16" ht="22" customHeight="1">
      <c r="B16" s="8" t="inlineStr">
        <is>
          <t>MED/0012</t>
        </is>
      </c>
      <c r="C16" s="9" t="inlineStr"/>
      <c r="D16" s="10" t="inlineStr">
        <is>
          <t>Contraceptive / Women's Health</t>
        </is>
      </c>
      <c r="E16" s="10" t="inlineStr">
        <is>
          <t>Tabs</t>
        </is>
      </c>
      <c r="F16" s="10" t="inlineStr"/>
      <c r="G16" s="10" t="inlineStr"/>
      <c r="H16" s="10" t="inlineStr"/>
      <c r="I16" s="38">
        <f>IFERROR(F16+G16-H16,"")</f>
        <v/>
      </c>
      <c r="J16" s="10" t="inlineStr"/>
      <c r="K16" s="10">
        <f>IFERROR(IF(I16&lt;=0,"OUT OF STOCK",IF(J16&lt;TODAY(),"EXPIRED — Remove",IF(J16-TODAY()&lt;=30,"Expiring Soon","In Stock"))),"")</f>
        <v/>
      </c>
    </row>
    <row r="17" ht="22" customHeight="1">
      <c r="B17" s="14" t="inlineStr">
        <is>
          <t>MED/0013</t>
        </is>
      </c>
      <c r="C17" s="15" t="inlineStr"/>
      <c r="D17" s="16" t="inlineStr">
        <is>
          <t>Mental Health (Schedule H)</t>
        </is>
      </c>
      <c r="E17" s="16" t="inlineStr">
        <is>
          <t>Tabs</t>
        </is>
      </c>
      <c r="F17" s="16" t="inlineStr"/>
      <c r="G17" s="16" t="inlineStr"/>
      <c r="H17" s="16" t="inlineStr"/>
      <c r="I17" s="55">
        <f>IFERROR(F17+G17-H17,"")</f>
        <v/>
      </c>
      <c r="J17" s="16" t="inlineStr"/>
      <c r="K17" s="16">
        <f>IFERROR(IF(I17&lt;=0,"OUT OF STOCK",IF(J17&lt;TODAY(),"EXPIRED — Remove",IF(J17-TODAY()&lt;=30,"Expiring Soon","In Stock"))),"")</f>
        <v/>
      </c>
    </row>
    <row r="18" ht="22" customHeight="1">
      <c r="B18" s="8" t="inlineStr">
        <is>
          <t>MED/0014</t>
        </is>
      </c>
      <c r="C18" s="9" t="inlineStr"/>
      <c r="D18" s="10" t="inlineStr">
        <is>
          <t>Controlled Drug (Schedule X)</t>
        </is>
      </c>
      <c r="E18" s="10" t="inlineStr">
        <is>
          <t>Tabs</t>
        </is>
      </c>
      <c r="F18" s="10" t="inlineStr"/>
      <c r="G18" s="10" t="inlineStr"/>
      <c r="H18" s="10" t="inlineStr"/>
      <c r="I18" s="38">
        <f>IFERROR(F18+G18-H18,"")</f>
        <v/>
      </c>
      <c r="J18" s="10" t="inlineStr"/>
      <c r="K18" s="10">
        <f>IFERROR(IF(I18&lt;=0,"OUT OF STOCK",IF(J18&lt;TODAY(),"EXPIRED — Remove",IF(J18-TODAY()&lt;=30,"Expiring Soon","In Stock"))),"")</f>
        <v/>
      </c>
    </row>
    <row r="19" ht="22" customHeight="1">
      <c r="B19" s="14" t="inlineStr">
        <is>
          <t>MED/0015</t>
        </is>
      </c>
      <c r="C19" s="15" t="inlineStr"/>
      <c r="D19" s="16" t="inlineStr">
        <is>
          <t>First Aid Supply</t>
        </is>
      </c>
      <c r="E19" s="16" t="inlineStr">
        <is>
          <t>Tabs</t>
        </is>
      </c>
      <c r="F19" s="16" t="inlineStr"/>
      <c r="G19" s="16" t="inlineStr"/>
      <c r="H19" s="16" t="inlineStr"/>
      <c r="I19" s="55">
        <f>IFERROR(F19+G19-H19,"")</f>
        <v/>
      </c>
      <c r="J19" s="16" t="inlineStr"/>
      <c r="K19" s="16">
        <f>IFERROR(IF(I19&lt;=0,"OUT OF STOCK",IF(J19&lt;TODAY(),"EXPIRED — Remove",IF(J19-TODAY()&lt;=30,"Expiring Soon","In Stock"))),"")</f>
        <v/>
      </c>
    </row>
    <row r="20" ht="22" customHeight="1">
      <c r="B20" s="8" t="inlineStr">
        <is>
          <t>MED/0016</t>
        </is>
      </c>
      <c r="C20" s="9" t="inlineStr"/>
      <c r="D20" s="10" t="inlineStr">
        <is>
          <t>Antipyretic / Analgesic</t>
        </is>
      </c>
      <c r="E20" s="10" t="inlineStr">
        <is>
          <t>Tabs</t>
        </is>
      </c>
      <c r="F20" s="10" t="inlineStr"/>
      <c r="G20" s="10" t="inlineStr"/>
      <c r="H20" s="10" t="inlineStr"/>
      <c r="I20" s="38">
        <f>IFERROR(F20+G20-H20,"")</f>
        <v/>
      </c>
      <c r="J20" s="10" t="inlineStr"/>
      <c r="K20" s="10">
        <f>IFERROR(IF(I20&lt;=0,"OUT OF STOCK",IF(J20&lt;TODAY(),"EXPIRED — Remove",IF(J20-TODAY()&lt;=30,"Expiring Soon","In Stock"))),"")</f>
        <v/>
      </c>
    </row>
    <row r="21" ht="22" customHeight="1">
      <c r="B21" s="14" t="inlineStr">
        <is>
          <t>MED/0017</t>
        </is>
      </c>
      <c r="C21" s="15" t="inlineStr"/>
      <c r="D21" s="16" t="inlineStr">
        <is>
          <t>Antibiotic</t>
        </is>
      </c>
      <c r="E21" s="16" t="inlineStr">
        <is>
          <t>Tabs</t>
        </is>
      </c>
      <c r="F21" s="16" t="inlineStr"/>
      <c r="G21" s="16" t="inlineStr"/>
      <c r="H21" s="16" t="inlineStr"/>
      <c r="I21" s="55">
        <f>IFERROR(F21+G21-H21,"")</f>
        <v/>
      </c>
      <c r="J21" s="16" t="inlineStr"/>
      <c r="K21" s="16">
        <f>IFERROR(IF(I21&lt;=0,"OUT OF STOCK",IF(J21&lt;TODAY(),"EXPIRED — Remove",IF(J21-TODAY()&lt;=30,"Expiring Soon","In Stock"))),"")</f>
        <v/>
      </c>
    </row>
    <row r="22" ht="22" customHeight="1">
      <c r="B22" s="8" t="inlineStr">
        <is>
          <t>MED/0018</t>
        </is>
      </c>
      <c r="C22" s="9" t="inlineStr"/>
      <c r="D22" s="10" t="inlineStr">
        <is>
          <t>Antacid / GI</t>
        </is>
      </c>
      <c r="E22" s="10" t="inlineStr">
        <is>
          <t>Tabs</t>
        </is>
      </c>
      <c r="F22" s="10" t="inlineStr"/>
      <c r="G22" s="10" t="inlineStr"/>
      <c r="H22" s="10" t="inlineStr"/>
      <c r="I22" s="38">
        <f>IFERROR(F22+G22-H22,"")</f>
        <v/>
      </c>
      <c r="J22" s="10" t="inlineStr"/>
      <c r="K22" s="10">
        <f>IFERROR(IF(I22&lt;=0,"OUT OF STOCK",IF(J22&lt;TODAY(),"EXPIRED — Remove",IF(J22-TODAY()&lt;=30,"Expiring Soon","In Stock"))),"")</f>
        <v/>
      </c>
    </row>
    <row r="23" ht="22" customHeight="1">
      <c r="B23" s="14" t="inlineStr">
        <is>
          <t>MED/0019</t>
        </is>
      </c>
      <c r="C23" s="15" t="inlineStr"/>
      <c r="D23" s="16" t="inlineStr">
        <is>
          <t>Antihistamine / Allergy</t>
        </is>
      </c>
      <c r="E23" s="16" t="inlineStr">
        <is>
          <t>Tabs</t>
        </is>
      </c>
      <c r="F23" s="16" t="inlineStr"/>
      <c r="G23" s="16" t="inlineStr"/>
      <c r="H23" s="16" t="inlineStr"/>
      <c r="I23" s="55">
        <f>IFERROR(F23+G23-H23,"")</f>
        <v/>
      </c>
      <c r="J23" s="16" t="inlineStr"/>
      <c r="K23" s="16">
        <f>IFERROR(IF(I23&lt;=0,"OUT OF STOCK",IF(J23&lt;TODAY(),"EXPIRED — Remove",IF(J23-TODAY()&lt;=30,"Expiring Soon","In Stock"))),"")</f>
        <v/>
      </c>
    </row>
    <row r="24" ht="22" customHeight="1">
      <c r="B24" s="8" t="inlineStr">
        <is>
          <t>MED/0020</t>
        </is>
      </c>
      <c r="C24" s="9" t="inlineStr"/>
      <c r="D24" s="10" t="inlineStr">
        <is>
          <t>Vitamins / Supplements</t>
        </is>
      </c>
      <c r="E24" s="10" t="inlineStr">
        <is>
          <t>Tabs</t>
        </is>
      </c>
      <c r="F24" s="10" t="inlineStr"/>
      <c r="G24" s="10" t="inlineStr"/>
      <c r="H24" s="10" t="inlineStr"/>
      <c r="I24" s="38">
        <f>IFERROR(F24+G24-H24,"")</f>
        <v/>
      </c>
      <c r="J24" s="10" t="inlineStr"/>
      <c r="K24" s="10">
        <f>IFERROR(IF(I24&lt;=0,"OUT OF STOCK",IF(J24&lt;TODAY(),"EXPIRED — Remove",IF(J24-TODAY()&lt;=30,"Expiring Soon","In Stock"))),"")</f>
        <v/>
      </c>
    </row>
    <row r="25" ht="22" customHeight="1">
      <c r="B25" s="14" t="inlineStr">
        <is>
          <t>MED/0021</t>
        </is>
      </c>
      <c r="C25" s="15" t="inlineStr"/>
      <c r="D25" s="16" t="inlineStr">
        <is>
          <t>Anti-hypertensive</t>
        </is>
      </c>
      <c r="E25" s="16" t="inlineStr">
        <is>
          <t>Tabs</t>
        </is>
      </c>
      <c r="F25" s="16" t="inlineStr"/>
      <c r="G25" s="16" t="inlineStr"/>
      <c r="H25" s="16" t="inlineStr"/>
      <c r="I25" s="55">
        <f>IFERROR(F25+G25-H25,"")</f>
        <v/>
      </c>
      <c r="J25" s="16" t="inlineStr"/>
      <c r="K25" s="16">
        <f>IFERROR(IF(I25&lt;=0,"OUT OF STOCK",IF(J25&lt;TODAY(),"EXPIRED — Remove",IF(J25-TODAY()&lt;=30,"Expiring Soon","In Stock"))),"")</f>
        <v/>
      </c>
    </row>
    <row r="26" ht="22" customHeight="1">
      <c r="B26" s="8" t="inlineStr">
        <is>
          <t>MED/0022</t>
        </is>
      </c>
      <c r="C26" s="9" t="inlineStr"/>
      <c r="D26" s="10" t="inlineStr">
        <is>
          <t>ORS / Rehydration</t>
        </is>
      </c>
      <c r="E26" s="10" t="inlineStr">
        <is>
          <t>Tabs</t>
        </is>
      </c>
      <c r="F26" s="10" t="inlineStr"/>
      <c r="G26" s="10" t="inlineStr"/>
      <c r="H26" s="10" t="inlineStr"/>
      <c r="I26" s="38">
        <f>IFERROR(F26+G26-H26,"")</f>
        <v/>
      </c>
      <c r="J26" s="10" t="inlineStr"/>
      <c r="K26" s="10">
        <f>IFERROR(IF(I26&lt;=0,"OUT OF STOCK",IF(J26&lt;TODAY(),"EXPIRED — Remove",IF(J26-TODAY()&lt;=30,"Expiring Soon","In Stock"))),"")</f>
        <v/>
      </c>
    </row>
    <row r="27" ht="22" customHeight="1">
      <c r="B27" s="14" t="inlineStr">
        <is>
          <t>MED/0023</t>
        </is>
      </c>
      <c r="C27" s="15" t="inlineStr"/>
      <c r="D27" s="16" t="inlineStr">
        <is>
          <t>Topical / Antiseptic</t>
        </is>
      </c>
      <c r="E27" s="16" t="inlineStr">
        <is>
          <t>Tabs</t>
        </is>
      </c>
      <c r="F27" s="16" t="inlineStr"/>
      <c r="G27" s="16" t="inlineStr"/>
      <c r="H27" s="16" t="inlineStr"/>
      <c r="I27" s="55">
        <f>IFERROR(F27+G27-H27,"")</f>
        <v/>
      </c>
      <c r="J27" s="16" t="inlineStr"/>
      <c r="K27" s="16">
        <f>IFERROR(IF(I27&lt;=0,"OUT OF STOCK",IF(J27&lt;TODAY(),"EXPIRED — Remove",IF(J27-TODAY()&lt;=30,"Expiring Soon","In Stock"))),"")</f>
        <v/>
      </c>
    </row>
    <row r="28" ht="22" customHeight="1">
      <c r="B28" s="8" t="inlineStr">
        <is>
          <t>MED/0024</t>
        </is>
      </c>
      <c r="C28" s="9" t="inlineStr"/>
      <c r="D28" s="10" t="inlineStr">
        <is>
          <t>Eye / Ear Drops</t>
        </is>
      </c>
      <c r="E28" s="10" t="inlineStr">
        <is>
          <t>Tabs</t>
        </is>
      </c>
      <c r="F28" s="10" t="inlineStr"/>
      <c r="G28" s="10" t="inlineStr"/>
      <c r="H28" s="10" t="inlineStr"/>
      <c r="I28" s="38">
        <f>IFERROR(F28+G28-H28,"")</f>
        <v/>
      </c>
      <c r="J28" s="10" t="inlineStr"/>
      <c r="K28" s="10">
        <f>IFERROR(IF(I28&lt;=0,"OUT OF STOCK",IF(J28&lt;TODAY(),"EXPIRED — Remove",IF(J28-TODAY()&lt;=30,"Expiring Soon","In Stock"))),"")</f>
        <v/>
      </c>
    </row>
    <row r="29" ht="22" customHeight="1">
      <c r="B29" s="14" t="inlineStr">
        <is>
          <t>MED/0025</t>
        </is>
      </c>
      <c r="C29" s="15" t="inlineStr"/>
      <c r="D29" s="16" t="inlineStr">
        <is>
          <t>Antifungal</t>
        </is>
      </c>
      <c r="E29" s="16" t="inlineStr">
        <is>
          <t>Tabs</t>
        </is>
      </c>
      <c r="F29" s="16" t="inlineStr"/>
      <c r="G29" s="16" t="inlineStr"/>
      <c r="H29" s="16" t="inlineStr"/>
      <c r="I29" s="55">
        <f>IFERROR(F29+G29-H29,"")</f>
        <v/>
      </c>
      <c r="J29" s="16" t="inlineStr"/>
      <c r="K29" s="16">
        <f>IFERROR(IF(I29&lt;=0,"OUT OF STOCK",IF(J29&lt;TODAY(),"EXPIRED — Remove",IF(J29-TODAY()&lt;=30,"Expiring Soon","In Stock"))),"")</f>
        <v/>
      </c>
    </row>
    <row r="30" ht="22" customHeight="1">
      <c r="B30" s="8" t="inlineStr">
        <is>
          <t>MED/0026</t>
        </is>
      </c>
      <c r="C30" s="9" t="inlineStr"/>
      <c r="D30" s="10" t="inlineStr">
        <is>
          <t>Emergency / Injection</t>
        </is>
      </c>
      <c r="E30" s="10" t="inlineStr">
        <is>
          <t>Tabs</t>
        </is>
      </c>
      <c r="F30" s="10" t="inlineStr"/>
      <c r="G30" s="10" t="inlineStr"/>
      <c r="H30" s="10" t="inlineStr"/>
      <c r="I30" s="38">
        <f>IFERROR(F30+G30-H30,"")</f>
        <v/>
      </c>
      <c r="J30" s="10" t="inlineStr"/>
      <c r="K30" s="10">
        <f>IFERROR(IF(I30&lt;=0,"OUT OF STOCK",IF(J30&lt;TODAY(),"EXPIRED — Remove",IF(J30-TODAY()&lt;=30,"Expiring Soon","In Stock"))),"")</f>
        <v/>
      </c>
    </row>
    <row r="31" ht="22" customHeight="1">
      <c r="B31" s="14" t="inlineStr">
        <is>
          <t>MED/0027</t>
        </is>
      </c>
      <c r="C31" s="15" t="inlineStr"/>
      <c r="D31" s="16" t="inlineStr">
        <is>
          <t>Contraceptive / Women's Health</t>
        </is>
      </c>
      <c r="E31" s="16" t="inlineStr">
        <is>
          <t>Tabs</t>
        </is>
      </c>
      <c r="F31" s="16" t="inlineStr"/>
      <c r="G31" s="16" t="inlineStr"/>
      <c r="H31" s="16" t="inlineStr"/>
      <c r="I31" s="55">
        <f>IFERROR(F31+G31-H31,"")</f>
        <v/>
      </c>
      <c r="J31" s="16" t="inlineStr"/>
      <c r="K31" s="16">
        <f>IFERROR(IF(I31&lt;=0,"OUT OF STOCK",IF(J31&lt;TODAY(),"EXPIRED — Remove",IF(J31-TODAY()&lt;=30,"Expiring Soon","In Stock"))),"")</f>
        <v/>
      </c>
    </row>
    <row r="32" ht="22" customHeight="1">
      <c r="B32" s="8" t="inlineStr">
        <is>
          <t>MED/0028</t>
        </is>
      </c>
      <c r="C32" s="9" t="inlineStr"/>
      <c r="D32" s="10" t="inlineStr">
        <is>
          <t>Mental Health (Schedule H)</t>
        </is>
      </c>
      <c r="E32" s="10" t="inlineStr">
        <is>
          <t>Tabs</t>
        </is>
      </c>
      <c r="F32" s="10" t="inlineStr"/>
      <c r="G32" s="10" t="inlineStr"/>
      <c r="H32" s="10" t="inlineStr"/>
      <c r="I32" s="38">
        <f>IFERROR(F32+G32-H32,"")</f>
        <v/>
      </c>
      <c r="J32" s="10" t="inlineStr"/>
      <c r="K32" s="10">
        <f>IFERROR(IF(I32&lt;=0,"OUT OF STOCK",IF(J32&lt;TODAY(),"EXPIRED — Remove",IF(J32-TODAY()&lt;=30,"Expiring Soon","In Stock"))),"")</f>
        <v/>
      </c>
    </row>
    <row r="33" ht="22" customHeight="1">
      <c r="B33" s="14" t="inlineStr">
        <is>
          <t>MED/0029</t>
        </is>
      </c>
      <c r="C33" s="15" t="inlineStr"/>
      <c r="D33" s="16" t="inlineStr">
        <is>
          <t>Controlled Drug (Schedule X)</t>
        </is>
      </c>
      <c r="E33" s="16" t="inlineStr">
        <is>
          <t>Tabs</t>
        </is>
      </c>
      <c r="F33" s="16" t="inlineStr"/>
      <c r="G33" s="16" t="inlineStr"/>
      <c r="H33" s="16" t="inlineStr"/>
      <c r="I33" s="55">
        <f>IFERROR(F33+G33-H33,"")</f>
        <v/>
      </c>
      <c r="J33" s="16" t="inlineStr"/>
      <c r="K33" s="16">
        <f>IFERROR(IF(I33&lt;=0,"OUT OF STOCK",IF(J33&lt;TODAY(),"EXPIRED — Remove",IF(J33-TODAY()&lt;=30,"Expiring Soon","In Stock"))),"")</f>
        <v/>
      </c>
    </row>
    <row r="34" ht="22" customHeight="1">
      <c r="B34" s="8" t="inlineStr">
        <is>
          <t>MED/0030</t>
        </is>
      </c>
      <c r="C34" s="9" t="inlineStr"/>
      <c r="D34" s="10" t="inlineStr">
        <is>
          <t>First Aid Supply</t>
        </is>
      </c>
      <c r="E34" s="10" t="inlineStr">
        <is>
          <t>Tabs</t>
        </is>
      </c>
      <c r="F34" s="10" t="inlineStr"/>
      <c r="G34" s="10" t="inlineStr"/>
      <c r="H34" s="10" t="inlineStr"/>
      <c r="I34" s="38">
        <f>IFERROR(F34+G34-H34,"")</f>
        <v/>
      </c>
      <c r="J34" s="10" t="inlineStr"/>
      <c r="K34" s="10">
        <f>IFERROR(IF(I34&lt;=0,"OUT OF STOCK",IF(J34&lt;TODAY(),"EXPIRED — Remove",IF(J34-TODAY()&lt;=30,"Expiring Soon","In Stock"))),"")</f>
        <v/>
      </c>
    </row>
    <row r="35" ht="22" customHeight="1">
      <c r="B35" s="14" t="inlineStr">
        <is>
          <t>MED/0031</t>
        </is>
      </c>
      <c r="C35" s="15" t="inlineStr"/>
      <c r="D35" s="16" t="inlineStr">
        <is>
          <t>Antipyretic / Analgesic</t>
        </is>
      </c>
      <c r="E35" s="16" t="inlineStr">
        <is>
          <t>Tabs</t>
        </is>
      </c>
      <c r="F35" s="16" t="inlineStr"/>
      <c r="G35" s="16" t="inlineStr"/>
      <c r="H35" s="16" t="inlineStr"/>
      <c r="I35" s="55">
        <f>IFERROR(F35+G35-H35,"")</f>
        <v/>
      </c>
      <c r="J35" s="16" t="inlineStr"/>
      <c r="K35" s="16">
        <f>IFERROR(IF(I35&lt;=0,"OUT OF STOCK",IF(J35&lt;TODAY(),"EXPIRED — Remove",IF(J35-TODAY()&lt;=30,"Expiring Soon","In Stock"))),"")</f>
        <v/>
      </c>
    </row>
    <row r="36" ht="22" customHeight="1">
      <c r="B36" s="8" t="inlineStr">
        <is>
          <t>MED/0032</t>
        </is>
      </c>
      <c r="C36" s="9" t="inlineStr"/>
      <c r="D36" s="10" t="inlineStr">
        <is>
          <t>Antibiotic</t>
        </is>
      </c>
      <c r="E36" s="10" t="inlineStr">
        <is>
          <t>Tabs</t>
        </is>
      </c>
      <c r="F36" s="10" t="inlineStr"/>
      <c r="G36" s="10" t="inlineStr"/>
      <c r="H36" s="10" t="inlineStr"/>
      <c r="I36" s="38">
        <f>IFERROR(F36+G36-H36,"")</f>
        <v/>
      </c>
      <c r="J36" s="10" t="inlineStr"/>
      <c r="K36" s="10">
        <f>IFERROR(IF(I36&lt;=0,"OUT OF STOCK",IF(J36&lt;TODAY(),"EXPIRED — Remove",IF(J36-TODAY()&lt;=30,"Expiring Soon","In Stock"))),"")</f>
        <v/>
      </c>
    </row>
    <row r="37" ht="22" customHeight="1">
      <c r="B37" s="14" t="inlineStr">
        <is>
          <t>MED/0033</t>
        </is>
      </c>
      <c r="C37" s="15" t="inlineStr"/>
      <c r="D37" s="16" t="inlineStr">
        <is>
          <t>Antacid / GI</t>
        </is>
      </c>
      <c r="E37" s="16" t="inlineStr">
        <is>
          <t>Tabs</t>
        </is>
      </c>
      <c r="F37" s="16" t="inlineStr"/>
      <c r="G37" s="16" t="inlineStr"/>
      <c r="H37" s="16" t="inlineStr"/>
      <c r="I37" s="55">
        <f>IFERROR(F37+G37-H37,"")</f>
        <v/>
      </c>
      <c r="J37" s="16" t="inlineStr"/>
      <c r="K37" s="16">
        <f>IFERROR(IF(I37&lt;=0,"OUT OF STOCK",IF(J37&lt;TODAY(),"EXPIRED — Remove",IF(J37-TODAY()&lt;=30,"Expiring Soon","In Stock"))),"")</f>
        <v/>
      </c>
    </row>
    <row r="38" ht="22" customHeight="1">
      <c r="B38" s="8" t="inlineStr">
        <is>
          <t>MED/0034</t>
        </is>
      </c>
      <c r="C38" s="9" t="inlineStr"/>
      <c r="D38" s="10" t="inlineStr">
        <is>
          <t>Antihistamine / Allergy</t>
        </is>
      </c>
      <c r="E38" s="10" t="inlineStr">
        <is>
          <t>Tabs</t>
        </is>
      </c>
      <c r="F38" s="10" t="inlineStr"/>
      <c r="G38" s="10" t="inlineStr"/>
      <c r="H38" s="10" t="inlineStr"/>
      <c r="I38" s="38">
        <f>IFERROR(F38+G38-H38,"")</f>
        <v/>
      </c>
      <c r="J38" s="10" t="inlineStr"/>
      <c r="K38" s="10">
        <f>IFERROR(IF(I38&lt;=0,"OUT OF STOCK",IF(J38&lt;TODAY(),"EXPIRED — Remove",IF(J38-TODAY()&lt;=30,"Expiring Soon","In Stock"))),"")</f>
        <v/>
      </c>
    </row>
    <row r="39" ht="22" customHeight="1"/>
    <row r="40" ht="24" customHeight="1">
      <c r="B40" s="35" t="inlineStr">
        <is>
          <t>PHARMACY STOCK SUMMARY</t>
        </is>
      </c>
    </row>
    <row r="41" ht="22" customHeight="1">
      <c r="B41" s="40" t="inlineStr">
        <is>
          <t>Total Medicine Types</t>
        </is>
      </c>
      <c r="F41" s="37">
        <f>COUNTA(B5:B38)</f>
        <v/>
      </c>
    </row>
    <row r="42">
      <c r="B42" s="26" t="inlineStr">
        <is>
          <t>In Stock</t>
        </is>
      </c>
      <c r="F42" s="38">
        <f>COUNTIF(K5:K38,"In Stock")</f>
        <v/>
      </c>
    </row>
    <row r="43">
      <c r="B43" s="40" t="inlineStr">
        <is>
          <t>Out of Stock</t>
        </is>
      </c>
      <c r="F43" s="37">
        <f>COUNTIF(K5:K38,"OUT OF STOCK")</f>
        <v/>
      </c>
    </row>
    <row r="44">
      <c r="B44" s="26" t="inlineStr">
        <is>
          <t>Expiring in 30 Days</t>
        </is>
      </c>
      <c r="F44" s="38">
        <f>COUNTIF(K5:K38,"Expiring Soon")</f>
        <v/>
      </c>
    </row>
    <row r="45">
      <c r="B45" s="40" t="inlineStr">
        <is>
          <t>Expired — Remove Immediately</t>
        </is>
      </c>
      <c r="F45" s="37">
        <f>COUNTIF(K5:K38,"EXPIRED — Remove")</f>
        <v/>
      </c>
    </row>
    <row r="46">
      <c r="B46" s="26" t="inlineStr">
        <is>
          <t>Controlled Drugs (Schedule X)</t>
        </is>
      </c>
      <c r="F46" s="38">
        <f>COUNTIF(D5:D38,"Controlled Drug (Schedule X)")</f>
        <v/>
      </c>
    </row>
  </sheetData>
  <mergeCells count="15">
    <mergeCell ref="B45:E45"/>
    <mergeCell ref="B41:E41"/>
    <mergeCell ref="B46:E46"/>
    <mergeCell ref="F46:K46"/>
    <mergeCell ref="B43:E43"/>
    <mergeCell ref="B40:K40"/>
    <mergeCell ref="F42:K42"/>
    <mergeCell ref="B44:E44"/>
    <mergeCell ref="F45:K45"/>
    <mergeCell ref="F41:K41"/>
    <mergeCell ref="F43:K43"/>
    <mergeCell ref="B2:K2"/>
    <mergeCell ref="B42:E42"/>
    <mergeCell ref="F44:K44"/>
    <mergeCell ref="B3:K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0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56" t="inlineStr">
        <is>
          <t>MCC-20: EMERGENCY CASE REGISTER</t>
        </is>
      </c>
    </row>
    <row r="3" ht="20" customHeight="1">
      <c r="B3" s="17" t="inlineStr">
        <is>
          <t>Emergency cases: Stabilise first, then document. Call 108 ambulance for life-threatening emergencies. Inform Principal and parents within 1 hour. Preserve all records for medico-legal purposes.</t>
        </is>
      </c>
    </row>
    <row r="4" ht="25" customHeight="1">
      <c r="B4" s="57" t="inlineStr">
        <is>
          <t>Emergency
Ref.</t>
        </is>
      </c>
      <c r="C4" s="57" t="inlineStr">
        <is>
          <t>Patient Name
/ MRN</t>
        </is>
      </c>
      <c r="D4" s="57" t="inlineStr">
        <is>
          <t>Age /
Gender</t>
        </is>
      </c>
      <c r="E4" s="57" t="inlineStr">
        <is>
          <t>Date &amp;
Time</t>
        </is>
      </c>
      <c r="F4" s="57" t="inlineStr">
        <is>
          <t>Nature of
Emergency</t>
        </is>
      </c>
      <c r="G4" s="57" t="inlineStr">
        <is>
          <t>First Aid /
Treatment</t>
        </is>
      </c>
      <c r="H4" s="57" t="inlineStr">
        <is>
          <t>Ambulance
Called</t>
        </is>
      </c>
      <c r="I4" s="57" t="inlineStr">
        <is>
          <t>Hospital
Referred</t>
        </is>
      </c>
      <c r="J4" s="57" t="inlineStr">
        <is>
          <t>Outcome</t>
        </is>
      </c>
    </row>
    <row r="5" ht="26" customHeight="1">
      <c r="B5" s="58" t="inlineStr">
        <is>
          <t>EMER/0001</t>
        </is>
      </c>
      <c r="C5" s="59" t="inlineStr"/>
      <c r="D5" s="60" t="inlineStr"/>
      <c r="E5" s="60" t="inlineStr"/>
      <c r="F5" s="59" t="inlineStr">
        <is>
          <t>Trauma / Fall Injury</t>
        </is>
      </c>
      <c r="G5" s="59" t="inlineStr"/>
      <c r="H5" s="60" t="inlineStr">
        <is>
          <t>N</t>
        </is>
      </c>
      <c r="I5" s="59" t="inlineStr"/>
      <c r="J5" s="60" t="inlineStr">
        <is>
          <t>Treated &amp; Discharged</t>
        </is>
      </c>
    </row>
    <row r="6" ht="26" customHeight="1">
      <c r="B6" s="8" t="inlineStr">
        <is>
          <t>EMER/0002</t>
        </is>
      </c>
      <c r="C6" s="9" t="inlineStr"/>
      <c r="D6" s="10" t="inlineStr"/>
      <c r="E6" s="10" t="inlineStr"/>
      <c r="F6" s="9" t="inlineStr">
        <is>
          <t>Road Traffic Accident</t>
        </is>
      </c>
      <c r="G6" s="9" t="inlineStr"/>
      <c r="H6" s="10" t="inlineStr">
        <is>
          <t>N</t>
        </is>
      </c>
      <c r="I6" s="9" t="inlineStr"/>
      <c r="J6" s="10" t="inlineStr">
        <is>
          <t>Treated &amp; Discharged</t>
        </is>
      </c>
    </row>
    <row r="7" ht="26" customHeight="1">
      <c r="B7" s="58" t="inlineStr">
        <is>
          <t>EMER/0003</t>
        </is>
      </c>
      <c r="C7" s="59" t="inlineStr"/>
      <c r="D7" s="60" t="inlineStr"/>
      <c r="E7" s="60" t="inlineStr"/>
      <c r="F7" s="59" t="inlineStr">
        <is>
          <t>Sports Injury</t>
        </is>
      </c>
      <c r="G7" s="59" t="inlineStr"/>
      <c r="H7" s="60" t="inlineStr">
        <is>
          <t>N</t>
        </is>
      </c>
      <c r="I7" s="59" t="inlineStr"/>
      <c r="J7" s="60" t="inlineStr">
        <is>
          <t>Treated &amp; Discharged</t>
        </is>
      </c>
    </row>
    <row r="8" ht="26" customHeight="1">
      <c r="B8" s="8" t="inlineStr">
        <is>
          <t>EMER/0004</t>
        </is>
      </c>
      <c r="C8" s="9" t="inlineStr"/>
      <c r="D8" s="10" t="inlineStr"/>
      <c r="E8" s="10" t="inlineStr"/>
      <c r="F8" s="9" t="inlineStr">
        <is>
          <t>Syncope / Fainting</t>
        </is>
      </c>
      <c r="G8" s="9" t="inlineStr"/>
      <c r="H8" s="10" t="inlineStr">
        <is>
          <t>N</t>
        </is>
      </c>
      <c r="I8" s="9" t="inlineStr"/>
      <c r="J8" s="10" t="inlineStr">
        <is>
          <t>Treated &amp; Discharged</t>
        </is>
      </c>
    </row>
    <row r="9" ht="26" customHeight="1">
      <c r="B9" s="58" t="inlineStr">
        <is>
          <t>EMER/0005</t>
        </is>
      </c>
      <c r="C9" s="59" t="inlineStr"/>
      <c r="D9" s="60" t="inlineStr"/>
      <c r="E9" s="60" t="inlineStr"/>
      <c r="F9" s="59" t="inlineStr">
        <is>
          <t>Seizure / Epilepsy</t>
        </is>
      </c>
      <c r="G9" s="59" t="inlineStr"/>
      <c r="H9" s="60" t="inlineStr">
        <is>
          <t>N</t>
        </is>
      </c>
      <c r="I9" s="59" t="inlineStr"/>
      <c r="J9" s="60" t="inlineStr">
        <is>
          <t>Treated &amp; Discharged</t>
        </is>
      </c>
    </row>
    <row r="10" ht="26" customHeight="1">
      <c r="B10" s="8" t="inlineStr">
        <is>
          <t>EMER/0006</t>
        </is>
      </c>
      <c r="C10" s="9" t="inlineStr"/>
      <c r="D10" s="10" t="inlineStr"/>
      <c r="E10" s="10" t="inlineStr"/>
      <c r="F10" s="9" t="inlineStr">
        <is>
          <t>Anaphylaxis / Allergic Reaction</t>
        </is>
      </c>
      <c r="G10" s="9" t="inlineStr"/>
      <c r="H10" s="10" t="inlineStr">
        <is>
          <t>N</t>
        </is>
      </c>
      <c r="I10" s="9" t="inlineStr"/>
      <c r="J10" s="10" t="inlineStr">
        <is>
          <t>Treated &amp; Discharged</t>
        </is>
      </c>
    </row>
    <row r="11" ht="26" customHeight="1">
      <c r="B11" s="58" t="inlineStr">
        <is>
          <t>EMER/0007</t>
        </is>
      </c>
      <c r="C11" s="59" t="inlineStr"/>
      <c r="D11" s="60" t="inlineStr"/>
      <c r="E11" s="60" t="inlineStr"/>
      <c r="F11" s="59" t="inlineStr">
        <is>
          <t>Cardiac Event / Chest Pain</t>
        </is>
      </c>
      <c r="G11" s="59" t="inlineStr"/>
      <c r="H11" s="60" t="inlineStr">
        <is>
          <t>N</t>
        </is>
      </c>
      <c r="I11" s="59" t="inlineStr"/>
      <c r="J11" s="60" t="inlineStr">
        <is>
          <t>Treated &amp; Discharged</t>
        </is>
      </c>
    </row>
    <row r="12" ht="26" customHeight="1">
      <c r="B12" s="8" t="inlineStr">
        <is>
          <t>EMER/0008</t>
        </is>
      </c>
      <c r="C12" s="9" t="inlineStr"/>
      <c r="D12" s="10" t="inlineStr"/>
      <c r="E12" s="10" t="inlineStr"/>
      <c r="F12" s="9" t="inlineStr">
        <is>
          <t>Respiratory Distress</t>
        </is>
      </c>
      <c r="G12" s="9" t="inlineStr"/>
      <c r="H12" s="10" t="inlineStr">
        <is>
          <t>N</t>
        </is>
      </c>
      <c r="I12" s="9" t="inlineStr"/>
      <c r="J12" s="10" t="inlineStr">
        <is>
          <t>Treated &amp; Discharged</t>
        </is>
      </c>
    </row>
    <row r="13" ht="26" customHeight="1">
      <c r="B13" s="58" t="inlineStr">
        <is>
          <t>EMER/0009</t>
        </is>
      </c>
      <c r="C13" s="59" t="inlineStr"/>
      <c r="D13" s="60" t="inlineStr"/>
      <c r="E13" s="60" t="inlineStr"/>
      <c r="F13" s="59" t="inlineStr">
        <is>
          <t>Diabetic Emergency</t>
        </is>
      </c>
      <c r="G13" s="59" t="inlineStr"/>
      <c r="H13" s="60" t="inlineStr">
        <is>
          <t>N</t>
        </is>
      </c>
      <c r="I13" s="59" t="inlineStr"/>
      <c r="J13" s="60" t="inlineStr">
        <is>
          <t>Treated &amp; Discharged</t>
        </is>
      </c>
    </row>
    <row r="14" ht="26" customHeight="1">
      <c r="B14" s="8" t="inlineStr">
        <is>
          <t>EMER/0010</t>
        </is>
      </c>
      <c r="C14" s="9" t="inlineStr"/>
      <c r="D14" s="10" t="inlineStr"/>
      <c r="E14" s="10" t="inlineStr"/>
      <c r="F14" s="9" t="inlineStr">
        <is>
          <t>Drug / Substance Ingestion</t>
        </is>
      </c>
      <c r="G14" s="9" t="inlineStr"/>
      <c r="H14" s="10" t="inlineStr">
        <is>
          <t>N</t>
        </is>
      </c>
      <c r="I14" s="9" t="inlineStr"/>
      <c r="J14" s="10" t="inlineStr">
        <is>
          <t>Treated &amp; Discharged</t>
        </is>
      </c>
    </row>
    <row r="15" ht="26" customHeight="1">
      <c r="B15" s="58" t="inlineStr">
        <is>
          <t>EMER/0011</t>
        </is>
      </c>
      <c r="C15" s="59" t="inlineStr"/>
      <c r="D15" s="60" t="inlineStr"/>
      <c r="E15" s="60" t="inlineStr"/>
      <c r="F15" s="59" t="inlineStr">
        <is>
          <t>Severe Bleeding / Haemorrhage</t>
        </is>
      </c>
      <c r="G15" s="59" t="inlineStr"/>
      <c r="H15" s="60" t="inlineStr">
        <is>
          <t>N</t>
        </is>
      </c>
      <c r="I15" s="59" t="inlineStr"/>
      <c r="J15" s="60" t="inlineStr">
        <is>
          <t>Treated &amp; Discharged</t>
        </is>
      </c>
    </row>
    <row r="16" ht="26" customHeight="1">
      <c r="B16" s="8" t="inlineStr">
        <is>
          <t>EMER/0012</t>
        </is>
      </c>
      <c r="C16" s="9" t="inlineStr"/>
      <c r="D16" s="10" t="inlineStr"/>
      <c r="E16" s="10" t="inlineStr"/>
      <c r="F16" s="9" t="inlineStr">
        <is>
          <t>Burn Injury</t>
        </is>
      </c>
      <c r="G16" s="9" t="inlineStr"/>
      <c r="H16" s="10" t="inlineStr">
        <is>
          <t>N</t>
        </is>
      </c>
      <c r="I16" s="9" t="inlineStr"/>
      <c r="J16" s="10" t="inlineStr">
        <is>
          <t>Treated &amp; Discharged</t>
        </is>
      </c>
    </row>
    <row r="17" ht="26" customHeight="1">
      <c r="B17" s="58" t="inlineStr">
        <is>
          <t>EMER/0013</t>
        </is>
      </c>
      <c r="C17" s="59" t="inlineStr"/>
      <c r="D17" s="60" t="inlineStr"/>
      <c r="E17" s="60" t="inlineStr"/>
      <c r="F17" s="59" t="inlineStr">
        <is>
          <t>Heat Stroke / Exhaustion</t>
        </is>
      </c>
      <c r="G17" s="59" t="inlineStr"/>
      <c r="H17" s="60" t="inlineStr">
        <is>
          <t>N</t>
        </is>
      </c>
      <c r="I17" s="59" t="inlineStr"/>
      <c r="J17" s="60" t="inlineStr">
        <is>
          <t>Treated &amp; Discharged</t>
        </is>
      </c>
    </row>
    <row r="18" ht="26" customHeight="1">
      <c r="B18" s="8" t="inlineStr">
        <is>
          <t>EMER/0014</t>
        </is>
      </c>
      <c r="C18" s="9" t="inlineStr"/>
      <c r="D18" s="10" t="inlineStr"/>
      <c r="E18" s="10" t="inlineStr"/>
      <c r="F18" s="9" t="inlineStr">
        <is>
          <t>Fracture / Dislocation</t>
        </is>
      </c>
      <c r="G18" s="9" t="inlineStr"/>
      <c r="H18" s="10" t="inlineStr">
        <is>
          <t>N</t>
        </is>
      </c>
      <c r="I18" s="9" t="inlineStr"/>
      <c r="J18" s="10" t="inlineStr">
        <is>
          <t>Treated &amp; Discharged</t>
        </is>
      </c>
    </row>
    <row r="19" ht="26" customHeight="1">
      <c r="B19" s="58" t="inlineStr">
        <is>
          <t>EMER/0015</t>
        </is>
      </c>
      <c r="C19" s="59" t="inlineStr"/>
      <c r="D19" s="60" t="inlineStr"/>
      <c r="E19" s="60" t="inlineStr"/>
      <c r="F19" s="59" t="inlineStr">
        <is>
          <t>Psychiatric Emergency</t>
        </is>
      </c>
      <c r="G19" s="59" t="inlineStr"/>
      <c r="H19" s="60" t="inlineStr">
        <is>
          <t>N</t>
        </is>
      </c>
      <c r="I19" s="59" t="inlineStr"/>
      <c r="J19" s="60" t="inlineStr">
        <is>
          <t>Treated &amp; Discharged</t>
        </is>
      </c>
    </row>
    <row r="20" ht="26" customHeight="1">
      <c r="B20" s="8" t="inlineStr">
        <is>
          <t>EMER/0016</t>
        </is>
      </c>
      <c r="C20" s="9" t="inlineStr"/>
      <c r="D20" s="10" t="inlineStr"/>
      <c r="E20" s="10" t="inlineStr"/>
      <c r="F20" s="9" t="inlineStr">
        <is>
          <t>Other Emergency</t>
        </is>
      </c>
      <c r="G20" s="9" t="inlineStr"/>
      <c r="H20" s="10" t="inlineStr">
        <is>
          <t>N</t>
        </is>
      </c>
      <c r="I20" s="9" t="inlineStr"/>
      <c r="J20" s="10" t="inlineStr">
        <is>
          <t>Treated &amp; Discharged</t>
        </is>
      </c>
    </row>
    <row r="21" ht="26" customHeight="1">
      <c r="B21" s="58" t="inlineStr">
        <is>
          <t>EMER/0017</t>
        </is>
      </c>
      <c r="C21" s="59" t="inlineStr"/>
      <c r="D21" s="60" t="inlineStr"/>
      <c r="E21" s="60" t="inlineStr"/>
      <c r="F21" s="59" t="inlineStr">
        <is>
          <t>Trauma / Fall Injury</t>
        </is>
      </c>
      <c r="G21" s="59" t="inlineStr"/>
      <c r="H21" s="60" t="inlineStr">
        <is>
          <t>N</t>
        </is>
      </c>
      <c r="I21" s="59" t="inlineStr"/>
      <c r="J21" s="60" t="inlineStr">
        <is>
          <t>Treated &amp; Discharged</t>
        </is>
      </c>
    </row>
    <row r="22" ht="26" customHeight="1">
      <c r="B22" s="8" t="inlineStr">
        <is>
          <t>EMER/0018</t>
        </is>
      </c>
      <c r="C22" s="9" t="inlineStr"/>
      <c r="D22" s="10" t="inlineStr"/>
      <c r="E22" s="10" t="inlineStr"/>
      <c r="F22" s="9" t="inlineStr">
        <is>
          <t>Road Traffic Accident</t>
        </is>
      </c>
      <c r="G22" s="9" t="inlineStr"/>
      <c r="H22" s="10" t="inlineStr">
        <is>
          <t>N</t>
        </is>
      </c>
      <c r="I22" s="9" t="inlineStr"/>
      <c r="J22" s="10" t="inlineStr">
        <is>
          <t>Treated &amp; Discharged</t>
        </is>
      </c>
    </row>
    <row r="23" ht="26" customHeight="1">
      <c r="B23" s="58" t="inlineStr">
        <is>
          <t>EMER/0019</t>
        </is>
      </c>
      <c r="C23" s="59" t="inlineStr"/>
      <c r="D23" s="60" t="inlineStr"/>
      <c r="E23" s="60" t="inlineStr"/>
      <c r="F23" s="59" t="inlineStr">
        <is>
          <t>Sports Injury</t>
        </is>
      </c>
      <c r="G23" s="59" t="inlineStr"/>
      <c r="H23" s="60" t="inlineStr">
        <is>
          <t>N</t>
        </is>
      </c>
      <c r="I23" s="59" t="inlineStr"/>
      <c r="J23" s="60" t="inlineStr">
        <is>
          <t>Treated &amp; Discharged</t>
        </is>
      </c>
    </row>
    <row r="24" ht="26" customHeight="1">
      <c r="B24" s="8" t="inlineStr">
        <is>
          <t>EMER/0020</t>
        </is>
      </c>
      <c r="C24" s="9" t="inlineStr"/>
      <c r="D24" s="10" t="inlineStr"/>
      <c r="E24" s="10" t="inlineStr"/>
      <c r="F24" s="9" t="inlineStr">
        <is>
          <t>Syncope / Fainting</t>
        </is>
      </c>
      <c r="G24" s="9" t="inlineStr"/>
      <c r="H24" s="10" t="inlineStr">
        <is>
          <t>N</t>
        </is>
      </c>
      <c r="I24" s="9" t="inlineStr"/>
      <c r="J24" s="10" t="inlineStr">
        <is>
          <t>Treated &amp; Discharged</t>
        </is>
      </c>
    </row>
    <row r="25" ht="26" customHeight="1"/>
    <row r="26" ht="24" customHeight="1">
      <c r="B26" s="35" t="inlineStr">
        <is>
          <t>EMERGENCY STATISTICS</t>
        </is>
      </c>
    </row>
    <row r="27" ht="26" customHeight="1">
      <c r="B27" s="61" t="inlineStr">
        <is>
          <t>Total Emergency Cases</t>
        </is>
      </c>
      <c r="F27" s="37">
        <f>COUNTA(B5:B24)</f>
        <v/>
      </c>
    </row>
    <row r="28">
      <c r="B28" s="26" t="inlineStr">
        <is>
          <t>Ambulance Called</t>
        </is>
      </c>
      <c r="F28" s="38">
        <f>COUNTIF(H5:H24,"Y")</f>
        <v/>
      </c>
    </row>
    <row r="29">
      <c r="B29" s="61" t="inlineStr">
        <is>
          <t>Hospital Referrals</t>
        </is>
      </c>
      <c r="F29" s="37">
        <f>COUNTIF(I5:I24,"&lt;&gt;"&amp;"")</f>
        <v/>
      </c>
    </row>
    <row r="30">
      <c r="B30" s="26" t="inlineStr">
        <is>
          <t>Trauma / Injury Cases</t>
        </is>
      </c>
      <c r="F30" s="38">
        <f>COUNTIF(F5:F24,"Trauma / Fall Injury")+COUNTIF(F5:F24,"Road Traffic Accident")</f>
        <v/>
      </c>
    </row>
    <row r="31">
      <c r="B31" s="61" t="inlineStr">
        <is>
          <t>Treated &amp; Discharged</t>
        </is>
      </c>
      <c r="F31" s="37">
        <f>COUNTIF(J5:J24,"Treated &amp; Discharged")</f>
        <v/>
      </c>
    </row>
    <row r="32">
      <c r="B32" s="26" t="inlineStr">
        <is>
          <t>Admitted to Hospital</t>
        </is>
      </c>
      <c r="F32" s="38">
        <f>COUNTIF(J5:J24,"Admitted to Hospital")</f>
        <v/>
      </c>
    </row>
  </sheetData>
  <mergeCells count="15">
    <mergeCell ref="B31:E31"/>
    <mergeCell ref="F30:J30"/>
    <mergeCell ref="B27:E27"/>
    <mergeCell ref="B3:J3"/>
    <mergeCell ref="F29:J29"/>
    <mergeCell ref="B28:E28"/>
    <mergeCell ref="B30:E30"/>
    <mergeCell ref="B26:J26"/>
    <mergeCell ref="F28:J28"/>
    <mergeCell ref="B29:E29"/>
    <mergeCell ref="F31:J31"/>
    <mergeCell ref="B2:J2"/>
    <mergeCell ref="F32:J32"/>
    <mergeCell ref="F27:J27"/>
    <mergeCell ref="B32:E3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MCC-23: HOSPITAL REFERRAL &amp; TRANSFER REGISTER</t>
        </is>
      </c>
    </row>
    <row r="3" ht="18" customHeight="1">
      <c r="B3" s="39" t="inlineStr">
        <is>
          <t>CONFIDENTIAL — Medical records are protected health information. Access restricted to Medical Cell staff and authorised personnel only. Retain as per Medical Records Rules.</t>
        </is>
      </c>
    </row>
    <row r="4" ht="25" customHeight="1">
      <c r="B4" s="20" t="inlineStr">
        <is>
          <t>Referral
Ref.</t>
        </is>
      </c>
      <c r="C4" s="20" t="inlineStr">
        <is>
          <t>Patient Name
/ MRN</t>
        </is>
      </c>
      <c r="D4" s="20" t="inlineStr">
        <is>
          <t>Age /
Gender</t>
        </is>
      </c>
      <c r="E4" s="20" t="inlineStr">
        <is>
          <t>Date &amp;
Time</t>
        </is>
      </c>
      <c r="F4" s="20" t="inlineStr">
        <is>
          <t>Diagnosis /
Reason for Referral</t>
        </is>
      </c>
      <c r="G4" s="20" t="inlineStr">
        <is>
          <t>Hospital
Referred to</t>
        </is>
      </c>
      <c r="H4" s="20" t="inlineStr">
        <is>
          <t>Mode of
Transport</t>
        </is>
      </c>
      <c r="I4" s="20" t="inlineStr">
        <is>
          <t>Referred
by Doctor</t>
        </is>
      </c>
      <c r="J4" s="20" t="inlineStr">
        <is>
          <t>Follow-up
Status</t>
        </is>
      </c>
    </row>
    <row r="5" ht="24" customHeight="1">
      <c r="B5" s="14" t="inlineStr">
        <is>
          <t>REF/0001</t>
        </is>
      </c>
      <c r="C5" s="15" t="inlineStr"/>
      <c r="D5" s="16" t="inlineStr"/>
      <c r="E5" s="16" t="inlineStr"/>
      <c r="F5" s="15" t="inlineStr"/>
      <c r="G5" s="15" t="inlineStr">
        <is>
          <t>Government General Hospital</t>
        </is>
      </c>
      <c r="H5" s="16" t="inlineStr">
        <is>
          <t>Ambulance (108)</t>
        </is>
      </c>
      <c r="I5" s="15" t="inlineStr"/>
      <c r="J5" s="16" t="inlineStr">
        <is>
          <t>Pending</t>
        </is>
      </c>
    </row>
    <row r="6" ht="24" customHeight="1">
      <c r="B6" s="8" t="inlineStr">
        <is>
          <t>REF/0002</t>
        </is>
      </c>
      <c r="C6" s="9" t="inlineStr"/>
      <c r="D6" s="10" t="inlineStr"/>
      <c r="E6" s="10" t="inlineStr"/>
      <c r="F6" s="9" t="inlineStr"/>
      <c r="G6" s="9" t="inlineStr">
        <is>
          <t>AIIMS / Medical College Hospital</t>
        </is>
      </c>
      <c r="H6" s="10" t="inlineStr">
        <is>
          <t>Institutional Ambulance</t>
        </is>
      </c>
      <c r="I6" s="9" t="inlineStr"/>
      <c r="J6" s="10" t="inlineStr">
        <is>
          <t>Pending</t>
        </is>
      </c>
    </row>
    <row r="7" ht="24" customHeight="1">
      <c r="B7" s="14" t="inlineStr">
        <is>
          <t>REF/0003</t>
        </is>
      </c>
      <c r="C7" s="15" t="inlineStr"/>
      <c r="D7" s="16" t="inlineStr"/>
      <c r="E7" s="16" t="inlineStr"/>
      <c r="F7" s="15" t="inlineStr"/>
      <c r="G7" s="15" t="inlineStr">
        <is>
          <t>Private Hospital — Empanelled</t>
        </is>
      </c>
      <c r="H7" s="16" t="inlineStr">
        <is>
          <t>Private Vehicle (with escort)</t>
        </is>
      </c>
      <c r="I7" s="15" t="inlineStr"/>
      <c r="J7" s="16" t="inlineStr">
        <is>
          <t>Pending</t>
        </is>
      </c>
    </row>
    <row r="8" ht="24" customHeight="1">
      <c r="B8" s="8" t="inlineStr">
        <is>
          <t>REF/0004</t>
        </is>
      </c>
      <c r="C8" s="9" t="inlineStr"/>
      <c r="D8" s="10" t="inlineStr"/>
      <c r="E8" s="10" t="inlineStr"/>
      <c r="F8" s="9" t="inlineStr"/>
      <c r="G8" s="9" t="inlineStr">
        <is>
          <t>Eye / ENT Specialist Hospital</t>
        </is>
      </c>
      <c r="H8" s="10" t="inlineStr">
        <is>
          <t>Auto / Taxi (stable patient)</t>
        </is>
      </c>
      <c r="I8" s="9" t="inlineStr"/>
      <c r="J8" s="10" t="inlineStr">
        <is>
          <t>Pending</t>
        </is>
      </c>
    </row>
    <row r="9" ht="24" customHeight="1">
      <c r="B9" s="14" t="inlineStr">
        <is>
          <t>REF/0005</t>
        </is>
      </c>
      <c r="C9" s="15" t="inlineStr"/>
      <c r="D9" s="16" t="inlineStr"/>
      <c r="E9" s="16" t="inlineStr"/>
      <c r="F9" s="15" t="inlineStr"/>
      <c r="G9" s="15" t="inlineStr">
        <is>
          <t>Orthopaedic / Trauma Centre</t>
        </is>
      </c>
      <c r="H9" s="16" t="inlineStr">
        <is>
          <t>Parent's Vehicle</t>
        </is>
      </c>
      <c r="I9" s="15" t="inlineStr"/>
      <c r="J9" s="16" t="inlineStr">
        <is>
          <t>Pending</t>
        </is>
      </c>
    </row>
    <row r="10" ht="24" customHeight="1">
      <c r="B10" s="8" t="inlineStr">
        <is>
          <t>REF/0006</t>
        </is>
      </c>
      <c r="C10" s="9" t="inlineStr"/>
      <c r="D10" s="10" t="inlineStr"/>
      <c r="E10" s="10" t="inlineStr"/>
      <c r="F10" s="9" t="inlineStr"/>
      <c r="G10" s="9" t="inlineStr">
        <is>
          <t>Psychiatric Hospital</t>
        </is>
      </c>
      <c r="H10" s="10" t="inlineStr">
        <is>
          <t>Ambulance (108)</t>
        </is>
      </c>
      <c r="I10" s="9" t="inlineStr"/>
      <c r="J10" s="10" t="inlineStr">
        <is>
          <t>Pending</t>
        </is>
      </c>
    </row>
    <row r="11" ht="24" customHeight="1">
      <c r="B11" s="14" t="inlineStr">
        <is>
          <t>REF/0007</t>
        </is>
      </c>
      <c r="C11" s="15" t="inlineStr"/>
      <c r="D11" s="16" t="inlineStr"/>
      <c r="E11" s="16" t="inlineStr"/>
      <c r="F11" s="15" t="inlineStr"/>
      <c r="G11" s="15" t="inlineStr">
        <is>
          <t>Dental Hospital</t>
        </is>
      </c>
      <c r="H11" s="16" t="inlineStr">
        <is>
          <t>Institutional Ambulance</t>
        </is>
      </c>
      <c r="I11" s="15" t="inlineStr"/>
      <c r="J11" s="16" t="inlineStr">
        <is>
          <t>Pending</t>
        </is>
      </c>
    </row>
    <row r="12" ht="24" customHeight="1">
      <c r="B12" s="8" t="inlineStr">
        <is>
          <t>REF/0008</t>
        </is>
      </c>
      <c r="C12" s="9" t="inlineStr"/>
      <c r="D12" s="10" t="inlineStr"/>
      <c r="E12" s="10" t="inlineStr"/>
      <c r="F12" s="9" t="inlineStr"/>
      <c r="G12" s="9" t="inlineStr">
        <is>
          <t>Gynaecology / Women's Hospital</t>
        </is>
      </c>
      <c r="H12" s="10" t="inlineStr">
        <is>
          <t>Private Vehicle (with escort)</t>
        </is>
      </c>
      <c r="I12" s="9" t="inlineStr"/>
      <c r="J12" s="10" t="inlineStr">
        <is>
          <t>Pending</t>
        </is>
      </c>
    </row>
    <row r="13" ht="24" customHeight="1">
      <c r="B13" s="14" t="inlineStr">
        <is>
          <t>REF/0009</t>
        </is>
      </c>
      <c r="C13" s="15" t="inlineStr"/>
      <c r="D13" s="16" t="inlineStr"/>
      <c r="E13" s="16" t="inlineStr"/>
      <c r="F13" s="15" t="inlineStr"/>
      <c r="G13" s="15" t="inlineStr">
        <is>
          <t>Cancer / Oncology Centre</t>
        </is>
      </c>
      <c r="H13" s="16" t="inlineStr">
        <is>
          <t>Auto / Taxi (stable patient)</t>
        </is>
      </c>
      <c r="I13" s="15" t="inlineStr"/>
      <c r="J13" s="16" t="inlineStr">
        <is>
          <t>Pending</t>
        </is>
      </c>
    </row>
    <row r="14" ht="24" customHeight="1">
      <c r="B14" s="8" t="inlineStr">
        <is>
          <t>REF/0010</t>
        </is>
      </c>
      <c r="C14" s="9" t="inlineStr"/>
      <c r="D14" s="10" t="inlineStr"/>
      <c r="E14" s="10" t="inlineStr"/>
      <c r="F14" s="9" t="inlineStr"/>
      <c r="G14" s="9" t="inlineStr">
        <is>
          <t>Diagnostic Centre (for investigation)</t>
        </is>
      </c>
      <c r="H14" s="10" t="inlineStr">
        <is>
          <t>Parent's Vehicle</t>
        </is>
      </c>
      <c r="I14" s="9" t="inlineStr"/>
      <c r="J14" s="10" t="inlineStr">
        <is>
          <t>Pending</t>
        </is>
      </c>
    </row>
    <row r="15" ht="24" customHeight="1">
      <c r="B15" s="14" t="inlineStr">
        <is>
          <t>REF/0011</t>
        </is>
      </c>
      <c r="C15" s="15" t="inlineStr"/>
      <c r="D15" s="16" t="inlineStr"/>
      <c r="E15" s="16" t="inlineStr"/>
      <c r="F15" s="15" t="inlineStr"/>
      <c r="G15" s="15" t="inlineStr">
        <is>
          <t>Government General Hospital</t>
        </is>
      </c>
      <c r="H15" s="16" t="inlineStr">
        <is>
          <t>Ambulance (108)</t>
        </is>
      </c>
      <c r="I15" s="15" t="inlineStr"/>
      <c r="J15" s="16" t="inlineStr">
        <is>
          <t>Pending</t>
        </is>
      </c>
    </row>
    <row r="16" ht="24" customHeight="1">
      <c r="B16" s="8" t="inlineStr">
        <is>
          <t>REF/0012</t>
        </is>
      </c>
      <c r="C16" s="9" t="inlineStr"/>
      <c r="D16" s="10" t="inlineStr"/>
      <c r="E16" s="10" t="inlineStr"/>
      <c r="F16" s="9" t="inlineStr"/>
      <c r="G16" s="9" t="inlineStr">
        <is>
          <t>AIIMS / Medical College Hospital</t>
        </is>
      </c>
      <c r="H16" s="10" t="inlineStr">
        <is>
          <t>Institutional Ambulance</t>
        </is>
      </c>
      <c r="I16" s="9" t="inlineStr"/>
      <c r="J16" s="10" t="inlineStr">
        <is>
          <t>Pending</t>
        </is>
      </c>
    </row>
    <row r="17" ht="24" customHeight="1">
      <c r="B17" s="14" t="inlineStr">
        <is>
          <t>REF/0013</t>
        </is>
      </c>
      <c r="C17" s="15" t="inlineStr"/>
      <c r="D17" s="16" t="inlineStr"/>
      <c r="E17" s="16" t="inlineStr"/>
      <c r="F17" s="15" t="inlineStr"/>
      <c r="G17" s="15" t="inlineStr">
        <is>
          <t>Private Hospital — Empanelled</t>
        </is>
      </c>
      <c r="H17" s="16" t="inlineStr">
        <is>
          <t>Private Vehicle (with escort)</t>
        </is>
      </c>
      <c r="I17" s="15" t="inlineStr"/>
      <c r="J17" s="16" t="inlineStr">
        <is>
          <t>Pending</t>
        </is>
      </c>
    </row>
    <row r="18" ht="24" customHeight="1">
      <c r="B18" s="8" t="inlineStr">
        <is>
          <t>REF/0014</t>
        </is>
      </c>
      <c r="C18" s="9" t="inlineStr"/>
      <c r="D18" s="10" t="inlineStr"/>
      <c r="E18" s="10" t="inlineStr"/>
      <c r="F18" s="9" t="inlineStr"/>
      <c r="G18" s="9" t="inlineStr">
        <is>
          <t>Eye / ENT Specialist Hospital</t>
        </is>
      </c>
      <c r="H18" s="10" t="inlineStr">
        <is>
          <t>Auto / Taxi (stable patient)</t>
        </is>
      </c>
      <c r="I18" s="9" t="inlineStr"/>
      <c r="J18" s="10" t="inlineStr">
        <is>
          <t>Pending</t>
        </is>
      </c>
    </row>
    <row r="19" ht="24" customHeight="1">
      <c r="B19" s="14" t="inlineStr">
        <is>
          <t>REF/0015</t>
        </is>
      </c>
      <c r="C19" s="15" t="inlineStr"/>
      <c r="D19" s="16" t="inlineStr"/>
      <c r="E19" s="16" t="inlineStr"/>
      <c r="F19" s="15" t="inlineStr"/>
      <c r="G19" s="15" t="inlineStr">
        <is>
          <t>Orthopaedic / Trauma Centre</t>
        </is>
      </c>
      <c r="H19" s="16" t="inlineStr">
        <is>
          <t>Parent's Vehicle</t>
        </is>
      </c>
      <c r="I19" s="15" t="inlineStr"/>
      <c r="J19" s="16" t="inlineStr">
        <is>
          <t>Pending</t>
        </is>
      </c>
    </row>
    <row r="20" ht="24" customHeight="1">
      <c r="B20" s="8" t="inlineStr">
        <is>
          <t>REF/0016</t>
        </is>
      </c>
      <c r="C20" s="9" t="inlineStr"/>
      <c r="D20" s="10" t="inlineStr"/>
      <c r="E20" s="10" t="inlineStr"/>
      <c r="F20" s="9" t="inlineStr"/>
      <c r="G20" s="9" t="inlineStr">
        <is>
          <t>Psychiatric Hospital</t>
        </is>
      </c>
      <c r="H20" s="10" t="inlineStr">
        <is>
          <t>Ambulance (108)</t>
        </is>
      </c>
      <c r="I20" s="9" t="inlineStr"/>
      <c r="J20" s="10" t="inlineStr">
        <is>
          <t>Pending</t>
        </is>
      </c>
    </row>
    <row r="21" ht="24" customHeight="1">
      <c r="B21" s="14" t="inlineStr">
        <is>
          <t>REF/0017</t>
        </is>
      </c>
      <c r="C21" s="15" t="inlineStr"/>
      <c r="D21" s="16" t="inlineStr"/>
      <c r="E21" s="16" t="inlineStr"/>
      <c r="F21" s="15" t="inlineStr"/>
      <c r="G21" s="15" t="inlineStr">
        <is>
          <t>Dental Hospital</t>
        </is>
      </c>
      <c r="H21" s="16" t="inlineStr">
        <is>
          <t>Institutional Ambulance</t>
        </is>
      </c>
      <c r="I21" s="15" t="inlineStr"/>
      <c r="J21" s="16" t="inlineStr">
        <is>
          <t>Pending</t>
        </is>
      </c>
    </row>
    <row r="22" ht="24" customHeight="1">
      <c r="B22" s="8" t="inlineStr">
        <is>
          <t>REF/0018</t>
        </is>
      </c>
      <c r="C22" s="9" t="inlineStr"/>
      <c r="D22" s="10" t="inlineStr"/>
      <c r="E22" s="10" t="inlineStr"/>
      <c r="F22" s="9" t="inlineStr"/>
      <c r="G22" s="9" t="inlineStr">
        <is>
          <t>Gynaecology / Women's Hospital</t>
        </is>
      </c>
      <c r="H22" s="10" t="inlineStr">
        <is>
          <t>Private Vehicle (with escort)</t>
        </is>
      </c>
      <c r="I22" s="9" t="inlineStr"/>
      <c r="J22" s="10" t="inlineStr">
        <is>
          <t>Pending</t>
        </is>
      </c>
    </row>
    <row r="23" ht="24" customHeight="1">
      <c r="B23" s="14" t="inlineStr">
        <is>
          <t>REF/0019</t>
        </is>
      </c>
      <c r="C23" s="15" t="inlineStr"/>
      <c r="D23" s="16" t="inlineStr"/>
      <c r="E23" s="16" t="inlineStr"/>
      <c r="F23" s="15" t="inlineStr"/>
      <c r="G23" s="15" t="inlineStr">
        <is>
          <t>Cancer / Oncology Centre</t>
        </is>
      </c>
      <c r="H23" s="16" t="inlineStr">
        <is>
          <t>Auto / Taxi (stable patient)</t>
        </is>
      </c>
      <c r="I23" s="15" t="inlineStr"/>
      <c r="J23" s="16" t="inlineStr">
        <is>
          <t>Pending</t>
        </is>
      </c>
    </row>
    <row r="24" ht="24" customHeight="1">
      <c r="B24" s="8" t="inlineStr">
        <is>
          <t>REF/0020</t>
        </is>
      </c>
      <c r="C24" s="9" t="inlineStr"/>
      <c r="D24" s="10" t="inlineStr"/>
      <c r="E24" s="10" t="inlineStr"/>
      <c r="F24" s="9" t="inlineStr"/>
      <c r="G24" s="9" t="inlineStr">
        <is>
          <t>Diagnostic Centre (for investigation)</t>
        </is>
      </c>
      <c r="H24" s="10" t="inlineStr">
        <is>
          <t>Parent's Vehicle</t>
        </is>
      </c>
      <c r="I24" s="9" t="inlineStr"/>
      <c r="J24" s="10" t="inlineStr">
        <is>
          <t>Pending</t>
        </is>
      </c>
    </row>
    <row r="25" ht="24" customHeight="1">
      <c r="B25" s="14" t="inlineStr">
        <is>
          <t>REF/0021</t>
        </is>
      </c>
      <c r="C25" s="15" t="inlineStr"/>
      <c r="D25" s="16" t="inlineStr"/>
      <c r="E25" s="16" t="inlineStr"/>
      <c r="F25" s="15" t="inlineStr"/>
      <c r="G25" s="15" t="inlineStr">
        <is>
          <t>Government General Hospital</t>
        </is>
      </c>
      <c r="H25" s="16" t="inlineStr">
        <is>
          <t>Ambulance (108)</t>
        </is>
      </c>
      <c r="I25" s="15" t="inlineStr"/>
      <c r="J25" s="16" t="inlineStr">
        <is>
          <t>Pending</t>
        </is>
      </c>
    </row>
    <row r="26" ht="24" customHeight="1">
      <c r="B26" s="8" t="inlineStr">
        <is>
          <t>REF/0022</t>
        </is>
      </c>
      <c r="C26" s="9" t="inlineStr"/>
      <c r="D26" s="10" t="inlineStr"/>
      <c r="E26" s="10" t="inlineStr"/>
      <c r="F26" s="9" t="inlineStr"/>
      <c r="G26" s="9" t="inlineStr">
        <is>
          <t>AIIMS / Medical College Hospital</t>
        </is>
      </c>
      <c r="H26" s="10" t="inlineStr">
        <is>
          <t>Institutional Ambulance</t>
        </is>
      </c>
      <c r="I26" s="9" t="inlineStr"/>
      <c r="J26" s="10" t="inlineStr">
        <is>
          <t>Pending</t>
        </is>
      </c>
    </row>
    <row r="27" ht="24" customHeight="1"/>
    <row r="28" ht="24" customHeight="1">
      <c r="B28" s="35" t="inlineStr">
        <is>
          <t>REFERRAL SUMMARY</t>
        </is>
      </c>
    </row>
    <row r="29">
      <c r="B29" s="40" t="inlineStr">
        <is>
          <t>Total Referrals</t>
        </is>
      </c>
      <c r="F29" s="37">
        <f>COUNTA(B5:B26)</f>
        <v/>
      </c>
    </row>
    <row r="30">
      <c r="B30" s="26" t="inlineStr">
        <is>
          <t>Emergency Referrals (Ambulance)</t>
        </is>
      </c>
      <c r="F30" s="38">
        <f>COUNTIF(H5:H26,"Ambulance (108)")</f>
        <v/>
      </c>
    </row>
    <row r="31">
      <c r="B31" s="40" t="inlineStr">
        <is>
          <t>Government Hospital</t>
        </is>
      </c>
      <c r="F31" s="37">
        <f>COUNTIF(G5:G26,"Government General Hospital")</f>
        <v/>
      </c>
    </row>
    <row r="32">
      <c r="B32" s="26" t="inlineStr">
        <is>
          <t>Private Hospital</t>
        </is>
      </c>
      <c r="F32" s="38">
        <f>COUNTIF(G5:G26,"Private Hospital — Empanelled")</f>
        <v/>
      </c>
    </row>
    <row r="33">
      <c r="B33" s="40" t="inlineStr">
        <is>
          <t>Follow-up Completed</t>
        </is>
      </c>
      <c r="F33" s="37">
        <f>COUNTIF(J5:J26,"Completed")</f>
        <v/>
      </c>
    </row>
    <row r="34">
      <c r="B34" s="26" t="inlineStr">
        <is>
          <t>Follow-up Pending</t>
        </is>
      </c>
      <c r="F34" s="38">
        <f>COUNTIF(J5:J26,"Pending")</f>
        <v/>
      </c>
    </row>
  </sheetData>
  <mergeCells count="15">
    <mergeCell ref="B31:E31"/>
    <mergeCell ref="F30:J30"/>
    <mergeCell ref="B3:J3"/>
    <mergeCell ref="F29:J29"/>
    <mergeCell ref="B28:J28"/>
    <mergeCell ref="F34:J34"/>
    <mergeCell ref="B30:E30"/>
    <mergeCell ref="B29:E29"/>
    <mergeCell ref="B33:E33"/>
    <mergeCell ref="F33:J33"/>
    <mergeCell ref="F31:J31"/>
    <mergeCell ref="B34:E34"/>
    <mergeCell ref="F32:J32"/>
    <mergeCell ref="B2:J2"/>
    <mergeCell ref="B32:E3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M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3" customWidth="1" min="14" max="14"/>
  </cols>
  <sheetData>
    <row r="1" ht="10" customHeight="1"/>
    <row r="2" ht="48" customHeight="1">
      <c r="B2" s="12" t="inlineStr">
        <is>
          <t>MCC-25: ANNUAL HEALTH CHECK-UP REGISTER — STUDENTS</t>
        </is>
      </c>
    </row>
    <row r="3" ht="18" customHeight="1">
      <c r="B3" s="39" t="inlineStr">
        <is>
          <t>CONFIDENTIAL — Medical records are protected health information. Access restricted to Medical Cell staff and authorised personnel only. Retain as per Medical Records Rules.</t>
        </is>
      </c>
    </row>
    <row r="4" ht="25" customHeight="1">
      <c r="B4" s="2" t="inlineStr">
        <is>
          <t>A.Y.: _______  Camp Date(s): _______  Medical Officer: ___________________  Total Students: _______</t>
        </is>
      </c>
    </row>
    <row r="5" ht="22" customHeight="1">
      <c r="B5" s="20" t="inlineStr">
        <is>
          <t>MRN /
Roll No.</t>
        </is>
      </c>
      <c r="C5" s="20" t="inlineStr">
        <is>
          <t>Student Name</t>
        </is>
      </c>
      <c r="D5" s="20" t="inlineStr">
        <is>
          <t>Age</t>
        </is>
      </c>
      <c r="E5" s="20" t="inlineStr">
        <is>
          <t>Gender</t>
        </is>
      </c>
      <c r="F5" s="20" t="inlineStr">
        <is>
          <t>Height
(cm)</t>
        </is>
      </c>
      <c r="G5" s="20" t="inlineStr">
        <is>
          <t>Weight
(kg)</t>
        </is>
      </c>
      <c r="H5" s="20" t="inlineStr">
        <is>
          <t>BMI</t>
        </is>
      </c>
      <c r="I5" s="20" t="inlineStr">
        <is>
          <t>BP
(mmHg)</t>
        </is>
      </c>
      <c r="J5" s="20" t="inlineStr">
        <is>
          <t>Hb
(g/dL)</t>
        </is>
      </c>
      <c r="K5" s="20" t="inlineStr">
        <is>
          <t>Vision
(R/L)</t>
        </is>
      </c>
      <c r="L5" s="20" t="inlineStr">
        <is>
          <t>Blood
Group</t>
        </is>
      </c>
      <c r="M5" s="20" t="inlineStr">
        <is>
          <t>Health
Status</t>
        </is>
      </c>
    </row>
    <row r="6" ht="22" customHeight="1">
      <c r="B6" s="16" t="inlineStr"/>
      <c r="C6" s="15" t="inlineStr"/>
      <c r="D6" s="16" t="inlineStr"/>
      <c r="E6" s="16" t="inlineStr"/>
      <c r="F6" s="16" t="inlineStr"/>
      <c r="G6" s="16" t="inlineStr"/>
      <c r="H6" s="55">
        <f>IFERROR(ROUND(H6/((G6/100)^2),1),"")</f>
        <v/>
      </c>
      <c r="I6" s="16" t="inlineStr"/>
      <c r="J6" s="16" t="inlineStr"/>
      <c r="K6" s="16" t="inlineStr"/>
      <c r="L6" s="16" t="inlineStr"/>
      <c r="M6" s="15" t="inlineStr">
        <is>
          <t>Healthy — No concerns</t>
        </is>
      </c>
    </row>
    <row r="7" ht="22" customHeight="1">
      <c r="B7" s="10" t="inlineStr"/>
      <c r="C7" s="9" t="inlineStr"/>
      <c r="D7" s="10" t="inlineStr"/>
      <c r="E7" s="10" t="inlineStr"/>
      <c r="F7" s="10" t="inlineStr"/>
      <c r="G7" s="10" t="inlineStr"/>
      <c r="H7" s="38">
        <f>IFERROR(ROUND(H7/((G7/100)^2),1),"")</f>
        <v/>
      </c>
      <c r="I7" s="10" t="inlineStr"/>
      <c r="J7" s="10" t="inlineStr"/>
      <c r="K7" s="10" t="inlineStr"/>
      <c r="L7" s="10" t="inlineStr"/>
      <c r="M7" s="9" t="inlineStr">
        <is>
          <t>Mild concern — Counselled</t>
        </is>
      </c>
    </row>
    <row r="8" ht="22" customHeight="1">
      <c r="B8" s="16" t="inlineStr"/>
      <c r="C8" s="15" t="inlineStr"/>
      <c r="D8" s="16" t="inlineStr"/>
      <c r="E8" s="16" t="inlineStr"/>
      <c r="F8" s="16" t="inlineStr"/>
      <c r="G8" s="16" t="inlineStr"/>
      <c r="H8" s="55">
        <f>IFERROR(ROUND(H8/((G8/100)^2),1),"")</f>
        <v/>
      </c>
      <c r="I8" s="16" t="inlineStr"/>
      <c r="J8" s="16" t="inlineStr"/>
      <c r="K8" s="16" t="inlineStr"/>
      <c r="L8" s="16" t="inlineStr"/>
      <c r="M8" s="15" t="inlineStr">
        <is>
          <t>Referred for follow-up</t>
        </is>
      </c>
    </row>
    <row r="9" ht="22" customHeight="1">
      <c r="B9" s="10" t="inlineStr"/>
      <c r="C9" s="9" t="inlineStr"/>
      <c r="D9" s="10" t="inlineStr"/>
      <c r="E9" s="10" t="inlineStr"/>
      <c r="F9" s="10" t="inlineStr"/>
      <c r="G9" s="10" t="inlineStr"/>
      <c r="H9" s="38">
        <f>IFERROR(ROUND(H9/((G9/100)^2),1),"")</f>
        <v/>
      </c>
      <c r="I9" s="10" t="inlineStr"/>
      <c r="J9" s="10" t="inlineStr"/>
      <c r="K9" s="10" t="inlineStr"/>
      <c r="L9" s="10" t="inlineStr"/>
      <c r="M9" s="9" t="inlineStr">
        <is>
          <t>Anaemia — Treatment advised</t>
        </is>
      </c>
    </row>
    <row r="10" ht="22" customHeight="1">
      <c r="B10" s="16" t="inlineStr"/>
      <c r="C10" s="15" t="inlineStr"/>
      <c r="D10" s="16" t="inlineStr"/>
      <c r="E10" s="16" t="inlineStr"/>
      <c r="F10" s="16" t="inlineStr"/>
      <c r="G10" s="16" t="inlineStr"/>
      <c r="H10" s="55">
        <f>IFERROR(ROUND(H10/((G10/100)^2),1),"")</f>
        <v/>
      </c>
      <c r="I10" s="16" t="inlineStr"/>
      <c r="J10" s="16" t="inlineStr"/>
      <c r="K10" s="16" t="inlineStr"/>
      <c r="L10" s="16" t="inlineStr"/>
      <c r="M10" s="15" t="inlineStr">
        <is>
          <t>Obesity — Diet &amp; exercise advised</t>
        </is>
      </c>
    </row>
    <row r="11" ht="22" customHeight="1">
      <c r="B11" s="10" t="inlineStr"/>
      <c r="C11" s="9" t="inlineStr"/>
      <c r="D11" s="10" t="inlineStr"/>
      <c r="E11" s="10" t="inlineStr"/>
      <c r="F11" s="10" t="inlineStr"/>
      <c r="G11" s="10" t="inlineStr"/>
      <c r="H11" s="38">
        <f>IFERROR(ROUND(H11/((G11/100)^2),1),"")</f>
        <v/>
      </c>
      <c r="I11" s="10" t="inlineStr"/>
      <c r="J11" s="10" t="inlineStr"/>
      <c r="K11" s="10" t="inlineStr"/>
      <c r="L11" s="10" t="inlineStr"/>
      <c r="M11" s="9" t="inlineStr">
        <is>
          <t>Under-weight — Nutrition advised</t>
        </is>
      </c>
    </row>
    <row r="12" ht="22" customHeight="1">
      <c r="B12" s="16" t="inlineStr"/>
      <c r="C12" s="15" t="inlineStr"/>
      <c r="D12" s="16" t="inlineStr"/>
      <c r="E12" s="16" t="inlineStr"/>
      <c r="F12" s="16" t="inlineStr"/>
      <c r="G12" s="16" t="inlineStr"/>
      <c r="H12" s="55">
        <f>IFERROR(ROUND(H12/((G12/100)^2),1),"")</f>
        <v/>
      </c>
      <c r="I12" s="16" t="inlineStr"/>
      <c r="J12" s="16" t="inlineStr"/>
      <c r="K12" s="16" t="inlineStr"/>
      <c r="L12" s="16" t="inlineStr"/>
      <c r="M12" s="15" t="inlineStr">
        <is>
          <t>BP concern — Monitoring</t>
        </is>
      </c>
    </row>
    <row r="13" ht="22" customHeight="1">
      <c r="B13" s="10" t="inlineStr"/>
      <c r="C13" s="9" t="inlineStr"/>
      <c r="D13" s="10" t="inlineStr"/>
      <c r="E13" s="10" t="inlineStr"/>
      <c r="F13" s="10" t="inlineStr"/>
      <c r="G13" s="10" t="inlineStr"/>
      <c r="H13" s="38">
        <f>IFERROR(ROUND(H13/((G13/100)^2),1),"")</f>
        <v/>
      </c>
      <c r="I13" s="10" t="inlineStr"/>
      <c r="J13" s="10" t="inlineStr"/>
      <c r="K13" s="10" t="inlineStr"/>
      <c r="L13" s="10" t="inlineStr"/>
      <c r="M13" s="9" t="inlineStr">
        <is>
          <t>Vision concern — Ophthalmology referral</t>
        </is>
      </c>
    </row>
    <row r="14" ht="22" customHeight="1">
      <c r="B14" s="16" t="inlineStr"/>
      <c r="C14" s="15" t="inlineStr"/>
      <c r="D14" s="16" t="inlineStr"/>
      <c r="E14" s="16" t="inlineStr"/>
      <c r="F14" s="16" t="inlineStr"/>
      <c r="G14" s="16" t="inlineStr"/>
      <c r="H14" s="55">
        <f>IFERROR(ROUND(H14/((G14/100)^2),1),"")</f>
        <v/>
      </c>
      <c r="I14" s="16" t="inlineStr"/>
      <c r="J14" s="16" t="inlineStr"/>
      <c r="K14" s="16" t="inlineStr"/>
      <c r="L14" s="16" t="inlineStr"/>
      <c r="M14" s="15" t="inlineStr">
        <is>
          <t>Dental concern — Dentist referral</t>
        </is>
      </c>
    </row>
    <row r="15" ht="22" customHeight="1">
      <c r="B15" s="10" t="inlineStr"/>
      <c r="C15" s="9" t="inlineStr"/>
      <c r="D15" s="10" t="inlineStr"/>
      <c r="E15" s="10" t="inlineStr"/>
      <c r="F15" s="10" t="inlineStr"/>
      <c r="G15" s="10" t="inlineStr"/>
      <c r="H15" s="38">
        <f>IFERROR(ROUND(H15/((G15/100)^2),1),"")</f>
        <v/>
      </c>
      <c r="I15" s="10" t="inlineStr"/>
      <c r="J15" s="10" t="inlineStr"/>
      <c r="K15" s="10" t="inlineStr"/>
      <c r="L15" s="10" t="inlineStr"/>
      <c r="M15" s="9" t="inlineStr">
        <is>
          <t>Healthy — No concerns</t>
        </is>
      </c>
    </row>
    <row r="16" ht="22" customHeight="1">
      <c r="B16" s="16" t="inlineStr"/>
      <c r="C16" s="15" t="inlineStr"/>
      <c r="D16" s="16" t="inlineStr"/>
      <c r="E16" s="16" t="inlineStr"/>
      <c r="F16" s="16" t="inlineStr"/>
      <c r="G16" s="16" t="inlineStr"/>
      <c r="H16" s="55">
        <f>IFERROR(ROUND(H16/((G16/100)^2),1),"")</f>
        <v/>
      </c>
      <c r="I16" s="16" t="inlineStr"/>
      <c r="J16" s="16" t="inlineStr"/>
      <c r="K16" s="16" t="inlineStr"/>
      <c r="L16" s="16" t="inlineStr"/>
      <c r="M16" s="15" t="inlineStr">
        <is>
          <t>Mild concern — Counselled</t>
        </is>
      </c>
    </row>
    <row r="17" ht="22" customHeight="1">
      <c r="B17" s="10" t="inlineStr"/>
      <c r="C17" s="9" t="inlineStr"/>
      <c r="D17" s="10" t="inlineStr"/>
      <c r="E17" s="10" t="inlineStr"/>
      <c r="F17" s="10" t="inlineStr"/>
      <c r="G17" s="10" t="inlineStr"/>
      <c r="H17" s="38">
        <f>IFERROR(ROUND(H17/((G17/100)^2),1),"")</f>
        <v/>
      </c>
      <c r="I17" s="10" t="inlineStr"/>
      <c r="J17" s="10" t="inlineStr"/>
      <c r="K17" s="10" t="inlineStr"/>
      <c r="L17" s="10" t="inlineStr"/>
      <c r="M17" s="9" t="inlineStr">
        <is>
          <t>Referred for follow-up</t>
        </is>
      </c>
    </row>
    <row r="18" ht="22" customHeight="1">
      <c r="B18" s="16" t="inlineStr"/>
      <c r="C18" s="15" t="inlineStr"/>
      <c r="D18" s="16" t="inlineStr"/>
      <c r="E18" s="16" t="inlineStr"/>
      <c r="F18" s="16" t="inlineStr"/>
      <c r="G18" s="16" t="inlineStr"/>
      <c r="H18" s="55">
        <f>IFERROR(ROUND(H18/((G18/100)^2),1),"")</f>
        <v/>
      </c>
      <c r="I18" s="16" t="inlineStr"/>
      <c r="J18" s="16" t="inlineStr"/>
      <c r="K18" s="16" t="inlineStr"/>
      <c r="L18" s="16" t="inlineStr"/>
      <c r="M18" s="15" t="inlineStr">
        <is>
          <t>Anaemia — Treatment advised</t>
        </is>
      </c>
    </row>
    <row r="19" ht="22" customHeight="1">
      <c r="B19" s="10" t="inlineStr"/>
      <c r="C19" s="9" t="inlineStr"/>
      <c r="D19" s="10" t="inlineStr"/>
      <c r="E19" s="10" t="inlineStr"/>
      <c r="F19" s="10" t="inlineStr"/>
      <c r="G19" s="10" t="inlineStr"/>
      <c r="H19" s="38">
        <f>IFERROR(ROUND(H19/((G19/100)^2),1),"")</f>
        <v/>
      </c>
      <c r="I19" s="10" t="inlineStr"/>
      <c r="J19" s="10" t="inlineStr"/>
      <c r="K19" s="10" t="inlineStr"/>
      <c r="L19" s="10" t="inlineStr"/>
      <c r="M19" s="9" t="inlineStr">
        <is>
          <t>Obesity — Diet &amp; exercise advised</t>
        </is>
      </c>
    </row>
    <row r="20" ht="22" customHeight="1">
      <c r="B20" s="16" t="inlineStr"/>
      <c r="C20" s="15" t="inlineStr"/>
      <c r="D20" s="16" t="inlineStr"/>
      <c r="E20" s="16" t="inlineStr"/>
      <c r="F20" s="16" t="inlineStr"/>
      <c r="G20" s="16" t="inlineStr"/>
      <c r="H20" s="55">
        <f>IFERROR(ROUND(H20/((G20/100)^2),1),"")</f>
        <v/>
      </c>
      <c r="I20" s="16" t="inlineStr"/>
      <c r="J20" s="16" t="inlineStr"/>
      <c r="K20" s="16" t="inlineStr"/>
      <c r="L20" s="16" t="inlineStr"/>
      <c r="M20" s="15" t="inlineStr">
        <is>
          <t>Under-weight — Nutrition advised</t>
        </is>
      </c>
    </row>
    <row r="21" ht="22" customHeight="1">
      <c r="B21" s="10" t="inlineStr"/>
      <c r="C21" s="9" t="inlineStr"/>
      <c r="D21" s="10" t="inlineStr"/>
      <c r="E21" s="10" t="inlineStr"/>
      <c r="F21" s="10" t="inlineStr"/>
      <c r="G21" s="10" t="inlineStr"/>
      <c r="H21" s="38">
        <f>IFERROR(ROUND(H21/((G21/100)^2),1),"")</f>
        <v/>
      </c>
      <c r="I21" s="10" t="inlineStr"/>
      <c r="J21" s="10" t="inlineStr"/>
      <c r="K21" s="10" t="inlineStr"/>
      <c r="L21" s="10" t="inlineStr"/>
      <c r="M21" s="9" t="inlineStr">
        <is>
          <t>BP concern — Monitoring</t>
        </is>
      </c>
    </row>
    <row r="22" ht="22" customHeight="1">
      <c r="B22" s="16" t="inlineStr"/>
      <c r="C22" s="15" t="inlineStr"/>
      <c r="D22" s="16" t="inlineStr"/>
      <c r="E22" s="16" t="inlineStr"/>
      <c r="F22" s="16" t="inlineStr"/>
      <c r="G22" s="16" t="inlineStr"/>
      <c r="H22" s="55">
        <f>IFERROR(ROUND(H22/((G22/100)^2),1),"")</f>
        <v/>
      </c>
      <c r="I22" s="16" t="inlineStr"/>
      <c r="J22" s="16" t="inlineStr"/>
      <c r="K22" s="16" t="inlineStr"/>
      <c r="L22" s="16" t="inlineStr"/>
      <c r="M22" s="15" t="inlineStr">
        <is>
          <t>Vision concern — Ophthalmology referral</t>
        </is>
      </c>
    </row>
    <row r="23" ht="22" customHeight="1">
      <c r="B23" s="10" t="inlineStr"/>
      <c r="C23" s="9" t="inlineStr"/>
      <c r="D23" s="10" t="inlineStr"/>
      <c r="E23" s="10" t="inlineStr"/>
      <c r="F23" s="10" t="inlineStr"/>
      <c r="G23" s="10" t="inlineStr"/>
      <c r="H23" s="38">
        <f>IFERROR(ROUND(H23/((G23/100)^2),1),"")</f>
        <v/>
      </c>
      <c r="I23" s="10" t="inlineStr"/>
      <c r="J23" s="10" t="inlineStr"/>
      <c r="K23" s="10" t="inlineStr"/>
      <c r="L23" s="10" t="inlineStr"/>
      <c r="M23" s="9" t="inlineStr">
        <is>
          <t>Dental concern — Dentist referral</t>
        </is>
      </c>
    </row>
    <row r="24" ht="22" customHeight="1">
      <c r="B24" s="16" t="inlineStr"/>
      <c r="C24" s="15" t="inlineStr"/>
      <c r="D24" s="16" t="inlineStr"/>
      <c r="E24" s="16" t="inlineStr"/>
      <c r="F24" s="16" t="inlineStr"/>
      <c r="G24" s="16" t="inlineStr"/>
      <c r="H24" s="55">
        <f>IFERROR(ROUND(H24/((G24/100)^2),1),"")</f>
        <v/>
      </c>
      <c r="I24" s="16" t="inlineStr"/>
      <c r="J24" s="16" t="inlineStr"/>
      <c r="K24" s="16" t="inlineStr"/>
      <c r="L24" s="16" t="inlineStr"/>
      <c r="M24" s="15" t="inlineStr">
        <is>
          <t>Healthy — No concerns</t>
        </is>
      </c>
    </row>
    <row r="25" ht="22" customHeight="1">
      <c r="B25" s="10" t="inlineStr"/>
      <c r="C25" s="9" t="inlineStr"/>
      <c r="D25" s="10" t="inlineStr"/>
      <c r="E25" s="10" t="inlineStr"/>
      <c r="F25" s="10" t="inlineStr"/>
      <c r="G25" s="10" t="inlineStr"/>
      <c r="H25" s="38">
        <f>IFERROR(ROUND(H25/((G25/100)^2),1),"")</f>
        <v/>
      </c>
      <c r="I25" s="10" t="inlineStr"/>
      <c r="J25" s="10" t="inlineStr"/>
      <c r="K25" s="10" t="inlineStr"/>
      <c r="L25" s="10" t="inlineStr"/>
      <c r="M25" s="9" t="inlineStr">
        <is>
          <t>Mild concern — Counselled</t>
        </is>
      </c>
    </row>
    <row r="26" ht="22" customHeight="1">
      <c r="B26" s="16" t="inlineStr"/>
      <c r="C26" s="15" t="inlineStr"/>
      <c r="D26" s="16" t="inlineStr"/>
      <c r="E26" s="16" t="inlineStr"/>
      <c r="F26" s="16" t="inlineStr"/>
      <c r="G26" s="16" t="inlineStr"/>
      <c r="H26" s="55">
        <f>IFERROR(ROUND(H26/((G26/100)^2),1),"")</f>
        <v/>
      </c>
      <c r="I26" s="16" t="inlineStr"/>
      <c r="J26" s="16" t="inlineStr"/>
      <c r="K26" s="16" t="inlineStr"/>
      <c r="L26" s="16" t="inlineStr"/>
      <c r="M26" s="15" t="inlineStr">
        <is>
          <t>Referred for follow-up</t>
        </is>
      </c>
    </row>
    <row r="27" ht="22" customHeight="1">
      <c r="B27" s="10" t="inlineStr"/>
      <c r="C27" s="9" t="inlineStr"/>
      <c r="D27" s="10" t="inlineStr"/>
      <c r="E27" s="10" t="inlineStr"/>
      <c r="F27" s="10" t="inlineStr"/>
      <c r="G27" s="10" t="inlineStr"/>
      <c r="H27" s="38">
        <f>IFERROR(ROUND(H27/((G27/100)^2),1),"")</f>
        <v/>
      </c>
      <c r="I27" s="10" t="inlineStr"/>
      <c r="J27" s="10" t="inlineStr"/>
      <c r="K27" s="10" t="inlineStr"/>
      <c r="L27" s="10" t="inlineStr"/>
      <c r="M27" s="9" t="inlineStr">
        <is>
          <t>Anaemia — Treatment advised</t>
        </is>
      </c>
    </row>
    <row r="28" ht="22" customHeight="1">
      <c r="B28" s="16" t="inlineStr"/>
      <c r="C28" s="15" t="inlineStr"/>
      <c r="D28" s="16" t="inlineStr"/>
      <c r="E28" s="16" t="inlineStr"/>
      <c r="F28" s="16" t="inlineStr"/>
      <c r="G28" s="16" t="inlineStr"/>
      <c r="H28" s="55">
        <f>IFERROR(ROUND(H28/((G28/100)^2),1),"")</f>
        <v/>
      </c>
      <c r="I28" s="16" t="inlineStr"/>
      <c r="J28" s="16" t="inlineStr"/>
      <c r="K28" s="16" t="inlineStr"/>
      <c r="L28" s="16" t="inlineStr"/>
      <c r="M28" s="15" t="inlineStr">
        <is>
          <t>Obesity — Diet &amp; exercise advised</t>
        </is>
      </c>
    </row>
    <row r="29" ht="22" customHeight="1">
      <c r="B29" s="10" t="inlineStr"/>
      <c r="C29" s="9" t="inlineStr"/>
      <c r="D29" s="10" t="inlineStr"/>
      <c r="E29" s="10" t="inlineStr"/>
      <c r="F29" s="10" t="inlineStr"/>
      <c r="G29" s="10" t="inlineStr"/>
      <c r="H29" s="38">
        <f>IFERROR(ROUND(H29/((G29/100)^2),1),"")</f>
        <v/>
      </c>
      <c r="I29" s="10" t="inlineStr"/>
      <c r="J29" s="10" t="inlineStr"/>
      <c r="K29" s="10" t="inlineStr"/>
      <c r="L29" s="10" t="inlineStr"/>
      <c r="M29" s="9" t="inlineStr">
        <is>
          <t>Under-weight — Nutrition advised</t>
        </is>
      </c>
    </row>
    <row r="30" ht="22" customHeight="1">
      <c r="B30" s="16" t="inlineStr"/>
      <c r="C30" s="15" t="inlineStr"/>
      <c r="D30" s="16" t="inlineStr"/>
      <c r="E30" s="16" t="inlineStr"/>
      <c r="F30" s="16" t="inlineStr"/>
      <c r="G30" s="16" t="inlineStr"/>
      <c r="H30" s="55">
        <f>IFERROR(ROUND(H30/((G30/100)^2),1),"")</f>
        <v/>
      </c>
      <c r="I30" s="16" t="inlineStr"/>
      <c r="J30" s="16" t="inlineStr"/>
      <c r="K30" s="16" t="inlineStr"/>
      <c r="L30" s="16" t="inlineStr"/>
      <c r="M30" s="15" t="inlineStr">
        <is>
          <t>BP concern — Monitoring</t>
        </is>
      </c>
    </row>
    <row r="31" ht="22" customHeight="1">
      <c r="B31" s="10" t="inlineStr"/>
      <c r="C31" s="9" t="inlineStr"/>
      <c r="D31" s="10" t="inlineStr"/>
      <c r="E31" s="10" t="inlineStr"/>
      <c r="F31" s="10" t="inlineStr"/>
      <c r="G31" s="10" t="inlineStr"/>
      <c r="H31" s="38">
        <f>IFERROR(ROUND(H31/((G31/100)^2),1),"")</f>
        <v/>
      </c>
      <c r="I31" s="10" t="inlineStr"/>
      <c r="J31" s="10" t="inlineStr"/>
      <c r="K31" s="10" t="inlineStr"/>
      <c r="L31" s="10" t="inlineStr"/>
      <c r="M31" s="9" t="inlineStr">
        <is>
          <t>Vision concern — Ophthalmology referral</t>
        </is>
      </c>
    </row>
    <row r="32" ht="22" customHeight="1">
      <c r="B32" s="16" t="inlineStr"/>
      <c r="C32" s="15" t="inlineStr"/>
      <c r="D32" s="16" t="inlineStr"/>
      <c r="E32" s="16" t="inlineStr"/>
      <c r="F32" s="16" t="inlineStr"/>
      <c r="G32" s="16" t="inlineStr"/>
      <c r="H32" s="55">
        <f>IFERROR(ROUND(H32/((G32/100)^2),1),"")</f>
        <v/>
      </c>
      <c r="I32" s="16" t="inlineStr"/>
      <c r="J32" s="16" t="inlineStr"/>
      <c r="K32" s="16" t="inlineStr"/>
      <c r="L32" s="16" t="inlineStr"/>
      <c r="M32" s="15" t="inlineStr">
        <is>
          <t>Dental concern — Dentist referral</t>
        </is>
      </c>
    </row>
    <row r="33" ht="22" customHeight="1">
      <c r="B33" s="10" t="inlineStr"/>
      <c r="C33" s="9" t="inlineStr"/>
      <c r="D33" s="10" t="inlineStr"/>
      <c r="E33" s="10" t="inlineStr"/>
      <c r="F33" s="10" t="inlineStr"/>
      <c r="G33" s="10" t="inlineStr"/>
      <c r="H33" s="38">
        <f>IFERROR(ROUND(H33/((G33/100)^2),1),"")</f>
        <v/>
      </c>
      <c r="I33" s="10" t="inlineStr"/>
      <c r="J33" s="10" t="inlineStr"/>
      <c r="K33" s="10" t="inlineStr"/>
      <c r="L33" s="10" t="inlineStr"/>
      <c r="M33" s="9" t="inlineStr">
        <is>
          <t>Healthy — No concerns</t>
        </is>
      </c>
    </row>
    <row r="34" ht="22" customHeight="1">
      <c r="B34" s="16" t="inlineStr"/>
      <c r="C34" s="15" t="inlineStr"/>
      <c r="D34" s="16" t="inlineStr"/>
      <c r="E34" s="16" t="inlineStr"/>
      <c r="F34" s="16" t="inlineStr"/>
      <c r="G34" s="16" t="inlineStr"/>
      <c r="H34" s="55">
        <f>IFERROR(ROUND(H34/((G34/100)^2),1),"")</f>
        <v/>
      </c>
      <c r="I34" s="16" t="inlineStr"/>
      <c r="J34" s="16" t="inlineStr"/>
      <c r="K34" s="16" t="inlineStr"/>
      <c r="L34" s="16" t="inlineStr"/>
      <c r="M34" s="15" t="inlineStr">
        <is>
          <t>Mild concern — Counselled</t>
        </is>
      </c>
    </row>
    <row r="35" ht="22" customHeight="1">
      <c r="B35" s="10" t="inlineStr"/>
      <c r="C35" s="9" t="inlineStr"/>
      <c r="D35" s="10" t="inlineStr"/>
      <c r="E35" s="10" t="inlineStr"/>
      <c r="F35" s="10" t="inlineStr"/>
      <c r="G35" s="10" t="inlineStr"/>
      <c r="H35" s="38">
        <f>IFERROR(ROUND(H35/((G35/100)^2),1),"")</f>
        <v/>
      </c>
      <c r="I35" s="10" t="inlineStr"/>
      <c r="J35" s="10" t="inlineStr"/>
      <c r="K35" s="10" t="inlineStr"/>
      <c r="L35" s="10" t="inlineStr"/>
      <c r="M35" s="9" t="inlineStr">
        <is>
          <t>Referred for follow-up</t>
        </is>
      </c>
    </row>
    <row r="36" ht="22" customHeight="1">
      <c r="B36" s="16" t="inlineStr"/>
      <c r="C36" s="15" t="inlineStr"/>
      <c r="D36" s="16" t="inlineStr"/>
      <c r="E36" s="16" t="inlineStr"/>
      <c r="F36" s="16" t="inlineStr"/>
      <c r="G36" s="16" t="inlineStr"/>
      <c r="H36" s="55">
        <f>IFERROR(ROUND(H36/((G36/100)^2),1),"")</f>
        <v/>
      </c>
      <c r="I36" s="16" t="inlineStr"/>
      <c r="J36" s="16" t="inlineStr"/>
      <c r="K36" s="16" t="inlineStr"/>
      <c r="L36" s="16" t="inlineStr"/>
      <c r="M36" s="15" t="inlineStr">
        <is>
          <t>Anaemia — Treatment advised</t>
        </is>
      </c>
    </row>
    <row r="37" ht="22" customHeight="1">
      <c r="B37" s="10" t="inlineStr"/>
      <c r="C37" s="9" t="inlineStr"/>
      <c r="D37" s="10" t="inlineStr"/>
      <c r="E37" s="10" t="inlineStr"/>
      <c r="F37" s="10" t="inlineStr"/>
      <c r="G37" s="10" t="inlineStr"/>
      <c r="H37" s="38">
        <f>IFERROR(ROUND(H37/((G37/100)^2),1),"")</f>
        <v/>
      </c>
      <c r="I37" s="10" t="inlineStr"/>
      <c r="J37" s="10" t="inlineStr"/>
      <c r="K37" s="10" t="inlineStr"/>
      <c r="L37" s="10" t="inlineStr"/>
      <c r="M37" s="9" t="inlineStr">
        <is>
          <t>Obesity — Diet &amp; exercise advised</t>
        </is>
      </c>
    </row>
    <row r="38" ht="22" customHeight="1"/>
    <row r="39" ht="24" customHeight="1">
      <c r="B39" s="35" t="inlineStr">
        <is>
          <t>HEALTH CHECK-UP SUMMARY</t>
        </is>
      </c>
    </row>
    <row r="40">
      <c r="B40" s="40" t="inlineStr">
        <is>
          <t>Total Students Screened</t>
        </is>
      </c>
      <c r="G40" s="37">
        <f>COUNTA(B6:B37)</f>
        <v/>
      </c>
    </row>
    <row r="41">
      <c r="B41" s="26" t="inlineStr">
        <is>
          <t>Healthy — No Concerns</t>
        </is>
      </c>
      <c r="G41" s="38">
        <f>COUNTIF(M6:M37,"Healthy — No concerns")</f>
        <v/>
      </c>
    </row>
    <row r="42">
      <c r="B42" s="40" t="inlineStr">
        <is>
          <t>Anaemia Identified</t>
        </is>
      </c>
      <c r="G42" s="37">
        <f>COUNTIF(M6:M37,"Anaemia — Treatment advised")</f>
        <v/>
      </c>
    </row>
    <row r="43">
      <c r="B43" s="26" t="inlineStr">
        <is>
          <t>Obesity / Overweight</t>
        </is>
      </c>
      <c r="G43" s="38">
        <f>COUNTIF(M6:M37,"Obesity — Diet &amp; exercise advised")</f>
        <v/>
      </c>
    </row>
    <row r="44">
      <c r="B44" s="40" t="inlineStr">
        <is>
          <t>Vision Concerns</t>
        </is>
      </c>
      <c r="G44" s="37">
        <f>COUNTIF(M6:M37,"Vision concern — Ophthalmology referral")</f>
        <v/>
      </c>
    </row>
    <row r="45">
      <c r="B45" s="26" t="inlineStr">
        <is>
          <t>Average BMI (campus)</t>
        </is>
      </c>
      <c r="G45" s="38">
        <f>IFERROR(ROUND(AVERAGE(H6:H37),1),"")</f>
        <v/>
      </c>
    </row>
  </sheetData>
  <mergeCells count="16">
    <mergeCell ref="B44:F44"/>
    <mergeCell ref="B2:M2"/>
    <mergeCell ref="G42:M42"/>
    <mergeCell ref="B43:F43"/>
    <mergeCell ref="G45:M45"/>
    <mergeCell ref="G40:M40"/>
    <mergeCell ref="B3:M3"/>
    <mergeCell ref="B42:F42"/>
    <mergeCell ref="G41:M41"/>
    <mergeCell ref="G43:M43"/>
    <mergeCell ref="B45:F45"/>
    <mergeCell ref="B4:M4"/>
    <mergeCell ref="B40:F40"/>
    <mergeCell ref="B41:F41"/>
    <mergeCell ref="G44:M44"/>
    <mergeCell ref="B39:M3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MCC-31 / MCC-33: MENTAL HEALTH OPD &amp; COUNSELLING SESSION REGISTER</t>
        </is>
      </c>
    </row>
    <row r="3" ht="18" customHeight="1">
      <c r="B3" s="39" t="inlineStr">
        <is>
          <t>STRICTLY CONFIDENTIAL — Mental health records have enhanced privacy protection. Access: Counsellor &amp; Medical Officer only. Breach = disciplinary action.</t>
        </is>
      </c>
    </row>
    <row r="4" ht="25" customHeight="1">
      <c r="B4" s="2" t="inlineStr">
        <is>
          <t>Counsellor: ___________________  Qualification: ___________________  A.Y.: _______</t>
        </is>
      </c>
    </row>
    <row r="5" ht="24" customHeight="1">
      <c r="B5" s="62" t="inlineStr">
        <is>
          <t>Session
Ref.</t>
        </is>
      </c>
      <c r="C5" s="62" t="inlineStr">
        <is>
          <t>Patient
(Code)</t>
        </is>
      </c>
      <c r="D5" s="62" t="inlineStr">
        <is>
          <t>MRN</t>
        </is>
      </c>
      <c r="E5" s="62" t="inlineStr">
        <is>
          <t>Session
Type</t>
        </is>
      </c>
      <c r="F5" s="62" t="inlineStr">
        <is>
          <t>Date</t>
        </is>
      </c>
      <c r="G5" s="62" t="inlineStr">
        <is>
          <t>Duration
(Mins)</t>
        </is>
      </c>
      <c r="H5" s="62" t="inlineStr">
        <is>
          <t>Presenting
Concern</t>
        </is>
      </c>
      <c r="I5" s="62" t="inlineStr">
        <is>
          <t>Progress
Rating</t>
        </is>
      </c>
      <c r="J5" s="62" t="inlineStr">
        <is>
          <t>Next
Action</t>
        </is>
      </c>
    </row>
    <row r="6" ht="24" customHeight="1">
      <c r="B6" s="63" t="inlineStr">
        <is>
          <t>MH/001</t>
        </is>
      </c>
      <c r="C6" s="64" t="inlineStr">
        <is>
          <t>PAT-001</t>
        </is>
      </c>
      <c r="D6" s="64" t="inlineStr"/>
      <c r="E6" s="64" t="inlineStr">
        <is>
          <t>Initial Assessment</t>
        </is>
      </c>
      <c r="F6" s="64" t="inlineStr"/>
      <c r="G6" s="64" t="inlineStr"/>
      <c r="H6" s="65" t="inlineStr">
        <is>
          <t>Academic Stress / Exam Anxiety</t>
        </is>
      </c>
      <c r="I6" s="64" t="inlineStr">
        <is>
          <t>Improving — Positive Engagement</t>
        </is>
      </c>
      <c r="J6" s="65" t="inlineStr"/>
    </row>
    <row r="7" ht="24" customHeight="1">
      <c r="B7" s="8" t="inlineStr">
        <is>
          <t>MH/002</t>
        </is>
      </c>
      <c r="C7" s="10" t="inlineStr">
        <is>
          <t>PAT-002</t>
        </is>
      </c>
      <c r="D7" s="10" t="inlineStr"/>
      <c r="E7" s="10" t="inlineStr">
        <is>
          <t>Individual CBT</t>
        </is>
      </c>
      <c r="F7" s="10" t="inlineStr"/>
      <c r="G7" s="10" t="inlineStr"/>
      <c r="H7" s="9" t="inlineStr">
        <is>
          <t>Depression / Low Mood</t>
        </is>
      </c>
      <c r="I7" s="10" t="inlineStr">
        <is>
          <t>Stable — Ongoing Support</t>
        </is>
      </c>
      <c r="J7" s="9" t="inlineStr"/>
    </row>
    <row r="8" ht="24" customHeight="1">
      <c r="B8" s="63" t="inlineStr">
        <is>
          <t>MH/003</t>
        </is>
      </c>
      <c r="C8" s="64" t="inlineStr">
        <is>
          <t>PAT-003</t>
        </is>
      </c>
      <c r="D8" s="64" t="inlineStr"/>
      <c r="E8" s="64" t="inlineStr">
        <is>
          <t>Supportive Counselling</t>
        </is>
      </c>
      <c r="F8" s="64" t="inlineStr"/>
      <c r="G8" s="64" t="inlineStr"/>
      <c r="H8" s="65" t="inlineStr">
        <is>
          <t>Anxiety / Panic Attacks</t>
        </is>
      </c>
      <c r="I8" s="64" t="inlineStr">
        <is>
          <t>Ambivalent — Needs Encouragement</t>
        </is>
      </c>
      <c r="J8" s="65" t="inlineStr"/>
    </row>
    <row r="9" ht="24" customHeight="1">
      <c r="B9" s="8" t="inlineStr">
        <is>
          <t>MH/004</t>
        </is>
      </c>
      <c r="C9" s="10" t="inlineStr">
        <is>
          <t>PAT-004</t>
        </is>
      </c>
      <c r="D9" s="10" t="inlineStr"/>
      <c r="E9" s="10" t="inlineStr">
        <is>
          <t>Crisis Intervention</t>
        </is>
      </c>
      <c r="F9" s="10" t="inlineStr"/>
      <c r="G9" s="10" t="inlineStr"/>
      <c r="H9" s="9" t="inlineStr">
        <is>
          <t>Relationship Issues</t>
        </is>
      </c>
      <c r="I9" s="10" t="inlineStr">
        <is>
          <t>Deteriorating — Escalation Needed</t>
        </is>
      </c>
      <c r="J9" s="9" t="inlineStr"/>
    </row>
    <row r="10" ht="24" customHeight="1">
      <c r="B10" s="63" t="inlineStr">
        <is>
          <t>MH/005</t>
        </is>
      </c>
      <c r="C10" s="64" t="inlineStr">
        <is>
          <t>PAT-005</t>
        </is>
      </c>
      <c r="D10" s="64" t="inlineStr"/>
      <c r="E10" s="64" t="inlineStr">
        <is>
          <t>Stress Management</t>
        </is>
      </c>
      <c r="F10" s="64" t="inlineStr"/>
      <c r="G10" s="64" t="inlineStr"/>
      <c r="H10" s="65" t="inlineStr">
        <is>
          <t>Family Problems</t>
        </is>
      </c>
      <c r="I10" s="64" t="inlineStr">
        <is>
          <t>Crisis — Immediate Referral</t>
        </is>
      </c>
      <c r="J10" s="65" t="inlineStr"/>
    </row>
    <row r="11" ht="24" customHeight="1">
      <c r="B11" s="8" t="inlineStr">
        <is>
          <t>MH/006</t>
        </is>
      </c>
      <c r="C11" s="10" t="inlineStr">
        <is>
          <t>PAT-006</t>
        </is>
      </c>
      <c r="D11" s="10" t="inlineStr"/>
      <c r="E11" s="10" t="inlineStr">
        <is>
          <t>Group Session</t>
        </is>
      </c>
      <c r="F11" s="10" t="inlineStr"/>
      <c r="G11" s="10" t="inlineStr"/>
      <c r="H11" s="9" t="inlineStr">
        <is>
          <t>Financial Stress</t>
        </is>
      </c>
      <c r="I11" s="10" t="inlineStr">
        <is>
          <t>Improving — Positive Engagement</t>
        </is>
      </c>
      <c r="J11" s="9" t="inlineStr"/>
    </row>
    <row r="12" ht="24" customHeight="1">
      <c r="B12" s="63" t="inlineStr">
        <is>
          <t>MH/007</t>
        </is>
      </c>
      <c r="C12" s="64" t="inlineStr">
        <is>
          <t>PAT-007</t>
        </is>
      </c>
      <c r="D12" s="64" t="inlineStr"/>
      <c r="E12" s="64" t="inlineStr">
        <is>
          <t>Family Counselling</t>
        </is>
      </c>
      <c r="F12" s="64" t="inlineStr"/>
      <c r="G12" s="64" t="inlineStr"/>
      <c r="H12" s="65" t="inlineStr">
        <is>
          <t>Identity / Gender Concerns</t>
        </is>
      </c>
      <c r="I12" s="64" t="inlineStr">
        <is>
          <t>Stable — Ongoing Support</t>
        </is>
      </c>
      <c r="J12" s="65" t="inlineStr"/>
    </row>
    <row r="13" ht="24" customHeight="1">
      <c r="B13" s="8" t="inlineStr">
        <is>
          <t>MH/008</t>
        </is>
      </c>
      <c r="C13" s="10" t="inlineStr">
        <is>
          <t>PAT-008</t>
        </is>
      </c>
      <c r="D13" s="10" t="inlineStr"/>
      <c r="E13" s="10" t="inlineStr">
        <is>
          <t>Mindfulness / Relaxation</t>
        </is>
      </c>
      <c r="F13" s="10" t="inlineStr"/>
      <c r="G13" s="10" t="inlineStr"/>
      <c r="H13" s="9" t="inlineStr">
        <is>
          <t>Grief / Bereavement</t>
        </is>
      </c>
      <c r="I13" s="10" t="inlineStr">
        <is>
          <t>Ambivalent — Needs Encouragement</t>
        </is>
      </c>
      <c r="J13" s="9" t="inlineStr"/>
    </row>
    <row r="14" ht="24" customHeight="1">
      <c r="B14" s="63" t="inlineStr">
        <is>
          <t>MH/009</t>
        </is>
      </c>
      <c r="C14" s="64" t="inlineStr">
        <is>
          <t>PAT-009</t>
        </is>
      </c>
      <c r="D14" s="64" t="inlineStr"/>
      <c r="E14" s="64" t="inlineStr">
        <is>
          <t>Career Counselling</t>
        </is>
      </c>
      <c r="F14" s="64" t="inlineStr"/>
      <c r="G14" s="64" t="inlineStr"/>
      <c r="H14" s="65" t="inlineStr">
        <is>
          <t>Sleep Disorders</t>
        </is>
      </c>
      <c r="I14" s="64" t="inlineStr">
        <is>
          <t>Deteriorating — Escalation Needed</t>
        </is>
      </c>
      <c r="J14" s="65" t="inlineStr"/>
    </row>
    <row r="15" ht="24" customHeight="1">
      <c r="B15" s="8" t="inlineStr">
        <is>
          <t>MH/010</t>
        </is>
      </c>
      <c r="C15" s="10" t="inlineStr">
        <is>
          <t>PAT-010</t>
        </is>
      </c>
      <c r="D15" s="10" t="inlineStr"/>
      <c r="E15" s="10" t="inlineStr">
        <is>
          <t>Grief Counselling</t>
        </is>
      </c>
      <c r="F15" s="10" t="inlineStr"/>
      <c r="G15" s="10" t="inlineStr"/>
      <c r="H15" s="9" t="inlineStr">
        <is>
          <t>Self-harm / Suicidal Ideation</t>
        </is>
      </c>
      <c r="I15" s="10" t="inlineStr">
        <is>
          <t>Crisis — Immediate Referral</t>
        </is>
      </c>
      <c r="J15" s="9" t="inlineStr"/>
    </row>
    <row r="16" ht="24" customHeight="1">
      <c r="B16" s="63" t="inlineStr">
        <is>
          <t>MH/011</t>
        </is>
      </c>
      <c r="C16" s="64" t="inlineStr">
        <is>
          <t>PAT-011</t>
        </is>
      </c>
      <c r="D16" s="64" t="inlineStr"/>
      <c r="E16" s="64" t="inlineStr">
        <is>
          <t>Anger Management</t>
        </is>
      </c>
      <c r="F16" s="64" t="inlineStr"/>
      <c r="G16" s="64" t="inlineStr"/>
      <c r="H16" s="65" t="inlineStr">
        <is>
          <t>Social Isolation</t>
        </is>
      </c>
      <c r="I16" s="64" t="inlineStr">
        <is>
          <t>Improving — Positive Engagement</t>
        </is>
      </c>
      <c r="J16" s="65" t="inlineStr"/>
    </row>
    <row r="17" ht="24" customHeight="1">
      <c r="B17" s="8" t="inlineStr">
        <is>
          <t>MH/012</t>
        </is>
      </c>
      <c r="C17" s="10" t="inlineStr">
        <is>
          <t>PAT-012</t>
        </is>
      </c>
      <c r="D17" s="10" t="inlineStr"/>
      <c r="E17" s="10" t="inlineStr">
        <is>
          <t>Relationship Counselling</t>
        </is>
      </c>
      <c r="F17" s="10" t="inlineStr"/>
      <c r="G17" s="10" t="inlineStr"/>
      <c r="H17" s="9" t="inlineStr">
        <is>
          <t>Substance Use Concern</t>
        </is>
      </c>
      <c r="I17" s="10" t="inlineStr">
        <is>
          <t>Stable — Ongoing Support</t>
        </is>
      </c>
      <c r="J17" s="9" t="inlineStr"/>
    </row>
    <row r="18" ht="24" customHeight="1">
      <c r="B18" s="63" t="inlineStr">
        <is>
          <t>MH/013</t>
        </is>
      </c>
      <c r="C18" s="64" t="inlineStr">
        <is>
          <t>PAT-013</t>
        </is>
      </c>
      <c r="D18" s="64" t="inlineStr"/>
      <c r="E18" s="64" t="inlineStr">
        <is>
          <t>Follow-up Session</t>
        </is>
      </c>
      <c r="F18" s="64" t="inlineStr"/>
      <c r="G18" s="64" t="inlineStr"/>
      <c r="H18" s="65" t="inlineStr">
        <is>
          <t>Career Confusion</t>
        </is>
      </c>
      <c r="I18" s="64" t="inlineStr">
        <is>
          <t>Ambivalent — Needs Encouragement</t>
        </is>
      </c>
      <c r="J18" s="65" t="inlineStr"/>
    </row>
    <row r="19" ht="24" customHeight="1">
      <c r="B19" s="8" t="inlineStr">
        <is>
          <t>MH/014</t>
        </is>
      </c>
      <c r="C19" s="10" t="inlineStr">
        <is>
          <t>PAT-014</t>
        </is>
      </c>
      <c r="D19" s="10" t="inlineStr"/>
      <c r="E19" s="10" t="inlineStr">
        <is>
          <t>Initial Assessment</t>
        </is>
      </c>
      <c r="F19" s="10" t="inlineStr"/>
      <c r="G19" s="10" t="inlineStr"/>
      <c r="H19" s="9" t="inlineStr">
        <is>
          <t>Other</t>
        </is>
      </c>
      <c r="I19" s="10" t="inlineStr">
        <is>
          <t>Deteriorating — Escalation Needed</t>
        </is>
      </c>
      <c r="J19" s="9" t="inlineStr"/>
    </row>
    <row r="20" ht="24" customHeight="1">
      <c r="B20" s="63" t="inlineStr">
        <is>
          <t>MH/015</t>
        </is>
      </c>
      <c r="C20" s="64" t="inlineStr">
        <is>
          <t>PAT-015</t>
        </is>
      </c>
      <c r="D20" s="64" t="inlineStr"/>
      <c r="E20" s="64" t="inlineStr">
        <is>
          <t>Individual CBT</t>
        </is>
      </c>
      <c r="F20" s="64" t="inlineStr"/>
      <c r="G20" s="64" t="inlineStr"/>
      <c r="H20" s="65" t="inlineStr">
        <is>
          <t>Academic Stress / Exam Anxiety</t>
        </is>
      </c>
      <c r="I20" s="64" t="inlineStr">
        <is>
          <t>Crisis — Immediate Referral</t>
        </is>
      </c>
      <c r="J20" s="65" t="inlineStr"/>
    </row>
    <row r="21" ht="24" customHeight="1">
      <c r="B21" s="8" t="inlineStr">
        <is>
          <t>MH/016</t>
        </is>
      </c>
      <c r="C21" s="10" t="inlineStr">
        <is>
          <t>PAT-016</t>
        </is>
      </c>
      <c r="D21" s="10" t="inlineStr"/>
      <c r="E21" s="10" t="inlineStr">
        <is>
          <t>Supportive Counselling</t>
        </is>
      </c>
      <c r="F21" s="10" t="inlineStr"/>
      <c r="G21" s="10" t="inlineStr"/>
      <c r="H21" s="9" t="inlineStr">
        <is>
          <t>Depression / Low Mood</t>
        </is>
      </c>
      <c r="I21" s="10" t="inlineStr">
        <is>
          <t>Improving — Positive Engagement</t>
        </is>
      </c>
      <c r="J21" s="9" t="inlineStr"/>
    </row>
    <row r="22" ht="24" customHeight="1">
      <c r="B22" s="63" t="inlineStr">
        <is>
          <t>MH/017</t>
        </is>
      </c>
      <c r="C22" s="64" t="inlineStr">
        <is>
          <t>PAT-017</t>
        </is>
      </c>
      <c r="D22" s="64" t="inlineStr"/>
      <c r="E22" s="64" t="inlineStr">
        <is>
          <t>Crisis Intervention</t>
        </is>
      </c>
      <c r="F22" s="64" t="inlineStr"/>
      <c r="G22" s="64" t="inlineStr"/>
      <c r="H22" s="65" t="inlineStr">
        <is>
          <t>Anxiety / Panic Attacks</t>
        </is>
      </c>
      <c r="I22" s="64" t="inlineStr">
        <is>
          <t>Stable — Ongoing Support</t>
        </is>
      </c>
      <c r="J22" s="65" t="inlineStr"/>
    </row>
    <row r="23" ht="24" customHeight="1">
      <c r="B23" s="8" t="inlineStr">
        <is>
          <t>MH/018</t>
        </is>
      </c>
      <c r="C23" s="10" t="inlineStr">
        <is>
          <t>PAT-018</t>
        </is>
      </c>
      <c r="D23" s="10" t="inlineStr"/>
      <c r="E23" s="10" t="inlineStr">
        <is>
          <t>Stress Management</t>
        </is>
      </c>
      <c r="F23" s="10" t="inlineStr"/>
      <c r="G23" s="10" t="inlineStr"/>
      <c r="H23" s="9" t="inlineStr">
        <is>
          <t>Relationship Issues</t>
        </is>
      </c>
      <c r="I23" s="10" t="inlineStr">
        <is>
          <t>Ambivalent — Needs Encouragement</t>
        </is>
      </c>
      <c r="J23" s="9" t="inlineStr"/>
    </row>
    <row r="24" ht="24" customHeight="1">
      <c r="B24" s="63" t="inlineStr">
        <is>
          <t>MH/019</t>
        </is>
      </c>
      <c r="C24" s="64" t="inlineStr">
        <is>
          <t>PAT-019</t>
        </is>
      </c>
      <c r="D24" s="64" t="inlineStr"/>
      <c r="E24" s="64" t="inlineStr">
        <is>
          <t>Group Session</t>
        </is>
      </c>
      <c r="F24" s="64" t="inlineStr"/>
      <c r="G24" s="64" t="inlineStr"/>
      <c r="H24" s="65" t="inlineStr">
        <is>
          <t>Family Problems</t>
        </is>
      </c>
      <c r="I24" s="64" t="inlineStr">
        <is>
          <t>Deteriorating — Escalation Needed</t>
        </is>
      </c>
      <c r="J24" s="65" t="inlineStr"/>
    </row>
    <row r="25" ht="24" customHeight="1">
      <c r="B25" s="8" t="inlineStr">
        <is>
          <t>MH/020</t>
        </is>
      </c>
      <c r="C25" s="10" t="inlineStr">
        <is>
          <t>PAT-020</t>
        </is>
      </c>
      <c r="D25" s="10" t="inlineStr"/>
      <c r="E25" s="10" t="inlineStr">
        <is>
          <t>Family Counselling</t>
        </is>
      </c>
      <c r="F25" s="10" t="inlineStr"/>
      <c r="G25" s="10" t="inlineStr"/>
      <c r="H25" s="9" t="inlineStr">
        <is>
          <t>Financial Stress</t>
        </is>
      </c>
      <c r="I25" s="10" t="inlineStr">
        <is>
          <t>Crisis — Immediate Referral</t>
        </is>
      </c>
      <c r="J25" s="9" t="inlineStr"/>
    </row>
    <row r="26" ht="24" customHeight="1"/>
    <row r="27" ht="24" customHeight="1">
      <c r="B27" s="35" t="inlineStr">
        <is>
          <t>MENTAL HEALTH SERVICE SUMMARY</t>
        </is>
      </c>
    </row>
    <row r="28">
      <c r="B28" s="66" t="inlineStr">
        <is>
          <t>Total Sessions Conducted</t>
        </is>
      </c>
      <c r="F28" s="37">
        <f>COUNTA(B6:B25)</f>
        <v/>
      </c>
    </row>
    <row r="29">
      <c r="B29" s="26" t="inlineStr">
        <is>
          <t>Individual Sessions</t>
        </is>
      </c>
      <c r="F29" s="38">
        <f>COUNTIF(E6:E25,"&lt;&gt;"&amp;"Group Session")</f>
        <v/>
      </c>
    </row>
    <row r="30">
      <c r="B30" s="66" t="inlineStr">
        <is>
          <t>Crisis Interventions</t>
        </is>
      </c>
      <c r="F30" s="37">
        <f>COUNTIF(E6:E25,"Crisis Intervention")</f>
        <v/>
      </c>
    </row>
    <row r="31">
      <c r="B31" s="26" t="inlineStr">
        <is>
          <t>Students with Suicidal Ideation (→ escalate)</t>
        </is>
      </c>
      <c r="F31" s="38">
        <f>COUNTIF(H6:H25,"Self-harm / Suicidal Ideation")</f>
        <v/>
      </c>
    </row>
    <row r="32">
      <c r="B32" s="66" t="inlineStr">
        <is>
          <t>Referrals to Psychiatrist</t>
        </is>
      </c>
      <c r="F32" s="37">
        <f>COUNTIF(J6:J25,"&lt;&gt;"&amp;"")</f>
        <v/>
      </c>
    </row>
    <row r="33">
      <c r="B33" s="26" t="inlineStr">
        <is>
          <t>Average Sessions per Student</t>
        </is>
      </c>
      <c r="F33" s="38" t="inlineStr"/>
    </row>
  </sheetData>
  <mergeCells count="16">
    <mergeCell ref="B31:E31"/>
    <mergeCell ref="F30:J30"/>
    <mergeCell ref="B3:J3"/>
    <mergeCell ref="F29:J29"/>
    <mergeCell ref="B30:E30"/>
    <mergeCell ref="F28:J28"/>
    <mergeCell ref="B27:J27"/>
    <mergeCell ref="B29:E29"/>
    <mergeCell ref="B33:E33"/>
    <mergeCell ref="F31:J31"/>
    <mergeCell ref="B4:J4"/>
    <mergeCell ref="F33:J33"/>
    <mergeCell ref="B28:E28"/>
    <mergeCell ref="F32:J32"/>
    <mergeCell ref="B2:J2"/>
    <mergeCell ref="B32:E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H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MCC-38 / MCC-39: WATER QUALITY &amp; CANTEEN HYGIENE INSPECTION REGISTER</t>
        </is>
      </c>
    </row>
    <row r="3" ht="20" customHeight="1">
      <c r="B3" s="17" t="inlineStr">
        <is>
          <t>Monthly inspection mandatory. Water quality: Quarterly bacteriological test by accredited lab. Canteen inspection: Before and after monsoon. Rating: 1=Very Poor 2=Poor 3=Average 4=Good 5=Excellent.</t>
        </is>
      </c>
    </row>
    <row r="4" ht="25" customHeight="1">
      <c r="B4" s="2" t="inlineStr">
        <is>
          <t>Date: _______  Inspector: ___________________  Canteen Manager: ___________________</t>
        </is>
      </c>
    </row>
    <row r="5" ht="26" customHeight="1">
      <c r="B5" s="20" t="inlineStr">
        <is>
          <t>Sl.</t>
        </is>
      </c>
      <c r="C5" s="20" t="inlineStr">
        <is>
          <t>Inspection Parameter</t>
        </is>
      </c>
      <c r="D5" s="20" t="inlineStr">
        <is>
          <t>Standard / Requirement</t>
        </is>
      </c>
      <c r="E5" s="20" t="inlineStr">
        <is>
          <t>Rating
(1–5)</t>
        </is>
      </c>
      <c r="F5" s="20" t="inlineStr">
        <is>
          <t>Observations</t>
        </is>
      </c>
      <c r="G5" s="20" t="inlineStr">
        <is>
          <t>Action
Required</t>
        </is>
      </c>
      <c r="H5" s="20" t="inlineStr">
        <is>
          <t>Deadline</t>
        </is>
      </c>
    </row>
    <row r="6" ht="24" customHeight="1">
      <c r="B6" s="19" t="inlineStr">
        <is>
          <t>A. DRINKING WATER QUALITY</t>
        </is>
      </c>
    </row>
    <row r="7" ht="26" customHeight="1">
      <c r="B7" s="67" t="n">
        <v>1</v>
      </c>
      <c r="C7" s="68" t="inlineStr">
        <is>
          <t>Water source — approved and documented</t>
        </is>
      </c>
      <c r="D7" s="68" t="inlineStr">
        <is>
          <t>Borewell / Municipal / tanker with quality certificate</t>
        </is>
      </c>
      <c r="E7" s="69" t="inlineStr"/>
      <c r="F7" s="68" t="inlineStr"/>
      <c r="G7" s="68" t="inlineStr"/>
      <c r="H7" s="69" t="inlineStr"/>
    </row>
    <row r="8" ht="26" customHeight="1">
      <c r="B8" s="70" t="n">
        <v>2</v>
      </c>
      <c r="C8" s="71" t="inlineStr">
        <is>
          <t>Water treatment system operational</t>
        </is>
      </c>
      <c r="D8" s="71" t="inlineStr">
        <is>
          <t>Chlorination / UV / RO as applicable — functional</t>
        </is>
      </c>
      <c r="E8" s="72" t="inlineStr"/>
      <c r="F8" s="71" t="inlineStr"/>
      <c r="G8" s="71" t="inlineStr"/>
      <c r="H8" s="72" t="inlineStr"/>
    </row>
    <row r="9" ht="26" customHeight="1">
      <c r="B9" s="67" t="n">
        <v>3</v>
      </c>
      <c r="C9" s="68" t="inlineStr">
        <is>
          <t>Overhead tank — clean, covered, pest-free</t>
        </is>
      </c>
      <c r="D9" s="68" t="inlineStr">
        <is>
          <t>OHT cleaned quarterly; no algae, insects or bird droppings</t>
        </is>
      </c>
      <c r="E9" s="69" t="inlineStr"/>
      <c r="F9" s="68" t="inlineStr"/>
      <c r="G9" s="68" t="inlineStr"/>
      <c r="H9" s="69" t="inlineStr"/>
    </row>
    <row r="10" ht="26" customHeight="1">
      <c r="B10" s="70" t="n">
        <v>4</v>
      </c>
      <c r="C10" s="71" t="inlineStr">
        <is>
          <t>Drinking water dispensers — clean and functional</t>
        </is>
      </c>
      <c r="D10" s="71" t="inlineStr">
        <is>
          <t>Filters changed as per schedule; no mould</t>
        </is>
      </c>
      <c r="E10" s="72" t="inlineStr"/>
      <c r="F10" s="71" t="inlineStr"/>
      <c r="G10" s="71" t="inlineStr"/>
      <c r="H10" s="72" t="inlineStr"/>
    </row>
    <row r="11" ht="26" customHeight="1">
      <c r="B11" s="67" t="n">
        <v>5</v>
      </c>
      <c r="C11" s="68" t="inlineStr">
        <is>
          <t>Bacteriological test — quarterly result</t>
        </is>
      </c>
      <c r="D11" s="68" t="inlineStr">
        <is>
          <t>E.coli: Nil; Total coliforms: Nil</t>
        </is>
      </c>
      <c r="E11" s="69" t="inlineStr"/>
      <c r="F11" s="68" t="inlineStr"/>
      <c r="G11" s="68" t="inlineStr"/>
      <c r="H11" s="69" t="inlineStr"/>
    </row>
    <row r="12" ht="26" customHeight="1">
      <c r="B12" s="70" t="n">
        <v>6</v>
      </c>
      <c r="C12" s="71" t="inlineStr">
        <is>
          <t>Physical parameters — colour, odour, turbidity</t>
        </is>
      </c>
      <c r="D12" s="71" t="inlineStr">
        <is>
          <t>Colourless, odourless, turbidity &lt; 1 NTU</t>
        </is>
      </c>
      <c r="E12" s="72" t="inlineStr"/>
      <c r="F12" s="71" t="inlineStr"/>
      <c r="G12" s="71" t="inlineStr"/>
      <c r="H12" s="72" t="inlineStr"/>
    </row>
    <row r="13" ht="26" customHeight="1">
      <c r="B13" s="67" t="n">
        <v>7</v>
      </c>
      <c r="C13" s="68" t="inlineStr">
        <is>
          <t>Water cooler temperature (&lt; 20°C)</t>
        </is>
      </c>
      <c r="D13" s="68" t="inlineStr">
        <is>
          <t>Cold water dispensed at appropriate temperature</t>
        </is>
      </c>
      <c r="E13" s="69" t="inlineStr"/>
      <c r="F13" s="68" t="inlineStr"/>
      <c r="G13" s="68" t="inlineStr"/>
      <c r="H13" s="69" t="inlineStr"/>
    </row>
    <row r="14" ht="26" customHeight="1"/>
    <row r="15" ht="24" customHeight="1">
      <c r="B15" s="73" t="inlineStr">
        <is>
          <t>B. CANTEEN — FOOD SAFETY</t>
        </is>
      </c>
    </row>
    <row r="16" ht="26" customHeight="1">
      <c r="B16" s="74" t="n">
        <v>1</v>
      </c>
      <c r="C16" s="75" t="inlineStr">
        <is>
          <t>Food handler health certificates current</t>
        </is>
      </c>
      <c r="D16" s="75" t="inlineStr">
        <is>
          <t>All food handlers with valid health certificate</t>
        </is>
      </c>
      <c r="E16" s="76" t="inlineStr"/>
      <c r="F16" s="75" t="inlineStr"/>
      <c r="G16" s="75" t="inlineStr"/>
      <c r="H16" s="76" t="inlineStr"/>
    </row>
    <row r="17" ht="26" customHeight="1">
      <c r="B17" s="70" t="n">
        <v>2</v>
      </c>
      <c r="C17" s="71" t="inlineStr">
        <is>
          <t>Food handlers wearing caps, gloves, apron</t>
        </is>
      </c>
      <c r="D17" s="71" t="inlineStr">
        <is>
          <t>Proper PPE worn during food preparation and serving</t>
        </is>
      </c>
      <c r="E17" s="72" t="inlineStr"/>
      <c r="F17" s="71" t="inlineStr"/>
      <c r="G17" s="71" t="inlineStr"/>
      <c r="H17" s="72" t="inlineStr"/>
    </row>
    <row r="18" ht="26" customHeight="1">
      <c r="B18" s="74" t="n">
        <v>3</v>
      </c>
      <c r="C18" s="75" t="inlineStr">
        <is>
          <t>Raw and cooked food stored separately</t>
        </is>
      </c>
      <c r="D18" s="75" t="inlineStr">
        <is>
          <t>No cross-contamination risk</t>
        </is>
      </c>
      <c r="E18" s="76" t="inlineStr"/>
      <c r="F18" s="75" t="inlineStr"/>
      <c r="G18" s="75" t="inlineStr"/>
      <c r="H18" s="76" t="inlineStr"/>
    </row>
    <row r="19" ht="26" customHeight="1">
      <c r="B19" s="70" t="n">
        <v>4</v>
      </c>
      <c r="C19" s="71" t="inlineStr">
        <is>
          <t>Refrigerator temperature (&lt; 5°C)</t>
        </is>
      </c>
      <c r="D19" s="71" t="inlineStr">
        <is>
          <t>Fridge at ≤5°C; freezer at ≤-18°C</t>
        </is>
      </c>
      <c r="E19" s="72" t="inlineStr"/>
      <c r="F19" s="71" t="inlineStr"/>
      <c r="G19" s="71" t="inlineStr"/>
      <c r="H19" s="72" t="inlineStr"/>
    </row>
    <row r="20" ht="26" customHeight="1">
      <c r="B20" s="74" t="n">
        <v>5</v>
      </c>
      <c r="C20" s="75" t="inlineStr">
        <is>
          <t>Food covered — no exposure to flies/pests</t>
        </is>
      </c>
      <c r="D20" s="75" t="inlineStr">
        <is>
          <t>All food covered at all times</t>
        </is>
      </c>
      <c r="E20" s="76" t="inlineStr"/>
      <c r="F20" s="75" t="inlineStr"/>
      <c r="G20" s="75" t="inlineStr"/>
      <c r="H20" s="76" t="inlineStr"/>
    </row>
    <row r="21" ht="26" customHeight="1">
      <c r="B21" s="70" t="n">
        <v>6</v>
      </c>
      <c r="C21" s="71" t="inlineStr">
        <is>
          <t>FSSAI licence displayed and current</t>
        </is>
      </c>
      <c r="D21" s="71" t="inlineStr">
        <is>
          <t>Licence in place; not expired</t>
        </is>
      </c>
      <c r="E21" s="72" t="inlineStr"/>
      <c r="F21" s="71" t="inlineStr"/>
      <c r="G21" s="71" t="inlineStr"/>
      <c r="H21" s="72" t="inlineStr"/>
    </row>
    <row r="22" ht="26" customHeight="1">
      <c r="B22" s="74" t="n">
        <v>7</v>
      </c>
      <c r="C22" s="75" t="inlineStr">
        <is>
          <t>No stale / reheated food served</t>
        </is>
      </c>
      <c r="D22" s="75" t="inlineStr">
        <is>
          <t>Fresh preparation for each meal; no reheating from day before</t>
        </is>
      </c>
      <c r="E22" s="76" t="inlineStr"/>
      <c r="F22" s="75" t="inlineStr"/>
      <c r="G22" s="75" t="inlineStr"/>
      <c r="H22" s="76" t="inlineStr"/>
    </row>
    <row r="23" ht="26" customHeight="1">
      <c r="B23" s="70" t="n">
        <v>8</v>
      </c>
      <c r="C23" s="71" t="inlineStr">
        <is>
          <t>Vegetarian / non-veg clearly labelled</t>
        </is>
      </c>
      <c r="D23" s="71" t="inlineStr">
        <is>
          <t>Green / red dots displayed as per PFA rules</t>
        </is>
      </c>
      <c r="E23" s="72" t="inlineStr"/>
      <c r="F23" s="71" t="inlineStr"/>
      <c r="G23" s="71" t="inlineStr"/>
      <c r="H23" s="72" t="inlineStr"/>
    </row>
    <row r="24" ht="26" customHeight="1"/>
    <row r="25" ht="24" customHeight="1">
      <c r="B25" s="35" t="inlineStr">
        <is>
          <t>C. CANTEEN — HYGIENE &amp; SANITATION</t>
        </is>
      </c>
    </row>
    <row r="26" ht="26" customHeight="1">
      <c r="B26" s="77" t="n">
        <v>1</v>
      </c>
      <c r="C26" s="78" t="inlineStr">
        <is>
          <t>Kitchen floor — clean and dry</t>
        </is>
      </c>
      <c r="D26" s="78" t="inlineStr">
        <is>
          <t>No standing water; no grease accumulation</t>
        </is>
      </c>
      <c r="E26" s="79" t="inlineStr"/>
      <c r="F26" s="78" t="inlineStr"/>
      <c r="G26" s="78" t="inlineStr"/>
      <c r="H26" s="79" t="inlineStr"/>
    </row>
    <row r="27" ht="26" customHeight="1">
      <c r="B27" s="70" t="n">
        <v>2</v>
      </c>
      <c r="C27" s="71" t="inlineStr">
        <is>
          <t>Utensils and vessels — washed with hot water</t>
        </is>
      </c>
      <c r="D27" s="71" t="inlineStr">
        <is>
          <t>Cleaned in 3-sink method or dishwasher</t>
        </is>
      </c>
      <c r="E27" s="72" t="inlineStr"/>
      <c r="F27" s="71" t="inlineStr"/>
      <c r="G27" s="71" t="inlineStr"/>
      <c r="H27" s="72" t="inlineStr"/>
    </row>
    <row r="28" ht="26" customHeight="1">
      <c r="B28" s="77" t="n">
        <v>3</v>
      </c>
      <c r="C28" s="78" t="inlineStr">
        <is>
          <t>Waste bins — covered, emptied regularly</t>
        </is>
      </c>
      <c r="D28" s="78" t="inlineStr">
        <is>
          <t>Closed bins; emptied after every meal</t>
        </is>
      </c>
      <c r="E28" s="79" t="inlineStr"/>
      <c r="F28" s="78" t="inlineStr"/>
      <c r="G28" s="78" t="inlineStr"/>
      <c r="H28" s="79" t="inlineStr"/>
    </row>
    <row r="29" ht="26" customHeight="1">
      <c r="B29" s="70" t="n">
        <v>4</v>
      </c>
      <c r="C29" s="71" t="inlineStr">
        <is>
          <t>Pest control — no cockroaches, rodents visible</t>
        </is>
      </c>
      <c r="D29" s="71" t="inlineStr">
        <is>
          <t>No signs of infestation; fumigation records available</t>
        </is>
      </c>
      <c r="E29" s="72" t="inlineStr"/>
      <c r="F29" s="71" t="inlineStr"/>
      <c r="G29" s="71" t="inlineStr"/>
      <c r="H29" s="72" t="inlineStr"/>
    </row>
    <row r="30" ht="26" customHeight="1">
      <c r="B30" s="77" t="n">
        <v>5</v>
      </c>
      <c r="C30" s="78" t="inlineStr">
        <is>
          <t>Hand-washing facilities with soap and water</t>
        </is>
      </c>
      <c r="D30" s="78" t="inlineStr">
        <is>
          <t>Wash-basin with soap and single-use towel/hand-dryer</t>
        </is>
      </c>
      <c r="E30" s="79" t="inlineStr"/>
      <c r="F30" s="78" t="inlineStr"/>
      <c r="G30" s="78" t="inlineStr"/>
      <c r="H30" s="79" t="inlineStr"/>
    </row>
    <row r="31" ht="26" customHeight="1">
      <c r="B31" s="70" t="n">
        <v>6</v>
      </c>
      <c r="C31" s="71" t="inlineStr">
        <is>
          <t>Serving area — clean and tidy</t>
        </is>
      </c>
      <c r="D31" s="71" t="inlineStr">
        <is>
          <t>Serving counter wiped; no spillage or food debris</t>
        </is>
      </c>
      <c r="E31" s="72" t="inlineStr"/>
      <c r="F31" s="71" t="inlineStr"/>
      <c r="G31" s="71" t="inlineStr"/>
      <c r="H31" s="72" t="inlineStr"/>
    </row>
    <row r="32" ht="26" customHeight="1"/>
    <row r="33" ht="24" customHeight="1">
      <c r="B33" s="49" t="inlineStr">
        <is>
          <t>D. SANITATION — TOILETS &amp; WASHROOMS</t>
        </is>
      </c>
    </row>
    <row r="34" ht="26" customHeight="1">
      <c r="B34" s="80" t="n">
        <v>1</v>
      </c>
      <c r="C34" s="81" t="inlineStr">
        <is>
          <t>Toilets — clean, functional flush, no odour</t>
        </is>
      </c>
      <c r="D34" s="81" t="inlineStr">
        <is>
          <t>Clean floor; flush working; no smell</t>
        </is>
      </c>
      <c r="E34" s="82" t="inlineStr"/>
      <c r="F34" s="81" t="inlineStr"/>
      <c r="G34" s="81" t="inlineStr"/>
      <c r="H34" s="82" t="inlineStr"/>
    </row>
    <row r="35" ht="26" customHeight="1">
      <c r="B35" s="70" t="n">
        <v>2</v>
      </c>
      <c r="C35" s="71" t="inlineStr">
        <is>
          <t>Washrooms — clean and adequate water</t>
        </is>
      </c>
      <c r="D35" s="71" t="inlineStr">
        <is>
          <t>Water available at all times</t>
        </is>
      </c>
      <c r="E35" s="72" t="inlineStr"/>
      <c r="F35" s="71" t="inlineStr"/>
      <c r="G35" s="71" t="inlineStr"/>
      <c r="H35" s="72" t="inlineStr"/>
    </row>
    <row r="36" ht="26" customHeight="1">
      <c r="B36" s="80" t="n">
        <v>3</v>
      </c>
      <c r="C36" s="81" t="inlineStr">
        <is>
          <t>Soap / sanitizer available in all washrooms</t>
        </is>
      </c>
      <c r="D36" s="81" t="inlineStr">
        <is>
          <t>Soap dispensers filled</t>
        </is>
      </c>
      <c r="E36" s="82" t="inlineStr"/>
      <c r="F36" s="81" t="inlineStr"/>
      <c r="G36" s="81" t="inlineStr"/>
      <c r="H36" s="82" t="inlineStr"/>
    </row>
    <row r="37" ht="26" customHeight="1">
      <c r="B37" s="70" t="n">
        <v>4</v>
      </c>
      <c r="C37" s="71" t="inlineStr">
        <is>
          <t>Sanitary napkin disposal — covered bins (girls)</t>
        </is>
      </c>
      <c r="D37" s="71" t="inlineStr">
        <is>
          <t>Incineration or sealed bin in girls' toilets</t>
        </is>
      </c>
      <c r="E37" s="72" t="inlineStr"/>
      <c r="F37" s="71" t="inlineStr"/>
      <c r="G37" s="71" t="inlineStr"/>
      <c r="H37" s="72" t="inlineStr"/>
    </row>
    <row r="38" ht="26" customHeight="1">
      <c r="B38" s="80" t="n">
        <v>5</v>
      </c>
      <c r="C38" s="81" t="inlineStr">
        <is>
          <t>Mosquito breeding — no standing water nearby</t>
        </is>
      </c>
      <c r="D38" s="81" t="inlineStr">
        <is>
          <t>No stagnant water in or around campus</t>
        </is>
      </c>
      <c r="E38" s="82" t="inlineStr"/>
      <c r="F38" s="81" t="inlineStr"/>
      <c r="G38" s="81" t="inlineStr"/>
      <c r="H38" s="82" t="inlineStr"/>
    </row>
    <row r="39" ht="26" customHeight="1"/>
    <row r="40" ht="28" customHeight="1">
      <c r="B40" s="30" t="inlineStr">
        <is>
          <t>Medical Officer: ___________________    Canteen Manager: ___________________    Principal: ___________________    Date: ___________________</t>
        </is>
      </c>
    </row>
    <row r="41" ht="26" customHeight="1"/>
    <row r="42" ht="26" customHeight="1"/>
    <row r="43" ht="26" customHeight="1"/>
    <row r="44" ht="26" customHeight="1"/>
    <row r="45" ht="26" customHeight="1"/>
    <row r="46" ht="26" customHeight="1"/>
    <row r="47" ht="26" customHeight="1"/>
  </sheetData>
  <mergeCells count="8">
    <mergeCell ref="B40:H40"/>
    <mergeCell ref="B4:H4"/>
    <mergeCell ref="B6:H6"/>
    <mergeCell ref="B2:H2"/>
    <mergeCell ref="B15:H15"/>
    <mergeCell ref="B33:H33"/>
    <mergeCell ref="B25:H25"/>
    <mergeCell ref="B3:H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MCC-27: HEALTH CAMP &amp; SPECIAL SCREENING REGISTER</t>
        </is>
      </c>
    </row>
    <row r="3" ht="25" customHeight="1">
      <c r="B3" s="2" t="inlineStr">
        <is>
          <t>A.Y.: _______  Medical Officer: ___________________  NAAC Ref.: Criterion V.3</t>
        </is>
      </c>
    </row>
    <row r="4" ht="25" customHeight="1">
      <c r="B4" s="20" t="inlineStr">
        <is>
          <t>Camp
Ref.</t>
        </is>
      </c>
      <c r="C4" s="20" t="inlineStr">
        <is>
          <t>Camp Name / Type</t>
        </is>
      </c>
      <c r="D4" s="20" t="inlineStr">
        <is>
          <t>Date(s)</t>
        </is>
      </c>
      <c r="E4" s="20" t="inlineStr">
        <is>
          <t>Organiser
/ Collaborating
Agency</t>
        </is>
      </c>
      <c r="F4" s="20" t="inlineStr">
        <is>
          <t>Beneficiaries</t>
        </is>
      </c>
      <c r="G4" s="20" t="inlineStr">
        <is>
          <t>Students
Covered</t>
        </is>
      </c>
      <c r="H4" s="20" t="inlineStr">
        <is>
          <t>Staff
Covered</t>
        </is>
      </c>
      <c r="I4" s="20" t="inlineStr">
        <is>
          <t>Specialists
Involved</t>
        </is>
      </c>
      <c r="J4" s="20" t="inlineStr">
        <is>
          <t>Feedback
Score (/5)</t>
        </is>
      </c>
      <c r="K4" s="20" t="inlineStr">
        <is>
          <t>Follow-up
Actions</t>
        </is>
      </c>
    </row>
    <row r="5" ht="22" customHeight="1">
      <c r="B5" s="14" t="inlineStr">
        <is>
          <t>CAMP/001</t>
        </is>
      </c>
      <c r="C5" s="15" t="inlineStr">
        <is>
          <t>Annual General Health Screening</t>
        </is>
      </c>
      <c r="D5" s="16" t="inlineStr"/>
      <c r="E5" s="15" t="inlineStr">
        <is>
          <t>Government Hospital / MCC</t>
        </is>
      </c>
      <c r="F5" s="16" t="inlineStr">
        <is>
          <t>Students &amp; Staff</t>
        </is>
      </c>
      <c r="G5" s="16" t="inlineStr"/>
      <c r="H5" s="16" t="inlineStr"/>
      <c r="I5" s="15" t="inlineStr"/>
      <c r="J5" s="16" t="inlineStr"/>
      <c r="K5" s="15" t="inlineStr"/>
    </row>
    <row r="6" ht="22" customHeight="1">
      <c r="B6" s="8" t="inlineStr">
        <is>
          <t>CAMP/002</t>
        </is>
      </c>
      <c r="C6" s="9" t="inlineStr">
        <is>
          <t>Eye Check-up &amp; Vision Camp</t>
        </is>
      </c>
      <c r="D6" s="10" t="inlineStr"/>
      <c r="E6" s="9" t="inlineStr">
        <is>
          <t>Lion's Club / Ophthalmologist</t>
        </is>
      </c>
      <c r="F6" s="10" t="inlineStr">
        <is>
          <t>Students &amp; Staff</t>
        </is>
      </c>
      <c r="G6" s="10" t="inlineStr"/>
      <c r="H6" s="10" t="inlineStr"/>
      <c r="I6" s="9" t="inlineStr"/>
      <c r="J6" s="10" t="inlineStr"/>
      <c r="K6" s="9" t="inlineStr"/>
    </row>
    <row r="7" ht="22" customHeight="1">
      <c r="B7" s="14" t="inlineStr">
        <is>
          <t>CAMP/003</t>
        </is>
      </c>
      <c r="C7" s="15" t="inlineStr">
        <is>
          <t>Dental Health Camp</t>
        </is>
      </c>
      <c r="D7" s="16" t="inlineStr"/>
      <c r="E7" s="15" t="inlineStr">
        <is>
          <t>Dental College / Rotary Club</t>
        </is>
      </c>
      <c r="F7" s="16" t="inlineStr">
        <is>
          <t>Students &amp; Staff</t>
        </is>
      </c>
      <c r="G7" s="16" t="inlineStr"/>
      <c r="H7" s="16" t="inlineStr"/>
      <c r="I7" s="15" t="inlineStr"/>
      <c r="J7" s="16" t="inlineStr"/>
      <c r="K7" s="15" t="inlineStr"/>
    </row>
    <row r="8" ht="22" customHeight="1">
      <c r="B8" s="8" t="inlineStr">
        <is>
          <t>CAMP/004</t>
        </is>
      </c>
      <c r="C8" s="9" t="inlineStr">
        <is>
          <t>Blood Donation Camp</t>
        </is>
      </c>
      <c r="D8" s="10" t="inlineStr"/>
      <c r="E8" s="9" t="inlineStr">
        <is>
          <t>Blood Bank / Red Cross</t>
        </is>
      </c>
      <c r="F8" s="10" t="inlineStr">
        <is>
          <t>Students &amp; Staff</t>
        </is>
      </c>
      <c r="G8" s="10" t="inlineStr"/>
      <c r="H8" s="10" t="inlineStr"/>
      <c r="I8" s="9" t="inlineStr"/>
      <c r="J8" s="10" t="inlineStr"/>
      <c r="K8" s="9" t="inlineStr"/>
    </row>
    <row r="9" ht="22" customHeight="1">
      <c r="B9" s="14" t="inlineStr">
        <is>
          <t>CAMP/005</t>
        </is>
      </c>
      <c r="C9" s="15" t="inlineStr">
        <is>
          <t>Cervical Cancer Awareness &amp; Pap Smear</t>
        </is>
      </c>
      <c r="D9" s="16" t="inlineStr"/>
      <c r="E9" s="15" t="inlineStr">
        <is>
          <t>Government Hospital / Gynaecologist</t>
        </is>
      </c>
      <c r="F9" s="16" t="inlineStr">
        <is>
          <t>Students &amp; Staff</t>
        </is>
      </c>
      <c r="G9" s="16" t="inlineStr"/>
      <c r="H9" s="16" t="inlineStr"/>
      <c r="I9" s="15" t="inlineStr"/>
      <c r="J9" s="16" t="inlineStr"/>
      <c r="K9" s="15" t="inlineStr"/>
    </row>
    <row r="10" ht="22" customHeight="1">
      <c r="B10" s="8" t="inlineStr">
        <is>
          <t>CAMP/006</t>
        </is>
      </c>
      <c r="C10" s="9" t="inlineStr">
        <is>
          <t>Haemoglobin &amp; Anaemia Screening</t>
        </is>
      </c>
      <c r="D10" s="10" t="inlineStr"/>
      <c r="E10" s="9" t="inlineStr">
        <is>
          <t>NIN / Nutrition Mission</t>
        </is>
      </c>
      <c r="F10" s="10" t="inlineStr">
        <is>
          <t>Students &amp; Staff</t>
        </is>
      </c>
      <c r="G10" s="10" t="inlineStr"/>
      <c r="H10" s="10" t="inlineStr"/>
      <c r="I10" s="9" t="inlineStr"/>
      <c r="J10" s="10" t="inlineStr"/>
      <c r="K10" s="9" t="inlineStr"/>
    </row>
    <row r="11" ht="22" customHeight="1">
      <c r="B11" s="14" t="inlineStr">
        <is>
          <t>CAMP/007</t>
        </is>
      </c>
      <c r="C11" s="15" t="inlineStr">
        <is>
          <t>Diabetes Awareness &amp; Screening</t>
        </is>
      </c>
      <c r="D11" s="16" t="inlineStr"/>
      <c r="E11" s="15" t="inlineStr">
        <is>
          <t>RSSDI / Endocrinologist</t>
        </is>
      </c>
      <c r="F11" s="16" t="inlineStr">
        <is>
          <t>Students &amp; Staff</t>
        </is>
      </c>
      <c r="G11" s="16" t="inlineStr"/>
      <c r="H11" s="16" t="inlineStr"/>
      <c r="I11" s="15" t="inlineStr"/>
      <c r="J11" s="16" t="inlineStr"/>
      <c r="K11" s="15" t="inlineStr"/>
    </row>
    <row r="12" ht="22" customHeight="1">
      <c r="B12" s="8" t="inlineStr">
        <is>
          <t>CAMP/008</t>
        </is>
      </c>
      <c r="C12" s="9" t="inlineStr">
        <is>
          <t>Hypertension &amp; Cardiac Screening</t>
        </is>
      </c>
      <c r="D12" s="10" t="inlineStr"/>
      <c r="E12" s="9" t="inlineStr">
        <is>
          <t>Cardiologist / Heart Foundation</t>
        </is>
      </c>
      <c r="F12" s="10" t="inlineStr">
        <is>
          <t>Students &amp; Staff</t>
        </is>
      </c>
      <c r="G12" s="10" t="inlineStr"/>
      <c r="H12" s="10" t="inlineStr"/>
      <c r="I12" s="9" t="inlineStr"/>
      <c r="J12" s="10" t="inlineStr"/>
      <c r="K12" s="9" t="inlineStr"/>
    </row>
    <row r="13" ht="22" customHeight="1">
      <c r="B13" s="14" t="inlineStr">
        <is>
          <t>CAMP/009</t>
        </is>
      </c>
      <c r="C13" s="15" t="inlineStr">
        <is>
          <t>Mental Health Awareness &amp; Screening</t>
        </is>
      </c>
      <c r="D13" s="16" t="inlineStr"/>
      <c r="E13" s="15" t="inlineStr">
        <is>
          <t>iCALL / NIMHANS Partner</t>
        </is>
      </c>
      <c r="F13" s="16" t="inlineStr">
        <is>
          <t>Students &amp; Staff</t>
        </is>
      </c>
      <c r="G13" s="16" t="inlineStr"/>
      <c r="H13" s="16" t="inlineStr"/>
      <c r="I13" s="15" t="inlineStr"/>
      <c r="J13" s="16" t="inlineStr"/>
      <c r="K13" s="15" t="inlineStr"/>
    </row>
    <row r="14" ht="22" customHeight="1">
      <c r="B14" s="8" t="inlineStr">
        <is>
          <t>CAMP/010</t>
        </is>
      </c>
      <c r="C14" s="9" t="inlineStr">
        <is>
          <t>Nutrition &amp; Diet Counselling Camp</t>
        </is>
      </c>
      <c r="D14" s="10" t="inlineStr"/>
      <c r="E14" s="9" t="inlineStr">
        <is>
          <t>Nutritionist / Dietician</t>
        </is>
      </c>
      <c r="F14" s="10" t="inlineStr">
        <is>
          <t>Students &amp; Staff</t>
        </is>
      </c>
      <c r="G14" s="10" t="inlineStr"/>
      <c r="H14" s="10" t="inlineStr"/>
      <c r="I14" s="9" t="inlineStr"/>
      <c r="J14" s="10" t="inlineStr"/>
      <c r="K14" s="9" t="inlineStr"/>
    </row>
    <row r="15" ht="22" customHeight="1">
      <c r="B15" s="14" t="inlineStr">
        <is>
          <t>CAMP/011</t>
        </is>
      </c>
      <c r="C15" s="15" t="inlineStr">
        <is>
          <t>Yoga &amp; Wellness Camp</t>
        </is>
      </c>
      <c r="D15" s="16" t="inlineStr"/>
      <c r="E15" s="15" t="inlineStr">
        <is>
          <t>Yoga Foundation / Wellness Expert</t>
        </is>
      </c>
      <c r="F15" s="16" t="inlineStr">
        <is>
          <t>Students &amp; Staff</t>
        </is>
      </c>
      <c r="G15" s="16" t="inlineStr"/>
      <c r="H15" s="16" t="inlineStr"/>
      <c r="I15" s="15" t="inlineStr"/>
      <c r="J15" s="16" t="inlineStr"/>
      <c r="K15" s="15" t="inlineStr"/>
    </row>
    <row r="16" ht="22" customHeight="1">
      <c r="B16" s="8" t="inlineStr">
        <is>
          <t>CAMP/012</t>
        </is>
      </c>
      <c r="C16" s="9" t="inlineStr">
        <is>
          <t>STI / Reproductive Health Awareness</t>
        </is>
      </c>
      <c r="D16" s="10" t="inlineStr"/>
      <c r="E16" s="9" t="inlineStr">
        <is>
          <t>Government Health Dept.</t>
        </is>
      </c>
      <c r="F16" s="10" t="inlineStr">
        <is>
          <t>Students &amp; Staff</t>
        </is>
      </c>
      <c r="G16" s="10" t="inlineStr"/>
      <c r="H16" s="10" t="inlineStr"/>
      <c r="I16" s="9" t="inlineStr"/>
      <c r="J16" s="10" t="inlineStr"/>
      <c r="K16" s="9" t="inlineStr"/>
    </row>
    <row r="17" ht="22" customHeight="1">
      <c r="B17" s="14" t="inlineStr">
        <is>
          <t>CAMP/013</t>
        </is>
      </c>
      <c r="C17" s="15" t="inlineStr">
        <is>
          <t>Physical Fitness Assessment Camp</t>
        </is>
      </c>
      <c r="D17" s="16" t="inlineStr"/>
      <c r="E17" s="15" t="inlineStr">
        <is>
          <t>Sports Authority / PE Dept.</t>
        </is>
      </c>
      <c r="F17" s="16" t="inlineStr">
        <is>
          <t>Students &amp; Staff</t>
        </is>
      </c>
      <c r="G17" s="16" t="inlineStr"/>
      <c r="H17" s="16" t="inlineStr"/>
      <c r="I17" s="15" t="inlineStr"/>
      <c r="J17" s="16" t="inlineStr"/>
      <c r="K17" s="15" t="inlineStr"/>
    </row>
    <row r="18" ht="22" customHeight="1">
      <c r="B18" s="8" t="inlineStr">
        <is>
          <t>CAMP/014</t>
        </is>
      </c>
      <c r="C18" s="9" t="inlineStr">
        <is>
          <t>Anti-Tobacco &amp; Substance Awareness Camp</t>
        </is>
      </c>
      <c r="D18" s="10" t="inlineStr"/>
      <c r="E18" s="9" t="inlineStr">
        <is>
          <t>NGO / NADA</t>
        </is>
      </c>
      <c r="F18" s="10" t="inlineStr">
        <is>
          <t>Students &amp; Staff</t>
        </is>
      </c>
      <c r="G18" s="10" t="inlineStr"/>
      <c r="H18" s="10" t="inlineStr"/>
      <c r="I18" s="9" t="inlineStr"/>
      <c r="J18" s="10" t="inlineStr"/>
      <c r="K18" s="9" t="inlineStr"/>
    </row>
    <row r="19" ht="22" customHeight="1"/>
    <row r="20" ht="24" customHeight="1">
      <c r="B20" s="35" t="inlineStr">
        <is>
          <t>HEALTH CAMP IMPACT SUMMARY</t>
        </is>
      </c>
    </row>
    <row r="21" ht="22" customHeight="1">
      <c r="B21" s="40" t="inlineStr">
        <is>
          <t>Total Health Camps Conducted</t>
        </is>
      </c>
      <c r="F21" s="37">
        <f>COUNTA(B5:B18)</f>
        <v/>
      </c>
    </row>
    <row r="22" ht="22" customHeight="1">
      <c r="B22" s="26" t="inlineStr">
        <is>
          <t>Total Students Benefited</t>
        </is>
      </c>
      <c r="F22" s="38">
        <f>IFERROR(SUM(G5:G18),"")</f>
        <v/>
      </c>
    </row>
    <row r="23" ht="22" customHeight="1">
      <c r="B23" s="40" t="inlineStr">
        <is>
          <t>Total Staff Benefited</t>
        </is>
      </c>
      <c r="F23" s="37">
        <f>IFERROR(SUM(H5:H18),"")</f>
        <v/>
      </c>
    </row>
    <row r="24" ht="22" customHeight="1">
      <c r="B24" s="26" t="inlineStr">
        <is>
          <t>Average Feedback Score (/5)</t>
        </is>
      </c>
      <c r="F24" s="38">
        <f>IFERROR(ROUND(AVERAGE(J5:J18),2),"")</f>
        <v/>
      </c>
    </row>
    <row r="25" ht="22" customHeight="1">
      <c r="B25" s="40" t="inlineStr">
        <is>
          <t>Camps with External Specialists</t>
        </is>
      </c>
      <c r="F25" s="37">
        <f>COUNTIF(I5:I18,"&lt;&gt;"&amp;"")</f>
        <v/>
      </c>
    </row>
    <row r="26" ht="22" customHeight="1">
      <c r="B26" s="26" t="inlineStr">
        <is>
          <t>Blood Donation Units Collected</t>
        </is>
      </c>
      <c r="F26" s="38" t="inlineStr"/>
    </row>
    <row r="27" ht="22" customHeight="1"/>
  </sheetData>
  <mergeCells count="15">
    <mergeCell ref="B23:E23"/>
    <mergeCell ref="B22:E22"/>
    <mergeCell ref="F23:K23"/>
    <mergeCell ref="F24:K24"/>
    <mergeCell ref="F25:K25"/>
    <mergeCell ref="B26:E26"/>
    <mergeCell ref="F22:K22"/>
    <mergeCell ref="B21:E21"/>
    <mergeCell ref="F26:K26"/>
    <mergeCell ref="B25:E25"/>
    <mergeCell ref="B24:E24"/>
    <mergeCell ref="B2:K2"/>
    <mergeCell ref="B20:K20"/>
    <mergeCell ref="B3:K3"/>
    <mergeCell ref="F21:K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MCC-47: BIO-MEDICAL WASTE (BMW) MANAGEMENT REGISTER</t>
        </is>
      </c>
    </row>
    <row r="3" ht="20" customHeight="1">
      <c r="B3" s="17" t="inlineStr">
        <is>
          <t>BMW Management Rules 2016: Yellow bag = infectious/anatomical waste. Red bag = recyclable contaminated plastics. Blue/White box = sharps. Black bag = non-hazardous. Authorised BMW collector must collect minimum 3× / week.</t>
        </is>
      </c>
    </row>
    <row r="4" ht="25" customHeight="1">
      <c r="B4" s="57" t="inlineStr">
        <is>
          <t>Date</t>
        </is>
      </c>
      <c r="C4" s="57" t="inlineStr">
        <is>
          <t>Waste Category</t>
        </is>
      </c>
      <c r="D4" s="57" t="inlineStr">
        <is>
          <t>Colour
Bag / Container</t>
        </is>
      </c>
      <c r="E4" s="57" t="inlineStr">
        <is>
          <t>Quantity
(kg / Nos.)</t>
        </is>
      </c>
      <c r="F4" s="57" t="inlineStr">
        <is>
          <t>Collector
Name</t>
        </is>
      </c>
      <c r="G4" s="57" t="inlineStr">
        <is>
          <t>Collection
Time</t>
        </is>
      </c>
      <c r="H4" s="57" t="inlineStr">
        <is>
          <t>Authorisation
No.</t>
        </is>
      </c>
      <c r="I4" s="57" t="inlineStr">
        <is>
          <t>Manifest
No.</t>
        </is>
      </c>
      <c r="J4" s="57" t="inlineStr">
        <is>
          <t>Remarks</t>
        </is>
      </c>
    </row>
    <row r="5" ht="22" customHeight="1">
      <c r="B5" s="60" t="inlineStr"/>
      <c r="C5" s="59" t="inlineStr">
        <is>
          <t>Infectious / Pathological Waste (used dressings, body fluids)</t>
        </is>
      </c>
      <c r="D5" s="60" t="inlineStr">
        <is>
          <t>Yellow</t>
        </is>
      </c>
      <c r="E5" s="60" t="inlineStr"/>
      <c r="F5" s="59" t="inlineStr"/>
      <c r="G5" s="60" t="inlineStr"/>
      <c r="H5" s="60" t="inlineStr"/>
      <c r="I5" s="60" t="inlineStr"/>
      <c r="J5" s="59" t="inlineStr"/>
    </row>
    <row r="6" ht="22" customHeight="1">
      <c r="B6" s="10" t="inlineStr"/>
      <c r="C6" s="9" t="inlineStr">
        <is>
          <t>Anatomical Waste (tissues, organs if any)</t>
        </is>
      </c>
      <c r="D6" s="10" t="inlineStr">
        <is>
          <t>Yellow</t>
        </is>
      </c>
      <c r="E6" s="10" t="inlineStr"/>
      <c r="F6" s="9" t="inlineStr"/>
      <c r="G6" s="10" t="inlineStr"/>
      <c r="H6" s="10" t="inlineStr"/>
      <c r="I6" s="10" t="inlineStr"/>
      <c r="J6" s="9" t="inlineStr"/>
    </row>
    <row r="7" ht="22" customHeight="1">
      <c r="B7" s="60" t="inlineStr"/>
      <c r="C7" s="59" t="inlineStr">
        <is>
          <t>Sharps (needles, syringes, blades)</t>
        </is>
      </c>
      <c r="D7" s="60" t="inlineStr">
        <is>
          <t>Blue / White puncture-proof box</t>
        </is>
      </c>
      <c r="E7" s="60" t="inlineStr"/>
      <c r="F7" s="59" t="inlineStr"/>
      <c r="G7" s="60" t="inlineStr"/>
      <c r="H7" s="60" t="inlineStr"/>
      <c r="I7" s="60" t="inlineStr"/>
      <c r="J7" s="59" t="inlineStr"/>
    </row>
    <row r="8" ht="22" customHeight="1">
      <c r="B8" s="10" t="inlineStr"/>
      <c r="C8" s="9" t="inlineStr">
        <is>
          <t>Contaminated Solid Plastics (tubes, vials)</t>
        </is>
      </c>
      <c r="D8" s="10" t="inlineStr">
        <is>
          <t>Red</t>
        </is>
      </c>
      <c r="E8" s="10" t="inlineStr"/>
      <c r="F8" s="9" t="inlineStr"/>
      <c r="G8" s="10" t="inlineStr"/>
      <c r="H8" s="10" t="inlineStr"/>
      <c r="I8" s="10" t="inlineStr"/>
      <c r="J8" s="9" t="inlineStr"/>
    </row>
    <row r="9" ht="22" customHeight="1">
      <c r="B9" s="60" t="inlineStr"/>
      <c r="C9" s="59" t="inlineStr">
        <is>
          <t>Pharmaceutical Waste (expired medicines)</t>
        </is>
      </c>
      <c r="D9" s="60" t="inlineStr">
        <is>
          <t>Black — return to pharmacy for disposal</t>
        </is>
      </c>
      <c r="E9" s="60" t="inlineStr"/>
      <c r="F9" s="59" t="inlineStr"/>
      <c r="G9" s="60" t="inlineStr"/>
      <c r="H9" s="60" t="inlineStr"/>
      <c r="I9" s="60" t="inlineStr"/>
      <c r="J9" s="59" t="inlineStr"/>
    </row>
    <row r="10" ht="22" customHeight="1">
      <c r="B10" s="10" t="inlineStr"/>
      <c r="C10" s="9" t="inlineStr">
        <is>
          <t>General / Municipal Solid Waste</t>
        </is>
      </c>
      <c r="D10" s="10" t="inlineStr">
        <is>
          <t>Black</t>
        </is>
      </c>
      <c r="E10" s="10" t="inlineStr"/>
      <c r="F10" s="9" t="inlineStr"/>
      <c r="G10" s="10" t="inlineStr"/>
      <c r="H10" s="10" t="inlineStr"/>
      <c r="I10" s="10" t="inlineStr"/>
      <c r="J10" s="9" t="inlineStr"/>
    </row>
    <row r="11" ht="22" customHeight="1">
      <c r="B11" s="60" t="inlineStr"/>
      <c r="C11" s="59" t="inlineStr">
        <is>
          <t>Chemical / Liquid Waste</t>
        </is>
      </c>
      <c r="D11" s="60" t="inlineStr">
        <is>
          <t>As per category</t>
        </is>
      </c>
      <c r="E11" s="60" t="inlineStr"/>
      <c r="F11" s="59" t="inlineStr"/>
      <c r="G11" s="60" t="inlineStr"/>
      <c r="H11" s="60" t="inlineStr"/>
      <c r="I11" s="60" t="inlineStr"/>
      <c r="J11" s="59" t="inlineStr"/>
    </row>
    <row r="12" ht="22" customHeight="1">
      <c r="B12" s="10" t="inlineStr"/>
      <c r="C12" s="9" t="inlineStr">
        <is>
          <t>Infectious / Pathological Waste (used dressings, body fluids)</t>
        </is>
      </c>
      <c r="D12" s="10" t="inlineStr">
        <is>
          <t>Yellow</t>
        </is>
      </c>
      <c r="E12" s="10" t="inlineStr"/>
      <c r="F12" s="9" t="inlineStr"/>
      <c r="G12" s="10" t="inlineStr"/>
      <c r="H12" s="10" t="inlineStr"/>
      <c r="I12" s="10" t="inlineStr"/>
      <c r="J12" s="9" t="inlineStr"/>
    </row>
    <row r="13" ht="22" customHeight="1">
      <c r="B13" s="60" t="inlineStr"/>
      <c r="C13" s="59" t="inlineStr">
        <is>
          <t>Anatomical Waste (tissues, organs if any)</t>
        </is>
      </c>
      <c r="D13" s="60" t="inlineStr">
        <is>
          <t>Yellow</t>
        </is>
      </c>
      <c r="E13" s="60" t="inlineStr"/>
      <c r="F13" s="59" t="inlineStr"/>
      <c r="G13" s="60" t="inlineStr"/>
      <c r="H13" s="60" t="inlineStr"/>
      <c r="I13" s="60" t="inlineStr"/>
      <c r="J13" s="59" t="inlineStr"/>
    </row>
    <row r="14" ht="22" customHeight="1">
      <c r="B14" s="10" t="inlineStr"/>
      <c r="C14" s="9" t="inlineStr">
        <is>
          <t>Sharps (needles, syringes, blades)</t>
        </is>
      </c>
      <c r="D14" s="10" t="inlineStr">
        <is>
          <t>Blue / White puncture-proof box</t>
        </is>
      </c>
      <c r="E14" s="10" t="inlineStr"/>
      <c r="F14" s="9" t="inlineStr"/>
      <c r="G14" s="10" t="inlineStr"/>
      <c r="H14" s="10" t="inlineStr"/>
      <c r="I14" s="10" t="inlineStr"/>
      <c r="J14" s="9" t="inlineStr"/>
    </row>
    <row r="15" ht="22" customHeight="1">
      <c r="B15" s="60" t="inlineStr"/>
      <c r="C15" s="59" t="inlineStr">
        <is>
          <t>Contaminated Solid Plastics (tubes, vials)</t>
        </is>
      </c>
      <c r="D15" s="60" t="inlineStr">
        <is>
          <t>Red</t>
        </is>
      </c>
      <c r="E15" s="60" t="inlineStr"/>
      <c r="F15" s="59" t="inlineStr"/>
      <c r="G15" s="60" t="inlineStr"/>
      <c r="H15" s="60" t="inlineStr"/>
      <c r="I15" s="60" t="inlineStr"/>
      <c r="J15" s="59" t="inlineStr"/>
    </row>
    <row r="16" ht="22" customHeight="1">
      <c r="B16" s="10" t="inlineStr"/>
      <c r="C16" s="9" t="inlineStr">
        <is>
          <t>Pharmaceutical Waste (expired medicines)</t>
        </is>
      </c>
      <c r="D16" s="10" t="inlineStr">
        <is>
          <t>Black — return to pharmacy for disposal</t>
        </is>
      </c>
      <c r="E16" s="10" t="inlineStr"/>
      <c r="F16" s="9" t="inlineStr"/>
      <c r="G16" s="10" t="inlineStr"/>
      <c r="H16" s="10" t="inlineStr"/>
      <c r="I16" s="10" t="inlineStr"/>
      <c r="J16" s="9" t="inlineStr"/>
    </row>
    <row r="17" ht="22" customHeight="1">
      <c r="B17" s="60" t="inlineStr"/>
      <c r="C17" s="59" t="inlineStr">
        <is>
          <t>General / Municipal Solid Waste</t>
        </is>
      </c>
      <c r="D17" s="60" t="inlineStr">
        <is>
          <t>Black</t>
        </is>
      </c>
      <c r="E17" s="60" t="inlineStr"/>
      <c r="F17" s="59" t="inlineStr"/>
      <c r="G17" s="60" t="inlineStr"/>
      <c r="H17" s="60" t="inlineStr"/>
      <c r="I17" s="60" t="inlineStr"/>
      <c r="J17" s="59" t="inlineStr"/>
    </row>
    <row r="18" ht="22" customHeight="1">
      <c r="B18" s="10" t="inlineStr"/>
      <c r="C18" s="9" t="inlineStr">
        <is>
          <t>Chemical / Liquid Waste</t>
        </is>
      </c>
      <c r="D18" s="10" t="inlineStr">
        <is>
          <t>As per category</t>
        </is>
      </c>
      <c r="E18" s="10" t="inlineStr"/>
      <c r="F18" s="9" t="inlineStr"/>
      <c r="G18" s="10" t="inlineStr"/>
      <c r="H18" s="10" t="inlineStr"/>
      <c r="I18" s="10" t="inlineStr"/>
      <c r="J18" s="9" t="inlineStr"/>
    </row>
    <row r="19" ht="22" customHeight="1">
      <c r="B19" s="60" t="inlineStr"/>
      <c r="C19" s="59" t="inlineStr">
        <is>
          <t>Infectious / Pathological Waste (used dressings, body fluids)</t>
        </is>
      </c>
      <c r="D19" s="60" t="inlineStr">
        <is>
          <t>Yellow</t>
        </is>
      </c>
      <c r="E19" s="60" t="inlineStr"/>
      <c r="F19" s="59" t="inlineStr"/>
      <c r="G19" s="60" t="inlineStr"/>
      <c r="H19" s="60" t="inlineStr"/>
      <c r="I19" s="60" t="inlineStr"/>
      <c r="J19" s="59" t="inlineStr"/>
    </row>
    <row r="20" ht="22" customHeight="1">
      <c r="B20" s="10" t="inlineStr"/>
      <c r="C20" s="9" t="inlineStr">
        <is>
          <t>Anatomical Waste (tissues, organs if any)</t>
        </is>
      </c>
      <c r="D20" s="10" t="inlineStr">
        <is>
          <t>Yellow</t>
        </is>
      </c>
      <c r="E20" s="10" t="inlineStr"/>
      <c r="F20" s="9" t="inlineStr"/>
      <c r="G20" s="10" t="inlineStr"/>
      <c r="H20" s="10" t="inlineStr"/>
      <c r="I20" s="10" t="inlineStr"/>
      <c r="J20" s="9" t="inlineStr"/>
    </row>
    <row r="21" ht="22" customHeight="1">
      <c r="B21" s="60" t="inlineStr"/>
      <c r="C21" s="59" t="inlineStr">
        <is>
          <t>Sharps (needles, syringes, blades)</t>
        </is>
      </c>
      <c r="D21" s="60" t="inlineStr">
        <is>
          <t>Blue / White puncture-proof box</t>
        </is>
      </c>
      <c r="E21" s="60" t="inlineStr"/>
      <c r="F21" s="59" t="inlineStr"/>
      <c r="G21" s="60" t="inlineStr"/>
      <c r="H21" s="60" t="inlineStr"/>
      <c r="I21" s="60" t="inlineStr"/>
      <c r="J21" s="59" t="inlineStr"/>
    </row>
    <row r="22" ht="22" customHeight="1">
      <c r="B22" s="10" t="inlineStr"/>
      <c r="C22" s="9" t="inlineStr">
        <is>
          <t>Contaminated Solid Plastics (tubes, vials)</t>
        </is>
      </c>
      <c r="D22" s="10" t="inlineStr">
        <is>
          <t>Red</t>
        </is>
      </c>
      <c r="E22" s="10" t="inlineStr"/>
      <c r="F22" s="9" t="inlineStr"/>
      <c r="G22" s="10" t="inlineStr"/>
      <c r="H22" s="10" t="inlineStr"/>
      <c r="I22" s="10" t="inlineStr"/>
      <c r="J22" s="9" t="inlineStr"/>
    </row>
    <row r="23" ht="22" customHeight="1">
      <c r="B23" s="60" t="inlineStr"/>
      <c r="C23" s="59" t="inlineStr">
        <is>
          <t>Pharmaceutical Waste (expired medicines)</t>
        </is>
      </c>
      <c r="D23" s="60" t="inlineStr">
        <is>
          <t>Black — return to pharmacy for disposal</t>
        </is>
      </c>
      <c r="E23" s="60" t="inlineStr"/>
      <c r="F23" s="59" t="inlineStr"/>
      <c r="G23" s="60" t="inlineStr"/>
      <c r="H23" s="60" t="inlineStr"/>
      <c r="I23" s="60" t="inlineStr"/>
      <c r="J23" s="59" t="inlineStr"/>
    </row>
    <row r="24" ht="22" customHeight="1">
      <c r="B24" s="10" t="inlineStr"/>
      <c r="C24" s="9" t="inlineStr">
        <is>
          <t>General / Municipal Solid Waste</t>
        </is>
      </c>
      <c r="D24" s="10" t="inlineStr">
        <is>
          <t>Black</t>
        </is>
      </c>
      <c r="E24" s="10" t="inlineStr"/>
      <c r="F24" s="9" t="inlineStr"/>
      <c r="G24" s="10" t="inlineStr"/>
      <c r="H24" s="10" t="inlineStr"/>
      <c r="I24" s="10" t="inlineStr"/>
      <c r="J24" s="9" t="inlineStr"/>
    </row>
    <row r="25" ht="22" customHeight="1"/>
    <row r="26" ht="24" customHeight="1">
      <c r="B26" s="35" t="inlineStr">
        <is>
          <t>BMW MANAGEMENT COMPLIANCE SUMMARY</t>
        </is>
      </c>
    </row>
    <row r="27" ht="22" customHeight="1">
      <c r="B27" s="61" t="inlineStr">
        <is>
          <t>Total BMW Entries This Month</t>
        </is>
      </c>
      <c r="F27" s="37">
        <f>COUNTA(C5:C24)</f>
        <v/>
      </c>
    </row>
    <row r="28">
      <c r="B28" s="26" t="inlineStr">
        <is>
          <t>Yellow Bag (Infectious)</t>
        </is>
      </c>
      <c r="F28" s="38">
        <f>COUNTIF(D5:D24,"Yellow")</f>
        <v/>
      </c>
    </row>
    <row r="29">
      <c r="B29" s="61" t="inlineStr">
        <is>
          <t>Red Bag (Plastic)</t>
        </is>
      </c>
      <c r="F29" s="37">
        <f>COUNTIF(D5:D24,"Red")</f>
        <v/>
      </c>
    </row>
    <row r="30">
      <c r="B30" s="26" t="inlineStr">
        <is>
          <t>Sharps (Blue Box)</t>
        </is>
      </c>
      <c r="F30" s="38">
        <f>COUNTIF(D5:D24,"Blue / White puncture-proof box")</f>
        <v/>
      </c>
    </row>
    <row r="31">
      <c r="B31" s="61" t="inlineStr">
        <is>
          <t>Collection Compliance (3×/week)</t>
        </is>
      </c>
      <c r="F31" s="37" t="inlineStr"/>
    </row>
    <row r="32">
      <c r="B32" s="26" t="inlineStr">
        <is>
          <t>Last BMW Audit Date</t>
        </is>
      </c>
      <c r="F32" s="38" t="inlineStr"/>
    </row>
  </sheetData>
  <mergeCells count="15">
    <mergeCell ref="B31:E31"/>
    <mergeCell ref="F30:J30"/>
    <mergeCell ref="B27:E27"/>
    <mergeCell ref="B3:J3"/>
    <mergeCell ref="F29:J29"/>
    <mergeCell ref="B28:E28"/>
    <mergeCell ref="B30:E30"/>
    <mergeCell ref="B26:J26"/>
    <mergeCell ref="F28:J28"/>
    <mergeCell ref="B29:E29"/>
    <mergeCell ref="F31:J31"/>
    <mergeCell ref="B2:J2"/>
    <mergeCell ref="F32:J32"/>
    <mergeCell ref="F27:J27"/>
    <mergeCell ref="B32:E3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MCC-49: MEDICAL CELL COMMITTEE KPI DASHBOARD</t>
        </is>
      </c>
    </row>
    <row r="3" ht="25" customHeight="1">
      <c r="B3" s="2" t="inlineStr">
        <is>
          <t>Month: _______  A.Y.: _______  Medical Officer: ___________________  Date: _______</t>
        </is>
      </c>
    </row>
    <row r="4" ht="24" customHeight="1">
      <c r="B4" s="19" t="inlineStr">
        <is>
          <t>OPD &amp; EMERGENCY KPIs</t>
        </is>
      </c>
    </row>
    <row r="5" ht="22" customHeight="1">
      <c r="B5" s="20" t="inlineStr">
        <is>
          <t>Sl.</t>
        </is>
      </c>
      <c r="C5" s="20" t="inlineStr">
        <is>
          <t>Key Performance Indicator</t>
        </is>
      </c>
      <c r="D5" s="20" t="inlineStr">
        <is>
          <t>Unit</t>
        </is>
      </c>
      <c r="E5" s="20" t="inlineStr">
        <is>
          <t>Target</t>
        </is>
      </c>
      <c r="F5" s="20" t="inlineStr">
        <is>
          <t>Prev. Month
Actual</t>
        </is>
      </c>
      <c r="G5" s="20" t="inlineStr">
        <is>
          <t>Current Month
Actual</t>
        </is>
      </c>
      <c r="H5" s="20" t="inlineStr">
        <is>
          <t>Status</t>
        </is>
      </c>
      <c r="I5" s="20" t="inlineStr">
        <is>
          <t>Action Required</t>
        </is>
      </c>
    </row>
    <row r="6" ht="22" customHeight="1">
      <c r="B6" s="14" t="n">
        <v>1</v>
      </c>
      <c r="C6" s="15" t="inlineStr">
        <is>
          <t>Monthly OPD patient visits</t>
        </is>
      </c>
      <c r="D6" s="16" t="inlineStr">
        <is>
          <t>No.</t>
        </is>
      </c>
      <c r="E6" s="16" t="inlineStr">
        <is>
          <t>Tracked — increasing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Emergency cases attended within 15 minutes</t>
        </is>
      </c>
      <c r="D7" s="10" t="inlineStr">
        <is>
          <t>% on time</t>
        </is>
      </c>
      <c r="E7" s="10" t="inlineStr">
        <is>
          <t>100%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Referral cases with escort / ambulance</t>
        </is>
      </c>
      <c r="D8" s="16" t="inlineStr">
        <is>
          <t>% with support</t>
        </is>
      </c>
      <c r="E8" s="16" t="inlineStr">
        <is>
          <t>100%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Hospital referral follow-up completion</t>
        </is>
      </c>
      <c r="D9" s="10" t="inlineStr">
        <is>
          <t>% completed</t>
        </is>
      </c>
      <c r="E9" s="10" t="inlineStr">
        <is>
          <t>≥90%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OPD open during all college hours</t>
        </is>
      </c>
      <c r="D10" s="16" t="inlineStr">
        <is>
          <t>Y/N</t>
        </is>
      </c>
      <c r="E10" s="16" t="inlineStr">
        <is>
          <t>Yes — daily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Average waiting time for OPD</t>
        </is>
      </c>
      <c r="D11" s="10" t="inlineStr">
        <is>
          <t>Minutes</t>
        </is>
      </c>
      <c r="E11" s="10" t="inlineStr">
        <is>
          <t>&lt; 15 minutes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/>
    <row r="13" ht="24" customHeight="1">
      <c r="B13" s="49" t="inlineStr">
        <is>
          <t>PHARMACY &amp; MEDICINE KPIs</t>
        </is>
      </c>
    </row>
    <row r="14" ht="22" customHeight="1">
      <c r="B14" s="83" t="inlineStr">
        <is>
          <t>Sl.</t>
        </is>
      </c>
      <c r="C14" s="83" t="inlineStr">
        <is>
          <t>Key Performance Indicator</t>
        </is>
      </c>
      <c r="D14" s="83" t="inlineStr">
        <is>
          <t>Unit</t>
        </is>
      </c>
      <c r="E14" s="83" t="inlineStr">
        <is>
          <t>Target</t>
        </is>
      </c>
      <c r="F14" s="83" t="inlineStr">
        <is>
          <t>Prev. Month
Actual</t>
        </is>
      </c>
      <c r="G14" s="83" t="inlineStr">
        <is>
          <t>Current Month
Actual</t>
        </is>
      </c>
      <c r="H14" s="83" t="inlineStr">
        <is>
          <t>Status</t>
        </is>
      </c>
      <c r="I14" s="83" t="inlineStr">
        <is>
          <t>Action Required</t>
        </is>
      </c>
    </row>
    <row r="15" ht="22" customHeight="1">
      <c r="B15" s="84" t="n">
        <v>1</v>
      </c>
      <c r="C15" s="85" t="inlineStr">
        <is>
          <t>Essential medicines in stock</t>
        </is>
      </c>
      <c r="D15" s="86" t="inlineStr">
        <is>
          <t>% availability</t>
        </is>
      </c>
      <c r="E15" s="86" t="inlineStr">
        <is>
          <t>≥95%</t>
        </is>
      </c>
      <c r="F15" s="86" t="inlineStr"/>
      <c r="G15" s="86" t="inlineStr"/>
      <c r="H15" s="86" t="inlineStr">
        <is>
          <t>On Track</t>
        </is>
      </c>
      <c r="I15" s="85" t="inlineStr"/>
    </row>
    <row r="16" ht="22" customHeight="1">
      <c r="B16" s="8" t="n">
        <v>2</v>
      </c>
      <c r="C16" s="9" t="inlineStr">
        <is>
          <t>Medicine stockout incidents</t>
        </is>
      </c>
      <c r="D16" s="10" t="inlineStr">
        <is>
          <t>No./month</t>
        </is>
      </c>
      <c r="E16" s="10" t="inlineStr">
        <is>
          <t>0</t>
        </is>
      </c>
      <c r="F16" s="10" t="inlineStr"/>
      <c r="G16" s="10" t="inlineStr"/>
      <c r="H16" s="10" t="inlineStr">
        <is>
          <t>On Track</t>
        </is>
      </c>
      <c r="I16" s="9" t="inlineStr"/>
    </row>
    <row r="17" ht="22" customHeight="1">
      <c r="B17" s="84" t="n">
        <v>3</v>
      </c>
      <c r="C17" s="85" t="inlineStr">
        <is>
          <t>Expired medicines in active stock</t>
        </is>
      </c>
      <c r="D17" s="86" t="inlineStr">
        <is>
          <t>No.</t>
        </is>
      </c>
      <c r="E17" s="86" t="inlineStr">
        <is>
          <t>0</t>
        </is>
      </c>
      <c r="F17" s="86" t="inlineStr"/>
      <c r="G17" s="86" t="inlineStr"/>
      <c r="H17" s="86" t="inlineStr">
        <is>
          <t>On Track</t>
        </is>
      </c>
      <c r="I17" s="85" t="inlineStr"/>
    </row>
    <row r="18" ht="22" customHeight="1">
      <c r="B18" s="8" t="n">
        <v>4</v>
      </c>
      <c r="C18" s="9" t="inlineStr">
        <is>
          <t>BMW collection compliance (3×/week)</t>
        </is>
      </c>
      <c r="D18" s="10" t="inlineStr">
        <is>
          <t>% weeks</t>
        </is>
      </c>
      <c r="E18" s="10" t="inlineStr">
        <is>
          <t>100%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84" t="n">
        <v>5</v>
      </c>
      <c r="C19" s="85" t="inlineStr">
        <is>
          <t>Controlled drug register maintained</t>
        </is>
      </c>
      <c r="D19" s="86" t="inlineStr">
        <is>
          <t>Y/N</t>
        </is>
      </c>
      <c r="E19" s="86" t="inlineStr">
        <is>
          <t>Yes — double lock</t>
        </is>
      </c>
      <c r="F19" s="86" t="inlineStr"/>
      <c r="G19" s="86" t="inlineStr"/>
      <c r="H19" s="86" t="inlineStr">
        <is>
          <t>On Track</t>
        </is>
      </c>
      <c r="I19" s="85" t="inlineStr"/>
    </row>
    <row r="20" ht="22" customHeight="1">
      <c r="B20" s="8" t="n">
        <v>6</v>
      </c>
      <c r="C20" s="9" t="inlineStr">
        <is>
          <t>Medicine audit done monthly</t>
        </is>
      </c>
      <c r="D20" s="10" t="inlineStr">
        <is>
          <t>Y/N</t>
        </is>
      </c>
      <c r="E20" s="10" t="inlineStr">
        <is>
          <t>Yes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/>
    <row r="22" ht="24" customHeight="1">
      <c r="B22" s="35" t="inlineStr">
        <is>
          <t>HEALTH PROMOTION KPIs</t>
        </is>
      </c>
    </row>
    <row r="23" ht="22" customHeight="1">
      <c r="B23" s="31" t="inlineStr">
        <is>
          <t>Sl.</t>
        </is>
      </c>
      <c r="C23" s="31" t="inlineStr">
        <is>
          <t>Key Performance Indicator</t>
        </is>
      </c>
      <c r="D23" s="31" t="inlineStr">
        <is>
          <t>Unit</t>
        </is>
      </c>
      <c r="E23" s="31" t="inlineStr">
        <is>
          <t>Target</t>
        </is>
      </c>
      <c r="F23" s="31" t="inlineStr">
        <is>
          <t>Prev. Month
Actual</t>
        </is>
      </c>
      <c r="G23" s="31" t="inlineStr">
        <is>
          <t>Current Month
Actual</t>
        </is>
      </c>
      <c r="H23" s="31" t="inlineStr">
        <is>
          <t>Status</t>
        </is>
      </c>
      <c r="I23" s="31" t="inlineStr">
        <is>
          <t>Action Required</t>
        </is>
      </c>
    </row>
    <row r="24" ht="22" customHeight="1">
      <c r="B24" s="32" t="n">
        <v>1</v>
      </c>
      <c r="C24" s="33" t="inlineStr">
        <is>
          <t>Annual health check-up coverage (%)</t>
        </is>
      </c>
      <c r="D24" s="34" t="inlineStr">
        <is>
          <t>% of students</t>
        </is>
      </c>
      <c r="E24" s="34" t="inlineStr">
        <is>
          <t>≥80%</t>
        </is>
      </c>
      <c r="F24" s="34" t="inlineStr"/>
      <c r="G24" s="34" t="inlineStr"/>
      <c r="H24" s="34" t="inlineStr">
        <is>
          <t>On Track</t>
        </is>
      </c>
      <c r="I24" s="33" t="inlineStr"/>
    </row>
    <row r="25" ht="22" customHeight="1">
      <c r="B25" s="8" t="n">
        <v>2</v>
      </c>
      <c r="C25" s="9" t="inlineStr">
        <is>
          <t>Health camps conducted per year</t>
        </is>
      </c>
      <c r="D25" s="10" t="inlineStr">
        <is>
          <t>No.</t>
        </is>
      </c>
      <c r="E25" s="10" t="inlineStr">
        <is>
          <t>≥8</t>
        </is>
      </c>
      <c r="F25" s="10" t="inlineStr"/>
      <c r="G25" s="10" t="inlineStr"/>
      <c r="H25" s="10" t="inlineStr">
        <is>
          <t>On Track</t>
        </is>
      </c>
      <c r="I25" s="9" t="inlineStr"/>
    </row>
    <row r="26" ht="22" customHeight="1">
      <c r="B26" s="32" t="n">
        <v>3</v>
      </c>
      <c r="C26" s="33" t="inlineStr">
        <is>
          <t>Students reached through health awareness</t>
        </is>
      </c>
      <c r="D26" s="34" t="inlineStr">
        <is>
          <t>% enrolled</t>
        </is>
      </c>
      <c r="E26" s="34" t="inlineStr">
        <is>
          <t>≥50%</t>
        </is>
      </c>
      <c r="F26" s="34" t="inlineStr"/>
      <c r="G26" s="34" t="inlineStr"/>
      <c r="H26" s="34" t="inlineStr">
        <is>
          <t>On Track</t>
        </is>
      </c>
      <c r="I26" s="33" t="inlineStr"/>
    </row>
    <row r="27" ht="22" customHeight="1">
      <c r="B27" s="8" t="n">
        <v>4</v>
      </c>
      <c r="C27" s="9" t="inlineStr">
        <is>
          <t>Mental health counselling sessions</t>
        </is>
      </c>
      <c r="D27" s="10" t="inlineStr">
        <is>
          <t>No./month</t>
        </is>
      </c>
      <c r="E27" s="10" t="inlineStr">
        <is>
          <t>Tracked</t>
        </is>
      </c>
      <c r="F27" s="10" t="inlineStr"/>
      <c r="G27" s="10" t="inlineStr"/>
      <c r="H27" s="10" t="inlineStr">
        <is>
          <t>On Track</t>
        </is>
      </c>
      <c r="I27" s="9" t="inlineStr"/>
    </row>
    <row r="28" ht="22" customHeight="1">
      <c r="B28" s="32" t="n">
        <v>5</v>
      </c>
      <c r="C28" s="33" t="inlineStr">
        <is>
          <t>Water quality tests done (quarterly)</t>
        </is>
      </c>
      <c r="D28" s="34" t="inlineStr">
        <is>
          <t>Y/N</t>
        </is>
      </c>
      <c r="E28" s="34" t="inlineStr">
        <is>
          <t>Yes — quarterly</t>
        </is>
      </c>
      <c r="F28" s="34" t="inlineStr"/>
      <c r="G28" s="34" t="inlineStr"/>
      <c r="H28" s="34" t="inlineStr">
        <is>
          <t>On Track</t>
        </is>
      </c>
      <c r="I28" s="33" t="inlineStr"/>
    </row>
    <row r="29" ht="22" customHeight="1">
      <c r="B29" s="8" t="n">
        <v>6</v>
      </c>
      <c r="C29" s="9" t="inlineStr">
        <is>
          <t>Canteen hygiene inspections (monthly)</t>
        </is>
      </c>
      <c r="D29" s="10" t="inlineStr">
        <is>
          <t>Y/N</t>
        </is>
      </c>
      <c r="E29" s="10" t="inlineStr">
        <is>
          <t>Yes — monthly</t>
        </is>
      </c>
      <c r="F29" s="10" t="inlineStr"/>
      <c r="G29" s="10" t="inlineStr"/>
      <c r="H29" s="10" t="inlineStr">
        <is>
          <t>On Track</t>
        </is>
      </c>
      <c r="I29" s="9" t="inlineStr"/>
    </row>
    <row r="30" ht="22" customHeight="1"/>
    <row r="31" ht="24" customHeight="1">
      <c r="B31" s="87" t="inlineStr">
        <is>
          <t>MENTAL HEALTH KPIs</t>
        </is>
      </c>
    </row>
    <row r="32" ht="22" customHeight="1">
      <c r="B32" s="62" t="inlineStr">
        <is>
          <t>Sl.</t>
        </is>
      </c>
      <c r="C32" s="62" t="inlineStr">
        <is>
          <t>Key Performance Indicator</t>
        </is>
      </c>
      <c r="D32" s="62" t="inlineStr">
        <is>
          <t>Unit</t>
        </is>
      </c>
      <c r="E32" s="62" t="inlineStr">
        <is>
          <t>Target</t>
        </is>
      </c>
      <c r="F32" s="62" t="inlineStr">
        <is>
          <t>Prev. Month
Actual</t>
        </is>
      </c>
      <c r="G32" s="62" t="inlineStr">
        <is>
          <t>Current Month
Actual</t>
        </is>
      </c>
      <c r="H32" s="62" t="inlineStr">
        <is>
          <t>Status</t>
        </is>
      </c>
      <c r="I32" s="62" t="inlineStr">
        <is>
          <t>Action Required</t>
        </is>
      </c>
    </row>
    <row r="33" ht="22" customHeight="1">
      <c r="B33" s="63" t="n">
        <v>1</v>
      </c>
      <c r="C33" s="65" t="inlineStr">
        <is>
          <t>Students receiving counselling support</t>
        </is>
      </c>
      <c r="D33" s="64" t="inlineStr">
        <is>
          <t>No./month</t>
        </is>
      </c>
      <c r="E33" s="64" t="inlineStr">
        <is>
          <t>Tracked</t>
        </is>
      </c>
      <c r="F33" s="64" t="inlineStr"/>
      <c r="G33" s="64" t="inlineStr"/>
      <c r="H33" s="64" t="inlineStr">
        <is>
          <t>On Track</t>
        </is>
      </c>
      <c r="I33" s="65" t="inlineStr"/>
    </row>
    <row r="34" ht="22" customHeight="1">
      <c r="B34" s="8" t="n">
        <v>2</v>
      </c>
      <c r="C34" s="9" t="inlineStr">
        <is>
          <t>Crisis cases escalated appropriately</t>
        </is>
      </c>
      <c r="D34" s="10" t="inlineStr">
        <is>
          <t>% escalated</t>
        </is>
      </c>
      <c r="E34" s="10" t="inlineStr">
        <is>
          <t>100%</t>
        </is>
      </c>
      <c r="F34" s="10" t="inlineStr"/>
      <c r="G34" s="10" t="inlineStr"/>
      <c r="H34" s="10" t="inlineStr">
        <is>
          <t>On Track</t>
        </is>
      </c>
      <c r="I34" s="9" t="inlineStr"/>
    </row>
    <row r="35" ht="22" customHeight="1">
      <c r="B35" s="63" t="n">
        <v>3</v>
      </c>
      <c r="C35" s="65" t="inlineStr">
        <is>
          <t>Mental health helplines displayed</t>
        </is>
      </c>
      <c r="D35" s="64" t="inlineStr">
        <is>
          <t>Y/N</t>
        </is>
      </c>
      <c r="E35" s="64" t="inlineStr">
        <is>
          <t>Yes — prominently</t>
        </is>
      </c>
      <c r="F35" s="64" t="inlineStr"/>
      <c r="G35" s="64" t="inlineStr"/>
      <c r="H35" s="64" t="inlineStr">
        <is>
          <t>On Track</t>
        </is>
      </c>
      <c r="I35" s="65" t="inlineStr"/>
    </row>
    <row r="36" ht="22" customHeight="1">
      <c r="B36" s="8" t="n">
        <v>4</v>
      </c>
      <c r="C36" s="9" t="inlineStr">
        <is>
          <t>Counsellor availability (days/week)</t>
        </is>
      </c>
      <c r="D36" s="10" t="inlineStr">
        <is>
          <t>Days</t>
        </is>
      </c>
      <c r="E36" s="10" t="inlineStr">
        <is>
          <t>≥5 days/week</t>
        </is>
      </c>
      <c r="F36" s="10" t="inlineStr"/>
      <c r="G36" s="10" t="inlineStr"/>
      <c r="H36" s="10" t="inlineStr">
        <is>
          <t>On Track</t>
        </is>
      </c>
      <c r="I36" s="9" t="inlineStr"/>
    </row>
    <row r="37" ht="22" customHeight="1">
      <c r="B37" s="63" t="n">
        <v>5</v>
      </c>
      <c r="C37" s="65" t="inlineStr">
        <is>
          <t>Student satisfaction — counselling (/5)</t>
        </is>
      </c>
      <c r="D37" s="64" t="inlineStr">
        <is>
          <t>Score</t>
        </is>
      </c>
      <c r="E37" s="64" t="inlineStr">
        <is>
          <t>≥3.5</t>
        </is>
      </c>
      <c r="F37" s="64" t="inlineStr"/>
      <c r="G37" s="64" t="inlineStr"/>
      <c r="H37" s="64" t="inlineStr">
        <is>
          <t>On Track</t>
        </is>
      </c>
      <c r="I37" s="65" t="inlineStr"/>
    </row>
    <row r="38" ht="22" customHeight="1"/>
    <row r="39" ht="24" customHeight="1">
      <c r="B39" s="73" t="inlineStr">
        <is>
          <t>COMPLIANCE &amp; QUALITY KPIs</t>
        </is>
      </c>
    </row>
    <row r="40" ht="22" customHeight="1">
      <c r="B40" s="88" t="inlineStr">
        <is>
          <t>Sl.</t>
        </is>
      </c>
      <c r="C40" s="88" t="inlineStr">
        <is>
          <t>Key Performance Indicator</t>
        </is>
      </c>
      <c r="D40" s="88" t="inlineStr">
        <is>
          <t>Unit</t>
        </is>
      </c>
      <c r="E40" s="88" t="inlineStr">
        <is>
          <t>Target</t>
        </is>
      </c>
      <c r="F40" s="88" t="inlineStr">
        <is>
          <t>Prev. Month
Actual</t>
        </is>
      </c>
      <c r="G40" s="88" t="inlineStr">
        <is>
          <t>Current Month
Actual</t>
        </is>
      </c>
      <c r="H40" s="88" t="inlineStr">
        <is>
          <t>Status</t>
        </is>
      </c>
      <c r="I40" s="88" t="inlineStr">
        <is>
          <t>Action Required</t>
        </is>
      </c>
    </row>
    <row r="41" ht="22" customHeight="1">
      <c r="B41" s="89" t="n">
        <v>1</v>
      </c>
      <c r="C41" s="90" t="inlineStr">
        <is>
          <t>Medical Officer NMC registration current</t>
        </is>
      </c>
      <c r="D41" s="91" t="inlineStr">
        <is>
          <t>Y/N</t>
        </is>
      </c>
      <c r="E41" s="91" t="inlineStr">
        <is>
          <t>Yes</t>
        </is>
      </c>
      <c r="F41" s="91" t="inlineStr"/>
      <c r="G41" s="91" t="inlineStr"/>
      <c r="H41" s="91" t="inlineStr">
        <is>
          <t>On Track</t>
        </is>
      </c>
      <c r="I41" s="90" t="inlineStr"/>
    </row>
    <row r="42" ht="22" customHeight="1">
      <c r="B42" s="8" t="n">
        <v>2</v>
      </c>
      <c r="C42" s="9" t="inlineStr">
        <is>
          <t>Nurse registration current</t>
        </is>
      </c>
      <c r="D42" s="10" t="inlineStr">
        <is>
          <t>Y/N</t>
        </is>
      </c>
      <c r="E42" s="10" t="inlineStr">
        <is>
          <t>Yes</t>
        </is>
      </c>
      <c r="F42" s="10" t="inlineStr"/>
      <c r="G42" s="10" t="inlineStr"/>
      <c r="H42" s="10" t="inlineStr">
        <is>
          <t>On Track</t>
        </is>
      </c>
      <c r="I42" s="9" t="inlineStr"/>
    </row>
    <row r="43" ht="22" customHeight="1">
      <c r="B43" s="89" t="n">
        <v>3</v>
      </c>
      <c r="C43" s="90" t="inlineStr">
        <is>
          <t>Informed consent obtained for procedures</t>
        </is>
      </c>
      <c r="D43" s="91" t="inlineStr">
        <is>
          <t>% cases</t>
        </is>
      </c>
      <c r="E43" s="91" t="inlineStr">
        <is>
          <t>100%</t>
        </is>
      </c>
      <c r="F43" s="91" t="inlineStr"/>
      <c r="G43" s="91" t="inlineStr"/>
      <c r="H43" s="91" t="inlineStr">
        <is>
          <t>On Track</t>
        </is>
      </c>
      <c r="I43" s="90" t="inlineStr"/>
    </row>
    <row r="44" ht="22" customHeight="1">
      <c r="B44" s="8" t="n">
        <v>4</v>
      </c>
      <c r="C44" s="9" t="inlineStr">
        <is>
          <t>NAAC health data compiled</t>
        </is>
      </c>
      <c r="D44" s="10" t="inlineStr">
        <is>
          <t>Y/N</t>
        </is>
      </c>
      <c r="E44" s="10" t="inlineStr">
        <is>
          <t>Yes annually</t>
        </is>
      </c>
      <c r="F44" s="10" t="inlineStr"/>
      <c r="G44" s="10" t="inlineStr"/>
      <c r="H44" s="10" t="inlineStr">
        <is>
          <t>On Track</t>
        </is>
      </c>
      <c r="I44" s="9" t="inlineStr"/>
    </row>
    <row r="45" ht="22" customHeight="1">
      <c r="B45" s="89" t="n">
        <v>5</v>
      </c>
      <c r="C45" s="90" t="inlineStr">
        <is>
          <t>Medical waste compliance (BMW Rules 2016)</t>
        </is>
      </c>
      <c r="D45" s="91" t="inlineStr">
        <is>
          <t>Y/N</t>
        </is>
      </c>
      <c r="E45" s="91" t="inlineStr">
        <is>
          <t>Yes</t>
        </is>
      </c>
      <c r="F45" s="91" t="inlineStr"/>
      <c r="G45" s="91" t="inlineStr"/>
      <c r="H45" s="91" t="inlineStr">
        <is>
          <t>On Track</t>
        </is>
      </c>
      <c r="I45" s="90" t="inlineStr"/>
    </row>
    <row r="46" ht="22" customHeight="1">
      <c r="B46" s="8" t="n">
        <v>6</v>
      </c>
      <c r="C46" s="9" t="inlineStr">
        <is>
          <t>Annual health report submitted</t>
        </is>
      </c>
      <c r="D46" s="10" t="inlineStr">
        <is>
          <t>Y/N</t>
        </is>
      </c>
      <c r="E46" s="10" t="inlineStr">
        <is>
          <t>Yes — by June 30</t>
        </is>
      </c>
      <c r="F46" s="10" t="inlineStr"/>
      <c r="G46" s="10" t="inlineStr"/>
      <c r="H46" s="10" t="inlineStr">
        <is>
          <t>On Track</t>
        </is>
      </c>
      <c r="I46" s="9" t="inlineStr"/>
    </row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</sheetData>
  <mergeCells count="7">
    <mergeCell ref="B13:I13"/>
    <mergeCell ref="B39:I39"/>
    <mergeCell ref="B2:I2"/>
    <mergeCell ref="B3:I3"/>
    <mergeCell ref="B22:I22"/>
    <mergeCell ref="B31:I31"/>
    <mergeCell ref="B4:I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MCC-50: MEDICAL CELL ANNUAL HEALTH REPORT COMPILATION FORM</t>
        </is>
      </c>
    </row>
    <row r="3" ht="18" customHeight="1">
      <c r="B3" s="39" t="inlineStr">
        <is>
          <t>CONFIDENTIAL — Contains aggregate health data. No individual patient identities in this report. Submit de-identified data only to external bodies.</t>
        </is>
      </c>
    </row>
    <row r="4" ht="25" customHeight="1">
      <c r="B4" s="2" t="inlineStr">
        <is>
          <t>A.Y.: _______  Medical Officer: ___________________  Submitted to: Management / IQAC / UGC  Date: _______</t>
        </is>
      </c>
    </row>
    <row r="5" ht="24" customHeight="1">
      <c r="B5" s="19" t="inlineStr">
        <is>
          <t>SECTION 1 — OPD &amp; CLINICAL SERVICES</t>
        </is>
      </c>
    </row>
    <row r="6" ht="22" customHeight="1">
      <c r="B6" s="20" t="inlineStr">
        <is>
          <t>Sl.</t>
        </is>
      </c>
      <c r="C6" s="20" t="inlineStr">
        <is>
          <t>Performance Metric</t>
        </is>
      </c>
      <c r="D6" s="20" t="inlineStr">
        <is>
          <t>Unit</t>
        </is>
      </c>
      <c r="E6" s="20" t="inlineStr">
        <is>
          <t>Current A.Y.</t>
        </is>
      </c>
      <c r="F6" s="20" t="inlineStr">
        <is>
          <t>Previous A.Y.</t>
        </is>
      </c>
      <c r="G6" s="20" t="inlineStr">
        <is>
          <t>Change</t>
        </is>
      </c>
      <c r="H6" s="20" t="inlineStr">
        <is>
          <t>Remarks</t>
        </is>
      </c>
    </row>
    <row r="7" ht="22" customHeight="1">
      <c r="B7" s="14" t="n">
        <v>1</v>
      </c>
      <c r="C7" s="15" t="inlineStr">
        <is>
          <t>Total OPD visits (annual)</t>
        </is>
      </c>
      <c r="D7" s="16" t="inlineStr">
        <is>
          <t>No.</t>
        </is>
      </c>
      <c r="E7" s="16" t="inlineStr"/>
      <c r="F7" s="16" t="inlineStr"/>
      <c r="G7" s="16">
        <f>IFERROR(ROUND((E7-F7)/IF(F7=0,1,F7)*100,1),"")</f>
        <v/>
      </c>
      <c r="H7" s="15" t="inlineStr"/>
    </row>
    <row r="8" ht="22" customHeight="1">
      <c r="B8" s="8" t="n">
        <v>2</v>
      </c>
      <c r="C8" s="9" t="inlineStr">
        <is>
          <t>Student OPD visits</t>
        </is>
      </c>
      <c r="D8" s="10" t="inlineStr">
        <is>
          <t>No.</t>
        </is>
      </c>
      <c r="E8" s="10" t="inlineStr"/>
      <c r="F8" s="10" t="inlineStr"/>
      <c r="G8" s="10">
        <f>IFERROR(ROUND((E8-F8)/IF(F8=0,1,F8)*100,1),"")</f>
        <v/>
      </c>
      <c r="H8" s="9" t="inlineStr"/>
    </row>
    <row r="9" ht="22" customHeight="1">
      <c r="B9" s="14" t="n">
        <v>3</v>
      </c>
      <c r="C9" s="15" t="inlineStr">
        <is>
          <t>Staff OPD visits</t>
        </is>
      </c>
      <c r="D9" s="16" t="inlineStr">
        <is>
          <t>No.</t>
        </is>
      </c>
      <c r="E9" s="16" t="inlineStr"/>
      <c r="F9" s="16" t="inlineStr"/>
      <c r="G9" s="16">
        <f>IFERROR(ROUND((E9-F9)/IF(F9=0,1,F9)*100,1),"")</f>
        <v/>
      </c>
      <c r="H9" s="15" t="inlineStr"/>
    </row>
    <row r="10" ht="22" customHeight="1">
      <c r="B10" s="8" t="n">
        <v>4</v>
      </c>
      <c r="C10" s="9" t="inlineStr">
        <is>
          <t>Emergency cases attended</t>
        </is>
      </c>
      <c r="D10" s="10" t="inlineStr">
        <is>
          <t>No.</t>
        </is>
      </c>
      <c r="E10" s="10" t="inlineStr"/>
      <c r="F10" s="10" t="inlineStr"/>
      <c r="G10" s="10">
        <f>IFERROR(ROUND((E10-F10)/IF(F10=0,1,F10)*100,1),"")</f>
        <v/>
      </c>
      <c r="H10" s="9" t="inlineStr"/>
    </row>
    <row r="11" ht="22" customHeight="1">
      <c r="B11" s="14" t="n">
        <v>5</v>
      </c>
      <c r="C11" s="15" t="inlineStr">
        <is>
          <t>Hospital referrals made</t>
        </is>
      </c>
      <c r="D11" s="16" t="inlineStr">
        <is>
          <t>No.</t>
        </is>
      </c>
      <c r="E11" s="16" t="inlineStr"/>
      <c r="F11" s="16" t="inlineStr"/>
      <c r="G11" s="16">
        <f>IFERROR(ROUND((E11-F11)/IF(F11=0,1,F11)*100,1),"")</f>
        <v/>
      </c>
      <c r="H11" s="15" t="inlineStr"/>
    </row>
    <row r="12" ht="22" customHeight="1">
      <c r="B12" s="8" t="n">
        <v>6</v>
      </c>
      <c r="C12" s="9" t="inlineStr">
        <is>
          <t>Most common diagnosis</t>
        </is>
      </c>
      <c r="D12" s="10" t="inlineStr">
        <is>
          <t>Category</t>
        </is>
      </c>
      <c r="E12" s="10" t="inlineStr"/>
      <c r="F12" s="10" t="inlineStr"/>
      <c r="G12" s="10">
        <f>IFERROR(ROUND((E12-F12)/IF(F12=0,1,F12)*100,1),"")</f>
        <v/>
      </c>
      <c r="H12" s="9" t="inlineStr"/>
    </row>
    <row r="13" ht="22" customHeight="1"/>
    <row r="14" ht="24" customHeight="1">
      <c r="B14" s="49" t="inlineStr">
        <is>
          <t>SECTION 2 — PHARMACY &amp; MEDICINE</t>
        </is>
      </c>
    </row>
    <row r="15" ht="22" customHeight="1">
      <c r="B15" s="83" t="inlineStr">
        <is>
          <t>Sl.</t>
        </is>
      </c>
      <c r="C15" s="83" t="inlineStr">
        <is>
          <t>Performance Metric</t>
        </is>
      </c>
      <c r="D15" s="83" t="inlineStr">
        <is>
          <t>Unit</t>
        </is>
      </c>
      <c r="E15" s="83" t="inlineStr">
        <is>
          <t>Current A.Y.</t>
        </is>
      </c>
      <c r="F15" s="83" t="inlineStr">
        <is>
          <t>Previous A.Y.</t>
        </is>
      </c>
      <c r="G15" s="83" t="inlineStr">
        <is>
          <t>Change</t>
        </is>
      </c>
      <c r="H15" s="83" t="inlineStr">
        <is>
          <t>Remarks</t>
        </is>
      </c>
    </row>
    <row r="16" ht="22" customHeight="1">
      <c r="B16" s="84" t="n">
        <v>1</v>
      </c>
      <c r="C16" s="85" t="inlineStr">
        <is>
          <t>Total medicines in stock (types)</t>
        </is>
      </c>
      <c r="D16" s="86" t="inlineStr">
        <is>
          <t>No.</t>
        </is>
      </c>
      <c r="E16" s="86" t="inlineStr"/>
      <c r="F16" s="86" t="inlineStr"/>
      <c r="G16" s="86">
        <f>IFERROR(ROUND((E16-F16)/IF(F16=0,1,F16)*100,1),"")</f>
        <v/>
      </c>
      <c r="H16" s="85" t="inlineStr"/>
    </row>
    <row r="17" ht="22" customHeight="1">
      <c r="B17" s="8" t="n">
        <v>2</v>
      </c>
      <c r="C17" s="9" t="inlineStr">
        <is>
          <t>Stockout incidents</t>
        </is>
      </c>
      <c r="D17" s="10" t="inlineStr">
        <is>
          <t>No.</t>
        </is>
      </c>
      <c r="E17" s="10" t="inlineStr"/>
      <c r="F17" s="10" t="inlineStr"/>
      <c r="G17" s="10">
        <f>IFERROR(ROUND((E17-F17)/IF(F17=0,1,F17)*100,1),"")</f>
        <v/>
      </c>
      <c r="H17" s="9" t="inlineStr"/>
    </row>
    <row r="18" ht="22" customHeight="1">
      <c r="B18" s="84" t="n">
        <v>3</v>
      </c>
      <c r="C18" s="85" t="inlineStr">
        <is>
          <t>Expired medicines disposed</t>
        </is>
      </c>
      <c r="D18" s="86" t="inlineStr">
        <is>
          <t>No.</t>
        </is>
      </c>
      <c r="E18" s="86" t="inlineStr"/>
      <c r="F18" s="86" t="inlineStr"/>
      <c r="G18" s="86">
        <f>IFERROR(ROUND((E18-F18)/IF(F18=0,1,F18)*100,1),"")</f>
        <v/>
      </c>
      <c r="H18" s="85" t="inlineStr"/>
    </row>
    <row r="19" ht="22" customHeight="1">
      <c r="B19" s="8" t="n">
        <v>4</v>
      </c>
      <c r="C19" s="9" t="inlineStr">
        <is>
          <t>Total pharmacy expenditure (₹)</t>
        </is>
      </c>
      <c r="D19" s="10" t="inlineStr">
        <is>
          <t>₹</t>
        </is>
      </c>
      <c r="E19" s="10" t="inlineStr"/>
      <c r="F19" s="10" t="inlineStr"/>
      <c r="G19" s="10">
        <f>IFERROR(ROUND((E19-F19)/IF(F19=0,1,F19)*100,1),"")</f>
        <v/>
      </c>
      <c r="H19" s="9" t="inlineStr"/>
    </row>
    <row r="20" ht="22" customHeight="1">
      <c r="B20" s="84" t="n">
        <v>5</v>
      </c>
      <c r="C20" s="85" t="inlineStr">
        <is>
          <t>BMW collections completed</t>
        </is>
      </c>
      <c r="D20" s="86" t="inlineStr">
        <is>
          <t>No.</t>
        </is>
      </c>
      <c r="E20" s="86" t="inlineStr"/>
      <c r="F20" s="86" t="inlineStr"/>
      <c r="G20" s="86">
        <f>IFERROR(ROUND((E20-F20)/IF(F20=0,1,F20)*100,1),"")</f>
        <v/>
      </c>
      <c r="H20" s="85" t="inlineStr"/>
    </row>
    <row r="21" ht="22" customHeight="1">
      <c r="B21" s="8" t="n">
        <v>6</v>
      </c>
      <c r="C21" s="9" t="inlineStr">
        <is>
          <t>Medical equipment calibrated</t>
        </is>
      </c>
      <c r="D21" s="10" t="inlineStr">
        <is>
          <t>No.</t>
        </is>
      </c>
      <c r="E21" s="10" t="inlineStr"/>
      <c r="F21" s="10" t="inlineStr"/>
      <c r="G21" s="10">
        <f>IFERROR(ROUND((E21-F21)/IF(F21=0,1,F21)*100,1),"")</f>
        <v/>
      </c>
      <c r="H21" s="9" t="inlineStr"/>
    </row>
    <row r="22" ht="22" customHeight="1"/>
    <row r="23" ht="24" customHeight="1">
      <c r="B23" s="35" t="inlineStr">
        <is>
          <t>SECTION 3 — HEALTH PROMOTION</t>
        </is>
      </c>
    </row>
    <row r="24" ht="22" customHeight="1">
      <c r="B24" s="31" t="inlineStr">
        <is>
          <t>Sl.</t>
        </is>
      </c>
      <c r="C24" s="31" t="inlineStr">
        <is>
          <t>Performance Metric</t>
        </is>
      </c>
      <c r="D24" s="31" t="inlineStr">
        <is>
          <t>Unit</t>
        </is>
      </c>
      <c r="E24" s="31" t="inlineStr">
        <is>
          <t>Current A.Y.</t>
        </is>
      </c>
      <c r="F24" s="31" t="inlineStr">
        <is>
          <t>Previous A.Y.</t>
        </is>
      </c>
      <c r="G24" s="31" t="inlineStr">
        <is>
          <t>Change</t>
        </is>
      </c>
      <c r="H24" s="31" t="inlineStr">
        <is>
          <t>Remarks</t>
        </is>
      </c>
    </row>
    <row r="25" ht="22" customHeight="1">
      <c r="B25" s="32" t="n">
        <v>1</v>
      </c>
      <c r="C25" s="33" t="inlineStr">
        <is>
          <t>Annual health check-ups conducted</t>
        </is>
      </c>
      <c r="D25" s="34" t="inlineStr">
        <is>
          <t>No. / % covered</t>
        </is>
      </c>
      <c r="E25" s="34" t="inlineStr"/>
      <c r="F25" s="34" t="inlineStr"/>
      <c r="G25" s="34">
        <f>IFERROR(ROUND((E25-F25)/IF(F25=0,1,F25)*100,1),"")</f>
        <v/>
      </c>
      <c r="H25" s="33" t="inlineStr"/>
    </row>
    <row r="26" ht="22" customHeight="1">
      <c r="B26" s="8" t="n">
        <v>2</v>
      </c>
      <c r="C26" s="9" t="inlineStr">
        <is>
          <t>Health camps organised</t>
        </is>
      </c>
      <c r="D26" s="10" t="inlineStr">
        <is>
          <t>No.</t>
        </is>
      </c>
      <c r="E26" s="10" t="inlineStr"/>
      <c r="F26" s="10" t="inlineStr"/>
      <c r="G26" s="10">
        <f>IFERROR(ROUND((E26-F26)/IF(F26=0,1,F26)*100,1),"")</f>
        <v/>
      </c>
      <c r="H26" s="9" t="inlineStr"/>
    </row>
    <row r="27" ht="22" customHeight="1">
      <c r="B27" s="32" t="n">
        <v>3</v>
      </c>
      <c r="C27" s="33" t="inlineStr">
        <is>
          <t>Students benefited through camps</t>
        </is>
      </c>
      <c r="D27" s="34" t="inlineStr">
        <is>
          <t>No.</t>
        </is>
      </c>
      <c r="E27" s="34" t="inlineStr"/>
      <c r="F27" s="34" t="inlineStr"/>
      <c r="G27" s="34">
        <f>IFERROR(ROUND((E27-F27)/IF(F27=0,1,F27)*100,1),"")</f>
        <v/>
      </c>
      <c r="H27" s="33" t="inlineStr"/>
    </row>
    <row r="28" ht="22" customHeight="1">
      <c r="B28" s="8" t="n">
        <v>4</v>
      </c>
      <c r="C28" s="9" t="inlineStr">
        <is>
          <t>Blood donation units collected</t>
        </is>
      </c>
      <c r="D28" s="10" t="inlineStr">
        <is>
          <t>Units</t>
        </is>
      </c>
      <c r="E28" s="10" t="inlineStr"/>
      <c r="F28" s="10" t="inlineStr"/>
      <c r="G28" s="10">
        <f>IFERROR(ROUND((E28-F28)/IF(F28=0,1,F28)*100,1),"")</f>
        <v/>
      </c>
      <c r="H28" s="9" t="inlineStr"/>
    </row>
    <row r="29" ht="22" customHeight="1">
      <c r="B29" s="32" t="n">
        <v>5</v>
      </c>
      <c r="C29" s="33" t="inlineStr">
        <is>
          <t>Health awareness programmes</t>
        </is>
      </c>
      <c r="D29" s="34" t="inlineStr">
        <is>
          <t>No.</t>
        </is>
      </c>
      <c r="E29" s="34" t="inlineStr"/>
      <c r="F29" s="34" t="inlineStr"/>
      <c r="G29" s="34">
        <f>IFERROR(ROUND((E29-F29)/IF(F29=0,1,F29)*100,1),"")</f>
        <v/>
      </c>
      <c r="H29" s="33" t="inlineStr"/>
    </row>
    <row r="30" ht="22" customHeight="1">
      <c r="B30" s="8" t="n">
        <v>6</v>
      </c>
      <c r="C30" s="9" t="inlineStr">
        <is>
          <t>Water quality tests conducted</t>
        </is>
      </c>
      <c r="D30" s="10" t="inlineStr">
        <is>
          <t>No.</t>
        </is>
      </c>
      <c r="E30" s="10" t="inlineStr"/>
      <c r="F30" s="10" t="inlineStr"/>
      <c r="G30" s="10">
        <f>IFERROR(ROUND((E30-F30)/IF(F30=0,1,F30)*100,1),"")</f>
        <v/>
      </c>
      <c r="H30" s="9" t="inlineStr"/>
    </row>
    <row r="31" ht="22" customHeight="1"/>
    <row r="32" ht="24" customHeight="1">
      <c r="B32" s="87" t="inlineStr">
        <is>
          <t>SECTION 4 — MENTAL HEALTH</t>
        </is>
      </c>
    </row>
    <row r="33" ht="22" customHeight="1">
      <c r="B33" s="62" t="inlineStr">
        <is>
          <t>Sl.</t>
        </is>
      </c>
      <c r="C33" s="62" t="inlineStr">
        <is>
          <t>Performance Metric</t>
        </is>
      </c>
      <c r="D33" s="62" t="inlineStr">
        <is>
          <t>Unit</t>
        </is>
      </c>
      <c r="E33" s="62" t="inlineStr">
        <is>
          <t>Current A.Y.</t>
        </is>
      </c>
      <c r="F33" s="62" t="inlineStr">
        <is>
          <t>Previous A.Y.</t>
        </is>
      </c>
      <c r="G33" s="62" t="inlineStr">
        <is>
          <t>Change</t>
        </is>
      </c>
      <c r="H33" s="62" t="inlineStr">
        <is>
          <t>Remarks</t>
        </is>
      </c>
    </row>
    <row r="34" ht="22" customHeight="1">
      <c r="B34" s="63" t="n">
        <v>1</v>
      </c>
      <c r="C34" s="65" t="inlineStr">
        <is>
          <t>Counselling sessions conducted</t>
        </is>
      </c>
      <c r="D34" s="64" t="inlineStr">
        <is>
          <t>No.</t>
        </is>
      </c>
      <c r="E34" s="64" t="inlineStr"/>
      <c r="F34" s="64" t="inlineStr"/>
      <c r="G34" s="64">
        <f>IFERROR(ROUND((E34-F34)/IF(F34=0,1,F34)*100,1),"")</f>
        <v/>
      </c>
      <c r="H34" s="65" t="inlineStr"/>
    </row>
    <row r="35" ht="22" customHeight="1">
      <c r="B35" s="8" t="n">
        <v>2</v>
      </c>
      <c r="C35" s="9" t="inlineStr">
        <is>
          <t>Students receiving counselling</t>
        </is>
      </c>
      <c r="D35" s="10" t="inlineStr">
        <is>
          <t>No.</t>
        </is>
      </c>
      <c r="E35" s="10" t="inlineStr"/>
      <c r="F35" s="10" t="inlineStr"/>
      <c r="G35" s="10">
        <f>IFERROR(ROUND((E35-F35)/IF(F35=0,1,F35)*100,1),"")</f>
        <v/>
      </c>
      <c r="H35" s="9" t="inlineStr"/>
    </row>
    <row r="36" ht="22" customHeight="1">
      <c r="B36" s="63" t="n">
        <v>3</v>
      </c>
      <c r="C36" s="65" t="inlineStr">
        <is>
          <t>Crisis interventions</t>
        </is>
      </c>
      <c r="D36" s="64" t="inlineStr">
        <is>
          <t>No.</t>
        </is>
      </c>
      <c r="E36" s="64" t="inlineStr"/>
      <c r="F36" s="64" t="inlineStr"/>
      <c r="G36" s="64">
        <f>IFERROR(ROUND((E36-F36)/IF(F36=0,1,F36)*100,1),"")</f>
        <v/>
      </c>
      <c r="H36" s="65" t="inlineStr"/>
    </row>
    <row r="37" ht="22" customHeight="1">
      <c r="B37" s="8" t="n">
        <v>4</v>
      </c>
      <c r="C37" s="9" t="inlineStr">
        <is>
          <t>Psychiatric referrals</t>
        </is>
      </c>
      <c r="D37" s="10" t="inlineStr">
        <is>
          <t>No.</t>
        </is>
      </c>
      <c r="E37" s="10" t="inlineStr"/>
      <c r="F37" s="10" t="inlineStr"/>
      <c r="G37" s="10">
        <f>IFERROR(ROUND((E37-F37)/IF(F37=0,1,F37)*100,1),"")</f>
        <v/>
      </c>
      <c r="H37" s="9" t="inlineStr"/>
    </row>
    <row r="38" ht="22" customHeight="1">
      <c r="B38" s="63" t="n">
        <v>5</v>
      </c>
      <c r="C38" s="65" t="inlineStr">
        <is>
          <t>Peer support volunteers active</t>
        </is>
      </c>
      <c r="D38" s="64" t="inlineStr">
        <is>
          <t>No.</t>
        </is>
      </c>
      <c r="E38" s="64" t="inlineStr"/>
      <c r="F38" s="64" t="inlineStr"/>
      <c r="G38" s="64">
        <f>IFERROR(ROUND((E38-F38)/IF(F38=0,1,F38)*100,1),"")</f>
        <v/>
      </c>
      <c r="H38" s="65" t="inlineStr"/>
    </row>
    <row r="39" ht="22" customHeight="1">
      <c r="B39" s="8" t="n">
        <v>6</v>
      </c>
      <c r="C39" s="9" t="inlineStr">
        <is>
          <t>Student counselling satisfaction (/5)</t>
        </is>
      </c>
      <c r="D39" s="10" t="inlineStr">
        <is>
          <t>Score</t>
        </is>
      </c>
      <c r="E39" s="10" t="inlineStr"/>
      <c r="F39" s="10" t="inlineStr"/>
      <c r="G39" s="10">
        <f>IFERROR(ROUND((E39-F39)/IF(F39=0,1,F39)*100,1),"")</f>
        <v/>
      </c>
      <c r="H39" s="9" t="inlineStr"/>
    </row>
    <row r="40" ht="22" customHeight="1"/>
    <row r="41" ht="24" customHeight="1">
      <c r="B41" s="73" t="inlineStr">
        <is>
          <t>SECTION 5 — COMPLIANCE &amp; QUALITY</t>
        </is>
      </c>
    </row>
    <row r="42" ht="22" customHeight="1">
      <c r="B42" s="88" t="inlineStr">
        <is>
          <t>Sl.</t>
        </is>
      </c>
      <c r="C42" s="88" t="inlineStr">
        <is>
          <t>Performance Metric</t>
        </is>
      </c>
      <c r="D42" s="88" t="inlineStr">
        <is>
          <t>Unit</t>
        </is>
      </c>
      <c r="E42" s="88" t="inlineStr">
        <is>
          <t>Current A.Y.</t>
        </is>
      </c>
      <c r="F42" s="88" t="inlineStr">
        <is>
          <t>Previous A.Y.</t>
        </is>
      </c>
      <c r="G42" s="88" t="inlineStr">
        <is>
          <t>Change</t>
        </is>
      </c>
      <c r="H42" s="88" t="inlineStr">
        <is>
          <t>Remarks</t>
        </is>
      </c>
    </row>
    <row r="43" ht="22" customHeight="1">
      <c r="B43" s="89" t="n">
        <v>1</v>
      </c>
      <c r="C43" s="90" t="inlineStr">
        <is>
          <t>Medical staff registrations current</t>
        </is>
      </c>
      <c r="D43" s="91" t="inlineStr">
        <is>
          <t>Y/N</t>
        </is>
      </c>
      <c r="E43" s="91" t="inlineStr"/>
      <c r="F43" s="91" t="inlineStr"/>
      <c r="G43" s="91">
        <f>IFERROR(ROUND((E43-F43)/IF(F43=0,1,F43)*100,1),"")</f>
        <v/>
      </c>
      <c r="H43" s="90" t="inlineStr"/>
    </row>
    <row r="44" ht="22" customHeight="1">
      <c r="B44" s="8" t="n">
        <v>2</v>
      </c>
      <c r="C44" s="9" t="inlineStr">
        <is>
          <t>BMW compliance record</t>
        </is>
      </c>
      <c r="D44" s="10" t="inlineStr">
        <is>
          <t>Y/N</t>
        </is>
      </c>
      <c r="E44" s="10" t="inlineStr"/>
      <c r="F44" s="10" t="inlineStr"/>
      <c r="G44" s="10">
        <f>IFERROR(ROUND((E44-F44)/IF(F44=0,1,F44)*100,1),"")</f>
        <v/>
      </c>
      <c r="H44" s="9" t="inlineStr"/>
    </row>
    <row r="45" ht="22" customHeight="1">
      <c r="B45" s="89" t="n">
        <v>3</v>
      </c>
      <c r="C45" s="90" t="inlineStr">
        <is>
          <t>NAAC health data submitted</t>
        </is>
      </c>
      <c r="D45" s="91" t="inlineStr">
        <is>
          <t>Y/N</t>
        </is>
      </c>
      <c r="E45" s="91" t="inlineStr"/>
      <c r="F45" s="91" t="inlineStr"/>
      <c r="G45" s="91">
        <f>IFERROR(ROUND((E45-F45)/IF(F45=0,1,F45)*100,1),"")</f>
        <v/>
      </c>
      <c r="H45" s="90" t="inlineStr"/>
    </row>
    <row r="46" ht="22" customHeight="1">
      <c r="B46" s="8" t="n">
        <v>4</v>
      </c>
      <c r="C46" s="9" t="inlineStr">
        <is>
          <t>MCC meetings conducted</t>
        </is>
      </c>
      <c r="D46" s="10" t="inlineStr">
        <is>
          <t>No.</t>
        </is>
      </c>
      <c r="E46" s="10" t="inlineStr"/>
      <c r="F46" s="10" t="inlineStr"/>
      <c r="G46" s="10">
        <f>IFERROR(ROUND((E46-F46)/IF(F46=0,1,F46)*100,1),"")</f>
        <v/>
      </c>
      <c r="H46" s="9" t="inlineStr"/>
    </row>
    <row r="47" ht="22" customHeight="1">
      <c r="B47" s="89" t="n">
        <v>5</v>
      </c>
      <c r="C47" s="90" t="inlineStr">
        <is>
          <t>Patient satisfaction score (/5)</t>
        </is>
      </c>
      <c r="D47" s="91" t="inlineStr">
        <is>
          <t>Score</t>
        </is>
      </c>
      <c r="E47" s="91" t="inlineStr"/>
      <c r="F47" s="91" t="inlineStr"/>
      <c r="G47" s="91">
        <f>IFERROR(ROUND((E47-F47)/IF(F47=0,1,F47)*100,1),"")</f>
        <v/>
      </c>
      <c r="H47" s="90" t="inlineStr"/>
    </row>
    <row r="48" ht="22" customHeight="1">
      <c r="B48" s="8" t="n">
        <v>6</v>
      </c>
      <c r="C48" s="9" t="inlineStr">
        <is>
          <t>Canteen inspections completed</t>
        </is>
      </c>
      <c r="D48" s="10" t="inlineStr">
        <is>
          <t>No.</t>
        </is>
      </c>
      <c r="E48" s="10" t="inlineStr"/>
      <c r="F48" s="10" t="inlineStr"/>
      <c r="G48" s="10">
        <f>IFERROR(ROUND((E48-F48)/IF(F48=0,1,F48)*100,1),"")</f>
        <v/>
      </c>
      <c r="H48" s="9" t="inlineStr"/>
    </row>
    <row r="49" ht="22" customHeight="1"/>
    <row r="50" ht="20" customHeight="1">
      <c r="B50" s="17" t="inlineStr">
        <is>
          <t>Annual Report submitted to: Management, IQAC (NAAC AQAR Criterion V.2 — Student Progression, V.3 — Student Welfare), UGC, Governing Body. De-identified aggregate data only for external reports. Patient records retained as per Medical Records Rules.</t>
        </is>
      </c>
    </row>
    <row r="51" ht="22" customHeight="1">
      <c r="B51" s="30" t="inlineStr">
        <is>
          <t>Medical Officer: ___________________    MCC Chairperson (Principal): ___________________    IQAC Coordinator: ___________________    Date: ___________________</t>
        </is>
      </c>
    </row>
    <row r="52" ht="22" customHeight="1"/>
    <row r="53" ht="22" customHeight="1"/>
    <row r="54" ht="22" customHeight="1"/>
    <row r="55" ht="22" customHeight="1"/>
    <row r="56" ht="22" customHeight="1"/>
    <row r="57" ht="22" customHeight="1"/>
  </sheetData>
  <mergeCells count="10">
    <mergeCell ref="B14:H14"/>
    <mergeCell ref="B32:H32"/>
    <mergeCell ref="B50:H50"/>
    <mergeCell ref="B51:H51"/>
    <mergeCell ref="B41:H41"/>
    <mergeCell ref="B4:H4"/>
    <mergeCell ref="B2:H2"/>
    <mergeCell ref="B3:H3"/>
    <mergeCell ref="B5:H5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2026-05-01T08:48:38Z</dcterms:created>
  <dcterms:modified xmlns:dcterms="http://purl.org/dc/terms/" xmlns:xsi="http://www.w3.org/2001/XMLSchema-instance" xsi:type="dcterms:W3CDTF">2026-05-01T08:48:39Z</dcterms:modified>
</cp:coreProperties>
</file>