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HHS-00 Composition" sheetId="2" state="visible" r:id="rId2"/>
    <sheet xmlns:r="http://schemas.openxmlformats.org/officeDocument/2006/relationships" name="CHHS-NA Notice &amp; Agenda" sheetId="3" state="visible" r:id="rId3"/>
    <sheet xmlns:r="http://schemas.openxmlformats.org/officeDocument/2006/relationships" name="CHHS-AT Attendance" sheetId="4" state="visible" r:id="rId4"/>
    <sheet xmlns:r="http://schemas.openxmlformats.org/officeDocument/2006/relationships" name="CHHS-MM Minutes" sheetId="5" state="visible" r:id="rId5"/>
    <sheet xmlns:r="http://schemas.openxmlformats.org/officeDocument/2006/relationships" name="CHHS-ATR Action Report" sheetId="6" state="visible" r:id="rId6"/>
    <sheet xmlns:r="http://schemas.openxmlformats.org/officeDocument/2006/relationships" name="CAN-04 Daily Hygiene Check" sheetId="7" state="visible" r:id="rId7"/>
    <sheet xmlns:r="http://schemas.openxmlformats.org/officeDocument/2006/relationships" name="CAN-05 Weekly Food Quality" sheetId="8" state="visible" r:id="rId8"/>
    <sheet xmlns:r="http://schemas.openxmlformats.org/officeDocument/2006/relationships" name="CAN-06 Food Sample Retention" sheetId="9" state="visible" r:id="rId9"/>
    <sheet xmlns:r="http://schemas.openxmlformats.org/officeDocument/2006/relationships" name="CAN-07 Staff Health Certs" sheetId="10" state="visible" r:id="rId10"/>
    <sheet xmlns:r="http://schemas.openxmlformats.org/officeDocument/2006/relationships" name="CAN-11 Canteen Complaints" sheetId="11" state="visible" r:id="rId11"/>
    <sheet xmlns:r="http://schemas.openxmlformats.org/officeDocument/2006/relationships" name="HK-02-04 Daily Cleaning" sheetId="12" state="visible" r:id="rId12"/>
    <sheet xmlns:r="http://schemas.openxmlformats.org/officeDocument/2006/relationships" name="HK-07 Monthly Audit" sheetId="13" state="visible" r:id="rId13"/>
    <sheet xmlns:r="http://schemas.openxmlformats.org/officeDocument/2006/relationships" name="HK-08 Supplies Inventory" sheetId="14" state="visible" r:id="rId14"/>
    <sheet xmlns:r="http://schemas.openxmlformats.org/officeDocument/2006/relationships" name="HK-10 Waste Disposal" sheetId="15" state="visible" r:id="rId15"/>
    <sheet xmlns:r="http://schemas.openxmlformats.org/officeDocument/2006/relationships" name="HS-02 Toilet Inspection Log" sheetId="16" state="visible" r:id="rId16"/>
    <sheet xmlns:r="http://schemas.openxmlformats.org/officeDocument/2006/relationships" name="HS-03 Water Quality Testing" sheetId="17" state="visible" r:id="rId17"/>
    <sheet xmlns:r="http://schemas.openxmlformats.org/officeDocument/2006/relationships" name="HS-06 Pest Control Register" sheetId="18" state="visible" r:id="rId18"/>
    <sheet xmlns:r="http://schemas.openxmlformats.org/officeDocument/2006/relationships" name="CHHS-21 Satisfaction Survey" sheetId="19" state="visible" r:id="rId19"/>
    <sheet xmlns:r="http://schemas.openxmlformats.org/officeDocument/2006/relationships" name="CHHS-30 KPI Dashboard" sheetId="20" state="visible" r:id="rId20"/>
    <sheet xmlns:r="http://schemas.openxmlformats.org/officeDocument/2006/relationships" name="CHHS-31 Annual Repo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6653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66534"/>
      <sz val="10"/>
    </font>
    <font>
      <name val="Arial"/>
      <b val="1"/>
      <color rgb="00334155"/>
      <sz val="10"/>
    </font>
    <font>
      <name val="Arial"/>
      <color rgb="000F172A"/>
      <sz val="9"/>
    </font>
    <font>
      <name val="Arial"/>
      <b val="1"/>
      <color rgb="000F172A"/>
      <sz val="9"/>
    </font>
  </fonts>
  <fills count="22">
    <fill>
      <patternFill/>
    </fill>
    <fill>
      <patternFill patternType="gray125"/>
    </fill>
    <fill>
      <patternFill patternType="solid">
        <fgColor rgb="000A1A0A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0891B2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CANTEEN, HOUSEKEEPING, HYGIENE &amp; SANITATION COMMITTEE
Data Collection Formats — Master Workbook</t>
        </is>
      </c>
    </row>
    <row r="3" ht="28" customHeight="1">
      <c r="B3" s="2" t="inlineStr">
        <is>
          <t>Institution: _________________________  Committee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CHHS-00</t>
        </is>
      </c>
      <c r="C6" s="6" t="inlineStr">
        <is>
          <t>Committee Composition &amp; Members Register</t>
        </is>
      </c>
      <c r="D6" s="6" t="inlineStr">
        <is>
          <t>Record members, supervisors &amp; student reps</t>
        </is>
      </c>
      <c r="E6" s="7" t="inlineStr">
        <is>
          <t>Annual</t>
        </is>
      </c>
    </row>
    <row r="7" ht="20" customHeight="1">
      <c r="B7" s="8" t="inlineStr">
        <is>
          <t>CHHS-NA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CHHS-AT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CHHS-MM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CHHS-ATR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CHHS-01</t>
        </is>
      </c>
      <c r="C12" s="6" t="inlineStr">
        <is>
          <t>CHHS Policy &amp; Service Standards Document</t>
        </is>
      </c>
      <c r="D12" s="6" t="inlineStr">
        <is>
          <t>Document service standards, norms &amp; responsibilities</t>
        </is>
      </c>
      <c r="E12" s="7" t="inlineStr">
        <is>
          <t>Annual</t>
        </is>
      </c>
    </row>
    <row r="13" ht="20" customHeight="1">
      <c r="B13" s="8" t="inlineStr">
        <is>
          <t>CHHS-02</t>
        </is>
      </c>
      <c r="C13" s="9" t="inlineStr">
        <is>
          <t>Annual Maintenance &amp; Service Calendar</t>
        </is>
      </c>
      <c r="D13" s="9" t="inlineStr">
        <is>
          <t>Plan all cleaning, pest control, audits &amp; reviews</t>
        </is>
      </c>
      <c r="E13" s="10" t="inlineStr">
        <is>
          <t>Annual</t>
        </is>
      </c>
    </row>
    <row r="14" ht="20" customHeight="1">
      <c r="B14" s="5" t="inlineStr">
        <is>
          <t>CHHS-03</t>
        </is>
      </c>
      <c r="C14" s="6" t="inlineStr">
        <is>
          <t>CHHS Budget &amp; Resource Plan</t>
        </is>
      </c>
      <c r="D14" s="6" t="inlineStr">
        <is>
          <t>Plan and track budget for canteen, cleaning, sanitation</t>
        </is>
      </c>
      <c r="E14" s="7" t="inlineStr">
        <is>
          <t>Annual</t>
        </is>
      </c>
    </row>
    <row r="15" ht="20" customHeight="1">
      <c r="B15" s="4" t="inlineStr">
        <is>
          <t>── CANTEEN &amp; FOOD SERVICES ──</t>
        </is>
      </c>
    </row>
    <row r="16" ht="20" customHeight="1">
      <c r="B16" s="5" t="inlineStr">
        <is>
          <t>CAN-01</t>
        </is>
      </c>
      <c r="C16" s="6" t="inlineStr">
        <is>
          <t>Canteen Vendor Registration &amp; Agreement Register</t>
        </is>
      </c>
      <c r="D16" s="6" t="inlineStr">
        <is>
          <t>Register canteen contractor with agreement terms</t>
        </is>
      </c>
      <c r="E16" s="7" t="inlineStr">
        <is>
          <t>Annual / On Renewal</t>
        </is>
      </c>
    </row>
    <row r="17" ht="20" customHeight="1">
      <c r="B17" s="8" t="inlineStr">
        <is>
          <t>CAN-02</t>
        </is>
      </c>
      <c r="C17" s="9" t="inlineStr">
        <is>
          <t>Canteen Menu &amp; Price List Register</t>
        </is>
      </c>
      <c r="D17" s="9" t="inlineStr">
        <is>
          <t>Publish and update approved menu with price display</t>
        </is>
      </c>
      <c r="E17" s="10" t="inlineStr">
        <is>
          <t>Each Semester</t>
        </is>
      </c>
    </row>
    <row r="18" ht="20" customHeight="1">
      <c r="B18" s="5" t="inlineStr">
        <is>
          <t>CAN-03</t>
        </is>
      </c>
      <c r="C18" s="6" t="inlineStr">
        <is>
          <t>Daily Food Production &amp; Service Register</t>
        </is>
      </c>
      <c r="D18" s="6" t="inlineStr">
        <is>
          <t>Track food prepared, served and wasted daily</t>
        </is>
      </c>
      <c r="E18" s="7" t="inlineStr">
        <is>
          <t>Daily</t>
        </is>
      </c>
    </row>
    <row r="19" ht="20" customHeight="1">
      <c r="B19" s="8" t="inlineStr">
        <is>
          <t>CAN-04</t>
        </is>
      </c>
      <c r="C19" s="9" t="inlineStr">
        <is>
          <t>Canteen Daily Hygiene Inspection Checklist</t>
        </is>
      </c>
      <c r="D19" s="9" t="inlineStr">
        <is>
          <t>Daily hygiene and safety check of canteen area</t>
        </is>
      </c>
      <c r="E19" s="10" t="inlineStr">
        <is>
          <t>Daily</t>
        </is>
      </c>
    </row>
    <row r="20" ht="20" customHeight="1">
      <c r="B20" s="5" t="inlineStr">
        <is>
          <t>CAN-05</t>
        </is>
      </c>
      <c r="C20" s="6" t="inlineStr">
        <is>
          <t>Weekly Food Quality Inspection Register</t>
        </is>
      </c>
      <c r="D20" s="6" t="inlineStr">
        <is>
          <t>Weekly review of food quality, storage and freshness</t>
        </is>
      </c>
      <c r="E20" s="7" t="inlineStr">
        <is>
          <t>Weekly</t>
        </is>
      </c>
    </row>
    <row r="21" ht="20" customHeight="1">
      <c r="B21" s="8" t="inlineStr">
        <is>
          <t>CAN-06</t>
        </is>
      </c>
      <c r="C21" s="9" t="inlineStr">
        <is>
          <t>Food Sample Retention Register</t>
        </is>
      </c>
      <c r="D21" s="9" t="inlineStr">
        <is>
          <t>Retain food samples for 24 hours as per FSSAI norms</t>
        </is>
      </c>
      <c r="E21" s="10" t="inlineStr">
        <is>
          <t>Daily</t>
        </is>
      </c>
    </row>
    <row r="22" ht="20" customHeight="1">
      <c r="B22" s="5" t="inlineStr">
        <is>
          <t>CAN-07</t>
        </is>
      </c>
      <c r="C22" s="6" t="inlineStr">
        <is>
          <t>Canteen Staff Health Certificate Register</t>
        </is>
      </c>
      <c r="D22" s="6" t="inlineStr">
        <is>
          <t>Track FSSAI medical fitness of all canteen staff</t>
        </is>
      </c>
      <c r="E22" s="7" t="inlineStr">
        <is>
          <t>Annual</t>
        </is>
      </c>
    </row>
    <row r="23" ht="20" customHeight="1">
      <c r="B23" s="8" t="inlineStr">
        <is>
          <t>CAN-08</t>
        </is>
      </c>
      <c r="C23" s="9" t="inlineStr">
        <is>
          <t>Canteen Staff Training &amp; Hygiene Register</t>
        </is>
      </c>
      <c r="D23" s="9" t="inlineStr">
        <is>
          <t>Train canteen staff on food safety and hygiene</t>
        </is>
      </c>
      <c r="E23" s="10" t="inlineStr">
        <is>
          <t>Annual / Quarterly</t>
        </is>
      </c>
    </row>
    <row r="24" ht="20" customHeight="1">
      <c r="B24" s="5" t="inlineStr">
        <is>
          <t>CAN-09</t>
        </is>
      </c>
      <c r="C24" s="6" t="inlineStr">
        <is>
          <t>FSSAI / Food Licence Compliance Register</t>
        </is>
      </c>
      <c r="D24" s="6" t="inlineStr">
        <is>
          <t>Track FSSAI licence validity and compliance</t>
        </is>
      </c>
      <c r="E24" s="7" t="inlineStr">
        <is>
          <t>Annual</t>
        </is>
      </c>
    </row>
    <row r="25" ht="20" customHeight="1">
      <c r="B25" s="8" t="inlineStr">
        <is>
          <t>CAN-10</t>
        </is>
      </c>
      <c r="C25" s="9" t="inlineStr">
        <is>
          <t>Canteen Equipment Maintenance Log</t>
        </is>
      </c>
      <c r="D25" s="9" t="inlineStr">
        <is>
          <t>Track maintenance of cooking equipment and utensils</t>
        </is>
      </c>
      <c r="E25" s="10" t="inlineStr">
        <is>
          <t>Monthly</t>
        </is>
      </c>
    </row>
    <row r="26" ht="20" customHeight="1">
      <c r="B26" s="5" t="inlineStr">
        <is>
          <t>CAN-11</t>
        </is>
      </c>
      <c r="C26" s="6" t="inlineStr">
        <is>
          <t>Canteen Complaint &amp; Feedback Register</t>
        </is>
      </c>
      <c r="D26" s="6" t="inlineStr">
        <is>
          <t>Log student / staff complaints on canteen services</t>
        </is>
      </c>
      <c r="E26" s="7" t="inlineStr">
        <is>
          <t>Continuous</t>
        </is>
      </c>
    </row>
    <row r="27" ht="20" customHeight="1">
      <c r="B27" s="8" t="inlineStr">
        <is>
          <t>CAN-12</t>
        </is>
      </c>
      <c r="C27" s="9" t="inlineStr">
        <is>
          <t>Canteen Monthly Revenue &amp; Audit Register</t>
        </is>
      </c>
      <c r="D27" s="9" t="inlineStr">
        <is>
          <t>Review canteen sales, revenue and royalty</t>
        </is>
      </c>
      <c r="E27" s="10" t="inlineStr">
        <is>
          <t>Monthly</t>
        </is>
      </c>
    </row>
    <row r="28" ht="20" customHeight="1">
      <c r="B28" s="4" t="inlineStr">
        <is>
          <t>── HOUSEKEEPING &amp; CLEANLINESS ──</t>
        </is>
      </c>
    </row>
    <row r="29" ht="20" customHeight="1">
      <c r="B29" s="8" t="inlineStr">
        <is>
          <t>HK-01</t>
        </is>
      </c>
      <c r="C29" s="9" t="inlineStr">
        <is>
          <t>Housekeeping Staff Roster &amp; Duty Register</t>
        </is>
      </c>
      <c r="D29" s="9" t="inlineStr">
        <is>
          <t>Record housekeeping staff, shifts and responsibilities</t>
        </is>
      </c>
      <c r="E29" s="10" t="inlineStr">
        <is>
          <t>Daily / Monthly</t>
        </is>
      </c>
    </row>
    <row r="30" ht="20" customHeight="1">
      <c r="B30" s="5" t="inlineStr">
        <is>
          <t>HK-02</t>
        </is>
      </c>
      <c r="C30" s="6" t="inlineStr">
        <is>
          <t>Daily Cleaning Checklist — Classrooms &amp; Corridors</t>
        </is>
      </c>
      <c r="D30" s="6" t="inlineStr">
        <is>
          <t>Daily cleaning and upkeep of academic areas</t>
        </is>
      </c>
      <c r="E30" s="7" t="inlineStr">
        <is>
          <t>Daily</t>
        </is>
      </c>
    </row>
    <row r="31" ht="20" customHeight="1">
      <c r="B31" s="8" t="inlineStr">
        <is>
          <t>HK-03</t>
        </is>
      </c>
      <c r="C31" s="9" t="inlineStr">
        <is>
          <t>Daily Cleaning Checklist — Toilets &amp; Washrooms</t>
        </is>
      </c>
      <c r="D31" s="9" t="inlineStr">
        <is>
          <t>Daily hygiene inspection of all toilet blocks</t>
        </is>
      </c>
      <c r="E31" s="10" t="inlineStr">
        <is>
          <t>Daily (Multiple times)</t>
        </is>
      </c>
    </row>
    <row r="32" ht="20" customHeight="1">
      <c r="B32" s="5" t="inlineStr">
        <is>
          <t>HK-04</t>
        </is>
      </c>
      <c r="C32" s="6" t="inlineStr">
        <is>
          <t>Daily Cleaning Checklist — Common Areas</t>
        </is>
      </c>
      <c r="D32" s="6" t="inlineStr">
        <is>
          <t>Common areas, staircases, notice boards, entrance</t>
        </is>
      </c>
      <c r="E32" s="7" t="inlineStr">
        <is>
          <t>Daily</t>
        </is>
      </c>
    </row>
    <row r="33" ht="20" customHeight="1">
      <c r="B33" s="8" t="inlineStr">
        <is>
          <t>HK-05</t>
        </is>
      </c>
      <c r="C33" s="9" t="inlineStr">
        <is>
          <t>Laboratory &amp; Workshop Cleaning Register</t>
        </is>
      </c>
      <c r="D33" s="9" t="inlineStr">
        <is>
          <t>Special cleaning protocol for labs and workshops</t>
        </is>
      </c>
      <c r="E33" s="10" t="inlineStr">
        <is>
          <t>Daily / Post-use</t>
        </is>
      </c>
    </row>
    <row r="34" ht="20" customHeight="1">
      <c r="B34" s="5" t="inlineStr">
        <is>
          <t>HK-06</t>
        </is>
      </c>
      <c r="C34" s="6" t="inlineStr">
        <is>
          <t>Weekly Deep-Cleaning Schedule &amp; Log</t>
        </is>
      </c>
      <c r="D34" s="6" t="inlineStr">
        <is>
          <t>Track weekly intensive cleaning activities</t>
        </is>
      </c>
      <c r="E34" s="7" t="inlineStr">
        <is>
          <t>Weekly</t>
        </is>
      </c>
    </row>
    <row r="35" ht="20" customHeight="1">
      <c r="B35" s="8" t="inlineStr">
        <is>
          <t>HK-07</t>
        </is>
      </c>
      <c r="C35" s="9" t="inlineStr">
        <is>
          <t>Monthly Campus Cleanliness Audit Form</t>
        </is>
      </c>
      <c r="D35" s="9" t="inlineStr">
        <is>
          <t>Monthly comprehensive audit of all campus areas</t>
        </is>
      </c>
      <c r="E35" s="10" t="inlineStr">
        <is>
          <t>Monthly</t>
        </is>
      </c>
    </row>
    <row r="36" ht="20" customHeight="1">
      <c r="B36" s="5" t="inlineStr">
        <is>
          <t>HK-08</t>
        </is>
      </c>
      <c r="C36" s="6" t="inlineStr">
        <is>
          <t>Housekeeping Supplies Inventory Register</t>
        </is>
      </c>
      <c r="D36" s="6" t="inlineStr">
        <is>
          <t>Track cleaning materials, chemicals and equipment</t>
        </is>
      </c>
      <c r="E36" s="7" t="inlineStr">
        <is>
          <t>Weekly / Monthly</t>
        </is>
      </c>
    </row>
    <row r="37" ht="20" customHeight="1">
      <c r="B37" s="8" t="inlineStr">
        <is>
          <t>HK-09</t>
        </is>
      </c>
      <c r="C37" s="9" t="inlineStr">
        <is>
          <t>Housekeeping Equipment Maintenance Log</t>
        </is>
      </c>
      <c r="D37" s="9" t="inlineStr">
        <is>
          <t>Track maintenance of cleaning machines and tools</t>
        </is>
      </c>
      <c r="E37" s="10" t="inlineStr">
        <is>
          <t>Monthly</t>
        </is>
      </c>
    </row>
    <row r="38" ht="20" customHeight="1">
      <c r="B38" s="5" t="inlineStr">
        <is>
          <t>HK-10</t>
        </is>
      </c>
      <c r="C38" s="6" t="inlineStr">
        <is>
          <t>Waste Segregation &amp; Disposal Register</t>
        </is>
      </c>
      <c r="D38" s="6" t="inlineStr">
        <is>
          <t>Track waste collection, segregation and disposal</t>
        </is>
      </c>
      <c r="E38" s="7" t="inlineStr">
        <is>
          <t>Daily / Weekly</t>
        </is>
      </c>
    </row>
    <row r="39" ht="20" customHeight="1">
      <c r="B39" s="4" t="inlineStr">
        <is>
          <t>── HYGIENE &amp; SANITATION ──</t>
        </is>
      </c>
    </row>
    <row r="40" ht="20" customHeight="1">
      <c r="B40" s="5" t="inlineStr">
        <is>
          <t>HS-01</t>
        </is>
      </c>
      <c r="C40" s="6" t="inlineStr">
        <is>
          <t>Toilet &amp; Washroom Facility Register</t>
        </is>
      </c>
      <c r="D40" s="6" t="inlineStr">
        <is>
          <t>Inventory of all toilet blocks, capacity and facilities</t>
        </is>
      </c>
      <c r="E40" s="7" t="inlineStr">
        <is>
          <t>Annual</t>
        </is>
      </c>
    </row>
    <row r="41" ht="20" customHeight="1">
      <c r="B41" s="8" t="inlineStr">
        <is>
          <t>HS-02</t>
        </is>
      </c>
      <c r="C41" s="9" t="inlineStr">
        <is>
          <t>Toilet Inspection &amp; Cleaning Log</t>
        </is>
      </c>
      <c r="D41" s="9" t="inlineStr">
        <is>
          <t>Multiple-times-daily inspection of all toilets</t>
        </is>
      </c>
      <c r="E41" s="10" t="inlineStr">
        <is>
          <t>Daily (3–4 times)</t>
        </is>
      </c>
    </row>
    <row r="42" ht="20" customHeight="1">
      <c r="B42" s="5" t="inlineStr">
        <is>
          <t>HS-03</t>
        </is>
      </c>
      <c r="C42" s="6" t="inlineStr">
        <is>
          <t>Water Quality Testing Register</t>
        </is>
      </c>
      <c r="D42" s="6" t="inlineStr">
        <is>
          <t>Track water quality tests and results</t>
        </is>
      </c>
      <c r="E42" s="7" t="inlineStr">
        <is>
          <t>Monthly / Quarterly</t>
        </is>
      </c>
    </row>
    <row r="43" ht="20" customHeight="1">
      <c r="B43" s="8" t="inlineStr">
        <is>
          <t>HS-04</t>
        </is>
      </c>
      <c r="C43" s="9" t="inlineStr">
        <is>
          <t>Drinking Water Facility Register</t>
        </is>
      </c>
      <c r="D43" s="9" t="inlineStr">
        <is>
          <t>Inventory and maintenance of drinking water points</t>
        </is>
      </c>
      <c r="E43" s="10" t="inlineStr">
        <is>
          <t>Monthly</t>
        </is>
      </c>
    </row>
    <row r="44" ht="20" customHeight="1">
      <c r="B44" s="5" t="inlineStr">
        <is>
          <t>HS-05</t>
        </is>
      </c>
      <c r="C44" s="6" t="inlineStr">
        <is>
          <t>Sewage &amp; Drainage Maintenance Register</t>
        </is>
      </c>
      <c r="D44" s="6" t="inlineStr">
        <is>
          <t>Track drainage cleaning, blockage and repair</t>
        </is>
      </c>
      <c r="E44" s="7" t="inlineStr">
        <is>
          <t>Monthly / As required</t>
        </is>
      </c>
    </row>
    <row r="45" ht="20" customHeight="1">
      <c r="B45" s="8" t="inlineStr">
        <is>
          <t>HS-06</t>
        </is>
      </c>
      <c r="C45" s="9" t="inlineStr">
        <is>
          <t>Pest Control Register</t>
        </is>
      </c>
      <c r="D45" s="9" t="inlineStr">
        <is>
          <t>Track pest control treatment — cockroaches, rodents, flies</t>
        </is>
      </c>
      <c r="E45" s="10" t="inlineStr">
        <is>
          <t>Monthly / Quarterly</t>
        </is>
      </c>
    </row>
    <row r="46" ht="20" customHeight="1">
      <c r="B46" s="5" t="inlineStr">
        <is>
          <t>HS-07</t>
        </is>
      </c>
      <c r="C46" s="6" t="inlineStr">
        <is>
          <t>Disinfection &amp; Fumigation Register</t>
        </is>
      </c>
      <c r="D46" s="6" t="inlineStr">
        <is>
          <t>Document disinfection and fumigation activities</t>
        </is>
      </c>
      <c r="E46" s="7" t="inlineStr">
        <is>
          <t>Monthly / On epidemic alert</t>
        </is>
      </c>
    </row>
    <row r="47" ht="20" customHeight="1">
      <c r="B47" s="8" t="inlineStr">
        <is>
          <t>HS-08</t>
        </is>
      </c>
      <c r="C47" s="9" t="inlineStr">
        <is>
          <t>Biomedical / Hazardous Waste Disposal Register</t>
        </is>
      </c>
      <c r="D47" s="9" t="inlineStr">
        <is>
          <t>Track disposal of lab waste, chemicals and e-waste</t>
        </is>
      </c>
      <c r="E47" s="10" t="inlineStr">
        <is>
          <t>Monthly</t>
        </is>
      </c>
    </row>
    <row r="48" ht="20" customHeight="1">
      <c r="B48" s="5" t="inlineStr">
        <is>
          <t>HS-09</t>
        </is>
      </c>
      <c r="C48" s="6" t="inlineStr">
        <is>
          <t>Hand Hygiene &amp; Sanitiser Availability Register</t>
        </is>
      </c>
      <c r="D48" s="6" t="inlineStr">
        <is>
          <t>Ensure sanitisers and hand wash are stocked and functional</t>
        </is>
      </c>
      <c r="E48" s="7" t="inlineStr">
        <is>
          <t>Weekly</t>
        </is>
      </c>
    </row>
    <row r="49" ht="20" customHeight="1">
      <c r="B49" s="4" t="inlineStr">
        <is>
          <t>── GREEN CAMPUS &amp; ENVIRONMENT ──</t>
        </is>
      </c>
    </row>
    <row r="50" ht="20" customHeight="1">
      <c r="B50" s="5" t="inlineStr">
        <is>
          <t>GC-01</t>
        </is>
      </c>
      <c r="C50" s="6" t="inlineStr">
        <is>
          <t>Green Campus Initiative Register</t>
        </is>
      </c>
      <c r="D50" s="6" t="inlineStr">
        <is>
          <t>Document green campus activities — energy, water, waste</t>
        </is>
      </c>
      <c r="E50" s="7" t="inlineStr">
        <is>
          <t>Annual</t>
        </is>
      </c>
    </row>
    <row r="51" ht="20" customHeight="1">
      <c r="B51" s="8" t="inlineStr">
        <is>
          <t>GC-02</t>
        </is>
      </c>
      <c r="C51" s="9" t="inlineStr">
        <is>
          <t>Solid Waste Management Register</t>
        </is>
      </c>
      <c r="D51" s="9" t="inlineStr">
        <is>
          <t>Track campus solid waste — dry, wet, recyclable</t>
        </is>
      </c>
      <c r="E51" s="10" t="inlineStr">
        <is>
          <t>Weekly / Monthly</t>
        </is>
      </c>
    </row>
    <row r="52" ht="20" customHeight="1">
      <c r="B52" s="5" t="inlineStr">
        <is>
          <t>GC-03</t>
        </is>
      </c>
      <c r="C52" s="6" t="inlineStr">
        <is>
          <t>E-Waste &amp; Chemical Waste Register</t>
        </is>
      </c>
      <c r="D52" s="6" t="inlineStr">
        <is>
          <t>Track e-waste and chemical waste disposal certificates</t>
        </is>
      </c>
      <c r="E52" s="7" t="inlineStr">
        <is>
          <t>Annual</t>
        </is>
      </c>
    </row>
    <row r="53" ht="20" customHeight="1">
      <c r="B53" s="8" t="inlineStr">
        <is>
          <t>GC-04</t>
        </is>
      </c>
      <c r="C53" s="9" t="inlineStr">
        <is>
          <t>Campus Greenery &amp; Tree Register</t>
        </is>
      </c>
      <c r="D53" s="9" t="inlineStr">
        <is>
          <t>Inventory of campus trees, plants and green spaces</t>
        </is>
      </c>
      <c r="E53" s="10" t="inlineStr">
        <is>
          <t>Annual</t>
        </is>
      </c>
    </row>
    <row r="54" ht="20" customHeight="1">
      <c r="B54" s="4" t="inlineStr">
        <is>
          <t>── COMPLAINT &amp; FEEDBACK ──</t>
        </is>
      </c>
    </row>
    <row r="55" ht="20" customHeight="1">
      <c r="B55" s="8" t="inlineStr">
        <is>
          <t>CHHS-20</t>
        </is>
      </c>
      <c r="C55" s="9" t="inlineStr">
        <is>
          <t>General Campus Hygiene Complaint Register</t>
        </is>
      </c>
      <c r="D55" s="9" t="inlineStr">
        <is>
          <t>Receive and resolve hygiene complaints from any source</t>
        </is>
      </c>
      <c r="E55" s="10" t="inlineStr">
        <is>
          <t>Continuous</t>
        </is>
      </c>
    </row>
    <row r="56" ht="20" customHeight="1">
      <c r="B56" s="5" t="inlineStr">
        <is>
          <t>CHHS-21</t>
        </is>
      </c>
      <c r="C56" s="6" t="inlineStr">
        <is>
          <t>Student Hygiene Satisfaction Survey</t>
        </is>
      </c>
      <c r="D56" s="6" t="inlineStr">
        <is>
          <t>Annual survey on canteen, cleanliness and sanitation</t>
        </is>
      </c>
      <c r="E56" s="7" t="inlineStr">
        <is>
          <t>Annual</t>
        </is>
      </c>
    </row>
    <row r="57" ht="20" customHeight="1">
      <c r="B57" s="4" t="inlineStr">
        <is>
          <t>── MONITORING &amp; REPORTING ──</t>
        </is>
      </c>
    </row>
    <row r="58" ht="20" customHeight="1">
      <c r="B58" s="5" t="inlineStr">
        <is>
          <t>CHHS-30</t>
        </is>
      </c>
      <c r="C58" s="6" t="inlineStr">
        <is>
          <t>CHHS KPI Dashboard</t>
        </is>
      </c>
      <c r="D58" s="6" t="inlineStr">
        <is>
          <t>Track all KPIs — cleanliness, food, sanitation, green</t>
        </is>
      </c>
      <c r="E58" s="7" t="inlineStr">
        <is>
          <t>Monthly / Quarterly</t>
        </is>
      </c>
    </row>
    <row r="59" ht="20" customHeight="1">
      <c r="B59" s="8" t="inlineStr">
        <is>
          <t>CHHS-31</t>
        </is>
      </c>
      <c r="C59" s="9" t="inlineStr">
        <is>
          <t>CHHS Annual Report Compilation Form</t>
        </is>
      </c>
      <c r="D59" s="9" t="inlineStr">
        <is>
          <t>Year-end report for management, NAAC, inspections</t>
        </is>
      </c>
      <c r="E59" s="10" t="inlineStr">
        <is>
          <t>Annual</t>
        </is>
      </c>
    </row>
    <row r="122">
      <c r="B122" s="11" t="inlineStr">
        <is>
          <t>• CHHS = Canteen, Housekeeping, Hygiene &amp; Sanitation Committee — responsible for food safety, cleanliness and campus sanitation.</t>
        </is>
      </c>
    </row>
    <row r="123">
      <c r="B123" s="11" t="inlineStr">
        <is>
          <t>• FSSAI (Food Safety and Standards Authority of India) licence mandatory for all canteen operations — renew annually before expiry.</t>
        </is>
      </c>
    </row>
    <row r="124">
      <c r="B124" s="11" t="inlineStr">
        <is>
          <t>• Canteen staff must hold valid medical fitness certificates; food handlers must undergo annual health check-up.</t>
        </is>
      </c>
    </row>
    <row r="125">
      <c r="B125" s="11" t="inlineStr">
        <is>
          <t>• Food samples must be retained for 24 hours in labelled, refrigerated containers as per FSSAI Food Safety norms.</t>
        </is>
      </c>
    </row>
    <row r="126">
      <c r="B126" s="11" t="inlineStr">
        <is>
          <t>• Toilet-to-student ratio: minimum 1 toilet per 50 students (boys); 1 per 25 students (girls) — NAAC / AISHE norm.</t>
        </is>
      </c>
    </row>
    <row r="127">
      <c r="B127" s="11" t="inlineStr">
        <is>
          <t>• Water quality testing (coliform, pH, TDS) is mandatory every month for drinking water — retain test reports.</t>
        </is>
      </c>
    </row>
    <row r="128">
      <c r="B128" s="11" t="inlineStr">
        <is>
          <t>• Pest control must be carried out by licensed pest control operators with valid certificates — retain treatment records.</t>
        </is>
      </c>
    </row>
    <row r="129">
      <c r="B129" s="11" t="inlineStr">
        <is>
          <t>• CHHS data feeds into: NAAC AQAR Criterion IV (Infrastructure), Green Campus Initiative, NIRF, State University inspections.</t>
        </is>
      </c>
    </row>
    <row r="130">
      <c r="B130" s="11" t="inlineStr">
        <is>
          <t>• Waste segregation is mandatory per Solid Waste Management Rules 2016 — dry / wet / hazardous in separate bins.</t>
        </is>
      </c>
    </row>
  </sheetData>
  <mergeCells count="19">
    <mergeCell ref="B49:E49"/>
    <mergeCell ref="B127:E127"/>
    <mergeCell ref="B15:E15"/>
    <mergeCell ref="B124:E124"/>
    <mergeCell ref="B5:E5"/>
    <mergeCell ref="B123:E123"/>
    <mergeCell ref="B126:E126"/>
    <mergeCell ref="B129:E129"/>
    <mergeCell ref="B54:E54"/>
    <mergeCell ref="B3:E3"/>
    <mergeCell ref="B125:E125"/>
    <mergeCell ref="B122:E122"/>
    <mergeCell ref="B130:E130"/>
    <mergeCell ref="B39:E39"/>
    <mergeCell ref="B11:E11"/>
    <mergeCell ref="B2:E2"/>
    <mergeCell ref="B57:E57"/>
    <mergeCell ref="B128:E128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CHHS-00: CANTEEN, HOUSEKEEPING, HYGIENE &amp; SANITATION COMMITTEE — COMPOSITION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CHHS</t>
        </is>
      </c>
      <c r="F4" s="13" t="inlineStr">
        <is>
          <t>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Vice-Principal</t>
        </is>
      </c>
      <c r="E5" s="14" t="inlineStr">
        <is>
          <t>Chairperson</t>
        </is>
      </c>
      <c r="F5" s="16" t="inlineStr">
        <is>
          <t>CHHS Leadership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Estate Officer / Admin In-charge</t>
        </is>
      </c>
      <c r="E6" s="8" t="inlineStr">
        <is>
          <t>CHHS Coordinator</t>
        </is>
      </c>
      <c r="F6" s="10" t="inlineStr">
        <is>
          <t>Day-to-day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Canteen In-charge / Mess Manager</t>
        </is>
      </c>
      <c r="E7" s="14" t="inlineStr">
        <is>
          <t>Canteen Supervisor</t>
        </is>
      </c>
      <c r="F7" s="16" t="inlineStr">
        <is>
          <t>Food Safety &amp; Canteen Ops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Housekeeping Head / Facility Manager</t>
        </is>
      </c>
      <c r="E8" s="8" t="inlineStr">
        <is>
          <t>Housekeeping Supervisor</t>
        </is>
      </c>
      <c r="F8" s="10" t="inlineStr">
        <is>
          <t>Cleanliness &amp; Housekeeping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Civil / Sanitary Engineer / Health Officer</t>
        </is>
      </c>
      <c r="E9" s="14" t="inlineStr">
        <is>
          <t>Hygiene Officer</t>
        </is>
      </c>
      <c r="F9" s="16" t="inlineStr">
        <is>
          <t>Sanitation &amp; Water Quality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Faculty (Civil / Environmental Engg.)</t>
        </is>
      </c>
      <c r="E10" s="8" t="inlineStr">
        <is>
          <t>Faculty Member – 1</t>
        </is>
      </c>
      <c r="F10" s="10" t="inlineStr">
        <is>
          <t>Green Campus &amp; Infra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(Chemistry / Biology)</t>
        </is>
      </c>
      <c r="E11" s="14" t="inlineStr">
        <is>
          <t>Faculty Member – 2</t>
        </is>
      </c>
      <c r="F11" s="16" t="inlineStr">
        <is>
          <t>Water Quality &amp; Pest Control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Campus Doctor / Health Centre In-charge</t>
        </is>
      </c>
      <c r="E12" s="8" t="inlineStr">
        <is>
          <t>Medical Officer</t>
        </is>
      </c>
      <c r="F12" s="10" t="inlineStr">
        <is>
          <t>Food Safety &amp; Student Health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Estate / Works Department In-charge</t>
        </is>
      </c>
      <c r="E13" s="14" t="inlineStr">
        <is>
          <t>Estate Officer</t>
        </is>
      </c>
      <c r="F13" s="16" t="inlineStr">
        <is>
          <t>Infrastructure Maintenance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Admin Staff (FSSAI &amp; Food Compliance)</t>
        </is>
      </c>
      <c r="E14" s="8" t="inlineStr">
        <is>
          <t>FSSAI Liaison</t>
        </is>
      </c>
      <c r="F14" s="10" t="inlineStr">
        <is>
          <t>Food Safety Compliance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Chief Warden</t>
        </is>
      </c>
      <c r="E15" s="14" t="inlineStr">
        <is>
          <t>Hostel Warden</t>
        </is>
      </c>
      <c r="F15" s="16" t="inlineStr">
        <is>
          <t>Hostel Hygiene &amp; Sanitation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Council (Boys) — Welfare Rep</t>
        </is>
      </c>
      <c r="E16" s="8" t="inlineStr">
        <is>
          <t>Student Rep – 1</t>
        </is>
      </c>
      <c r="F16" s="10" t="inlineStr">
        <is>
          <t>Student Feedback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Student Council (Girls) — Welfare Rep</t>
        </is>
      </c>
      <c r="E17" s="14" t="inlineStr">
        <is>
          <t>Student Rep – 2</t>
        </is>
      </c>
      <c r="F17" s="16" t="inlineStr">
        <is>
          <t>Women's Sanitation Issues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Accreditation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Finance Officer</t>
        </is>
      </c>
      <c r="E19" s="14" t="inlineStr">
        <is>
          <t>Finance Officer (Ex-off.)</t>
        </is>
      </c>
      <c r="F19" s="16" t="inlineStr">
        <is>
          <t>Budget &amp; Vendor Payments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Public Health / Food Safety Expert</t>
        </is>
      </c>
      <c r="E20" s="8" t="inlineStr">
        <is>
          <t>External Hygiene Expert</t>
        </is>
      </c>
      <c r="F20" s="10" t="inlineStr">
        <is>
          <t>External Advisory</t>
        </is>
      </c>
      <c r="G20" s="9" t="inlineStr"/>
      <c r="H20" s="10" t="inlineStr"/>
      <c r="I20" s="10" t="inlineStr"/>
    </row>
    <row r="21" ht="22" customHeight="1"/>
    <row r="22" ht="20" customHeight="1">
      <c r="B22" s="17" t="inlineStr">
        <is>
          <t>CHHS meets monthly. Student reps raise hygiene and canteen issues. Medical Officer's role is critical for food poisoning alerts and health inspection compliance.</t>
        </is>
      </c>
    </row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CHHS: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CHHS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Canteen — hygiene inspection results, complaints, menu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FSSAI compliance — licence status, last inspection outcome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Canteen staff health certificates — status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Food quality audit — weekly reports review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Housekeeping — daily checklist compliance audit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Toilet &amp; washroom — inspection scores and pending issues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Water quality test results — drinking water and overhead tanks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Pest control — last treatment status and schedule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Waste management — segregation compliance, disposal records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Campus cleanliness audit — monthly scores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Housekeeping supplies — inventory and procurement needs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Green campus initiatives — update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Hygiene complaints — received and resolved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Student satisfaction survey — analysis (if conducted)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Budget review — housekeeping and sanitation expenditure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NAAC / inspection hygiene evidence — compilation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Any Other Matter with Permission of Chairperson (AOMPC)</t>
        </is>
      </c>
      <c r="D31" s="16" t="inlineStr"/>
      <c r="E31" s="16" t="inlineStr"/>
    </row>
    <row r="32" ht="24" customHeight="1"/>
    <row r="33" ht="24" customHeight="1">
      <c r="B33" s="21" t="inlineStr">
        <is>
          <t>DISPATCH RECORD</t>
        </is>
      </c>
    </row>
    <row r="34" ht="24" customHeight="1">
      <c r="B34" s="22" t="inlineStr">
        <is>
          <t>Sl.</t>
        </is>
      </c>
      <c r="C34" s="22" t="inlineStr">
        <is>
          <t>Member Name &amp; Role</t>
        </is>
      </c>
      <c r="D34" s="22" t="inlineStr">
        <is>
          <t>Mode</t>
        </is>
      </c>
      <c r="E34" s="22" t="inlineStr">
        <is>
          <t>Date &amp; Acknowledgement</t>
        </is>
      </c>
    </row>
    <row r="35" ht="22" customHeight="1">
      <c r="B35" s="23" t="n"/>
      <c r="C35" s="23" t="n"/>
      <c r="D35" s="23" t="n"/>
      <c r="E35" s="23" t="n"/>
    </row>
    <row r="36" ht="22" customHeight="1">
      <c r="B36" s="10" t="n"/>
      <c r="C36" s="10" t="n"/>
      <c r="D36" s="10" t="n"/>
      <c r="E36" s="10" t="n"/>
    </row>
    <row r="37" ht="22" customHeight="1">
      <c r="B37" s="23" t="n"/>
      <c r="C37" s="23" t="n"/>
      <c r="D37" s="23" t="n"/>
      <c r="E37" s="23" t="n"/>
    </row>
    <row r="38" ht="22" customHeight="1">
      <c r="B38" s="10" t="n"/>
      <c r="C38" s="10" t="n"/>
      <c r="D38" s="10" t="n"/>
      <c r="E38" s="10" t="n"/>
    </row>
  </sheetData>
  <mergeCells count="11">
    <mergeCell ref="C5:E5"/>
    <mergeCell ref="C8:E8"/>
    <mergeCell ref="C9:E9"/>
    <mergeCell ref="C4:E4"/>
    <mergeCell ref="B33:E33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CHHS: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/>
    <row r="24" ht="24" customHeight="1">
      <c r="B24" s="21" t="inlineStr">
        <is>
          <t>QUORUM VERIFICATION</t>
        </is>
      </c>
    </row>
    <row r="25" ht="22" customHeight="1">
      <c r="B25" s="24" t="inlineStr">
        <is>
          <t>Total CHHS Members</t>
        </is>
      </c>
      <c r="G25" s="25" t="inlineStr"/>
    </row>
    <row r="26" ht="22" customHeight="1">
      <c r="B26" s="26" t="inlineStr">
        <is>
          <t>Present (Physical)</t>
        </is>
      </c>
      <c r="G26" s="25">
        <f>COUNTIF(F5:F22,"P")</f>
        <v/>
      </c>
    </row>
    <row r="27" ht="22" customHeight="1">
      <c r="B27" s="24" t="inlineStr">
        <is>
          <t>Present (VC)</t>
        </is>
      </c>
      <c r="G27" s="25" t="inlineStr"/>
    </row>
    <row r="28" ht="22" customHeight="1">
      <c r="B28" s="26" t="inlineStr">
        <is>
          <t>Total Effective</t>
        </is>
      </c>
      <c r="G28" s="25">
        <f>IFERROR(C26+C27,"")</f>
        <v/>
      </c>
    </row>
    <row r="29" ht="22" customHeight="1">
      <c r="B29" s="24" t="inlineStr">
        <is>
          <t>Quorum Required (50%)</t>
        </is>
      </c>
      <c r="G29" s="25" t="inlineStr"/>
    </row>
    <row r="30">
      <c r="B30" s="26" t="inlineStr">
        <is>
          <t>Quorum Achieved?</t>
        </is>
      </c>
      <c r="G30" s="27">
        <f>IFERROR(IF(C28&gt;=C29,"YES — Meeting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CHHS: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CHHS/RES/001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CHHS/RES/002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CHHS/RES/003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CHHS/RES/004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CHHS/RES/005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CHHS/RES/006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CHHS/RES/007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CHHS/RES/008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CHHS/RES/009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CHHS/RES/010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CHHS/RES/011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CHHS/RES/012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CHHS/RES/013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CHHS/RES/014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CHHS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CHHS: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CHHS/RES/001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CHHS/RES/002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CHHS/RES/003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CHHS/RES/004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CHHS/RES/005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CHHS/RES/006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CHHS/RES/007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CHHS/RES/008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CHHS/RES/009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CHHS/RES/010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CHHS/RES/011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CHHS/RES/012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CHHS/RES/013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CHHS/RES/014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2" t="inlineStr">
        <is>
          <t>CHHS/RES/015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27">
        <f>COUNTA(B5:B19)</f>
        <v/>
      </c>
    </row>
    <row r="23" ht="26" customHeight="1">
      <c r="B23" s="26" t="inlineStr">
        <is>
          <t>Implemented</t>
        </is>
      </c>
      <c r="F23" s="37">
        <f>COUNTIF(H5:H19,"Implemented")</f>
        <v/>
      </c>
    </row>
    <row r="24" ht="26" customHeight="1">
      <c r="B24" s="36" t="inlineStr">
        <is>
          <t>In Progress</t>
        </is>
      </c>
      <c r="F24" s="27">
        <f>COUNTIF(H5:H19,"In Progress")</f>
        <v/>
      </c>
    </row>
    <row r="25" ht="26" customHeight="1">
      <c r="B25" s="26" t="inlineStr">
        <is>
          <t>Pending</t>
        </is>
      </c>
      <c r="F25" s="37">
        <f>COUNTIF(H5:H19,"Pending")</f>
        <v/>
      </c>
    </row>
    <row r="26" ht="26" customHeight="1">
      <c r="B26" s="36" t="inlineStr">
        <is>
          <t>Deferred</t>
        </is>
      </c>
      <c r="F26" s="27">
        <f>COUNTIF(H5:H19,"Deferred")</f>
        <v/>
      </c>
    </row>
    <row r="27" ht="26" customHeight="1">
      <c r="B27" s="26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22" customWidth="1" min="4" max="4"/>
    <col width="12" customWidth="1" min="5" max="5"/>
    <col width="18" customWidth="1" min="6" max="6"/>
    <col width="18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CAN-04: CANTEEN DAILY HYGIENE INSPECTION CHECKLIST</t>
        </is>
      </c>
    </row>
    <row r="3" ht="20" customHeight="1">
      <c r="B3" s="17" t="inlineStr">
        <is>
          <t>FSSAI Compliance Mandatory. Inspection to be done BEFORE opening and AFTER closing each day. Any Rating ≤ 2 must be actioned immediately before service continues.</t>
        </is>
      </c>
    </row>
    <row r="4" ht="25" customHeight="1">
      <c r="B4" s="2" t="inlineStr">
        <is>
          <t>Date: _______  Session: [ ] Morning  [ ] Evening  Inspector: ___________________  FSSAI Lic. No.: _______</t>
        </is>
      </c>
    </row>
    <row r="5" ht="24" customHeight="1">
      <c r="B5" s="20" t="inlineStr">
        <is>
          <t>KITCHEN &amp; COOKING AREA</t>
        </is>
      </c>
    </row>
    <row r="6" ht="26" customHeight="1">
      <c r="B6" s="13" t="inlineStr">
        <is>
          <t>Sl.</t>
        </is>
      </c>
      <c r="C6" s="13" t="inlineStr">
        <is>
          <t>Checklist Item</t>
        </is>
      </c>
      <c r="D6" s="13" t="inlineStr">
        <is>
          <t>Standard / Benchmark</t>
        </is>
      </c>
      <c r="E6" s="13" t="inlineStr">
        <is>
          <t>Rating
(1–5)</t>
        </is>
      </c>
      <c r="F6" s="13" t="inlineStr">
        <is>
          <t>Observations</t>
        </is>
      </c>
      <c r="G6" s="13" t="inlineStr">
        <is>
          <t>Action Required</t>
        </is>
      </c>
      <c r="H6" s="13" t="inlineStr">
        <is>
          <t>Deadline</t>
        </is>
      </c>
    </row>
    <row r="7" ht="26" customHeight="1">
      <c r="B7" s="38" t="n">
        <v>1</v>
      </c>
      <c r="C7" s="39" t="inlineStr">
        <is>
          <t>Kitchen floor clean, dry and free of food debris</t>
        </is>
      </c>
      <c r="D7" s="39" t="inlineStr">
        <is>
          <t>No slippery surfaces; immediate spill clean-up</t>
        </is>
      </c>
      <c r="E7" s="40" t="inlineStr"/>
      <c r="F7" s="39" t="inlineStr"/>
      <c r="G7" s="39" t="inlineStr"/>
      <c r="H7" s="40" t="inlineStr"/>
    </row>
    <row r="8" ht="26" customHeight="1">
      <c r="B8" s="41" t="n">
        <v>2</v>
      </c>
      <c r="C8" s="42" t="inlineStr">
        <is>
          <t>All cooking surfaces, stoves and equipment cleaned</t>
        </is>
      </c>
      <c r="D8" s="42" t="inlineStr">
        <is>
          <t>Surfaces wiped with food-safe sanitizer</t>
        </is>
      </c>
      <c r="E8" s="43" t="inlineStr"/>
      <c r="F8" s="42" t="inlineStr"/>
      <c r="G8" s="42" t="inlineStr"/>
      <c r="H8" s="43" t="inlineStr"/>
    </row>
    <row r="9" ht="26" customHeight="1">
      <c r="B9" s="38" t="n">
        <v>3</v>
      </c>
      <c r="C9" s="39" t="inlineStr">
        <is>
          <t>Exhaust fans / chimney functional and clean</t>
        </is>
      </c>
      <c r="D9" s="39" t="inlineStr">
        <is>
          <t>No grease build-up; working ventilation</t>
        </is>
      </c>
      <c r="E9" s="40" t="inlineStr"/>
      <c r="F9" s="39" t="inlineStr"/>
      <c r="G9" s="39" t="inlineStr"/>
      <c r="H9" s="40" t="inlineStr"/>
    </row>
    <row r="10" ht="26" customHeight="1">
      <c r="B10" s="41" t="n">
        <v>4</v>
      </c>
      <c r="C10" s="42" t="inlineStr">
        <is>
          <t>All utensils washed and stored hygienically</t>
        </is>
      </c>
      <c r="D10" s="42" t="inlineStr">
        <is>
          <t>FSSAI: Utensils stored inverted or covered</t>
        </is>
      </c>
      <c r="E10" s="43" t="inlineStr"/>
      <c r="F10" s="42" t="inlineStr"/>
      <c r="G10" s="42" t="inlineStr"/>
      <c r="H10" s="43" t="inlineStr"/>
    </row>
    <row r="11" ht="26" customHeight="1">
      <c r="B11" s="38" t="n">
        <v>5</v>
      </c>
      <c r="C11" s="39" t="inlineStr">
        <is>
          <t>Raw and cooked food stored separately</t>
        </is>
      </c>
      <c r="D11" s="39" t="inlineStr">
        <is>
          <t>No cross-contamination risk</t>
        </is>
      </c>
      <c r="E11" s="40" t="inlineStr"/>
      <c r="F11" s="39" t="inlineStr"/>
      <c r="G11" s="39" t="inlineStr"/>
      <c r="H11" s="40" t="inlineStr"/>
    </row>
    <row r="12" ht="26" customHeight="1">
      <c r="B12" s="41" t="n">
        <v>6</v>
      </c>
      <c r="C12" s="42" t="inlineStr">
        <is>
          <t>Refrigerator / cold storage at correct temperature</t>
        </is>
      </c>
      <c r="D12" s="42" t="inlineStr">
        <is>
          <t>≤4°C for cold storage; -18°C for frozen</t>
        </is>
      </c>
      <c r="E12" s="43" t="inlineStr"/>
      <c r="F12" s="42" t="inlineStr"/>
      <c r="G12" s="42" t="inlineStr"/>
      <c r="H12" s="43" t="inlineStr"/>
    </row>
    <row r="13" ht="26" customHeight="1">
      <c r="B13" s="38" t="n">
        <v>7</v>
      </c>
      <c r="C13" s="39" t="inlineStr">
        <is>
          <t>Gas cylinders and connections in safe condition</t>
        </is>
      </c>
      <c r="D13" s="39" t="inlineStr">
        <is>
          <t>No leaks; fire extinguisher nearby and charged</t>
        </is>
      </c>
      <c r="E13" s="40" t="inlineStr"/>
      <c r="F13" s="39" t="inlineStr"/>
      <c r="G13" s="39" t="inlineStr"/>
      <c r="H13" s="40" t="inlineStr"/>
    </row>
    <row r="14" ht="26" customHeight="1">
      <c r="B14" s="41" t="n">
        <v>8</v>
      </c>
      <c r="C14" s="42" t="inlineStr">
        <is>
          <t>Adequate ventilation and lighting in kitchen</t>
        </is>
      </c>
      <c r="D14" s="42" t="inlineStr">
        <is>
          <t>No dark corners; windows open / fans on</t>
        </is>
      </c>
      <c r="E14" s="43" t="inlineStr"/>
      <c r="F14" s="42" t="inlineStr"/>
      <c r="G14" s="42" t="inlineStr"/>
      <c r="H14" s="43" t="inlineStr"/>
    </row>
    <row r="15" ht="26" customHeight="1"/>
    <row r="16" ht="24" customHeight="1">
      <c r="B16" s="44" t="inlineStr">
        <is>
          <t>FOOD QUALITY &amp; PREPARATION</t>
        </is>
      </c>
    </row>
    <row r="17" ht="26" customHeight="1">
      <c r="B17" s="45" t="inlineStr">
        <is>
          <t>Sl.</t>
        </is>
      </c>
      <c r="C17" s="45" t="inlineStr">
        <is>
          <t>Checklist Item</t>
        </is>
      </c>
      <c r="D17" s="45" t="inlineStr">
        <is>
          <t>Standard / Benchmark</t>
        </is>
      </c>
      <c r="E17" s="45" t="inlineStr">
        <is>
          <t>Rating
(1–5)</t>
        </is>
      </c>
      <c r="F17" s="45" t="inlineStr">
        <is>
          <t>Observations</t>
        </is>
      </c>
      <c r="G17" s="45" t="inlineStr">
        <is>
          <t>Action Required</t>
        </is>
      </c>
      <c r="H17" s="45" t="inlineStr">
        <is>
          <t>Deadline</t>
        </is>
      </c>
    </row>
    <row r="18" ht="26" customHeight="1">
      <c r="B18" s="46" t="n">
        <v>1</v>
      </c>
      <c r="C18" s="47" t="inlineStr">
        <is>
          <t>Food ingredients fresh and within expiry date</t>
        </is>
      </c>
      <c r="D18" s="47" t="inlineStr">
        <is>
          <t>Check FSSAI dates; no expired stock</t>
        </is>
      </c>
      <c r="E18" s="48" t="inlineStr"/>
      <c r="F18" s="47" t="inlineStr"/>
      <c r="G18" s="47" t="inlineStr"/>
      <c r="H18" s="48" t="inlineStr"/>
    </row>
    <row r="19" ht="26" customHeight="1">
      <c r="B19" s="41" t="n">
        <v>2</v>
      </c>
      <c r="C19" s="42" t="inlineStr">
        <is>
          <t>Vegetables / fruits washed before cooking</t>
        </is>
      </c>
      <c r="D19" s="42" t="inlineStr">
        <is>
          <t>Wash under running water; no soaking in dirty water</t>
        </is>
      </c>
      <c r="E19" s="43" t="inlineStr"/>
      <c r="F19" s="42" t="inlineStr"/>
      <c r="G19" s="42" t="inlineStr"/>
      <c r="H19" s="43" t="inlineStr"/>
    </row>
    <row r="20" ht="26" customHeight="1">
      <c r="B20" s="46" t="n">
        <v>3</v>
      </c>
      <c r="C20" s="47" t="inlineStr">
        <is>
          <t>Oil / fat not reused more than prescribed times</t>
        </is>
      </c>
      <c r="D20" s="47" t="inlineStr">
        <is>
          <t>FSSAI: Cooking oil not to be reused repeatedly</t>
        </is>
      </c>
      <c r="E20" s="48" t="inlineStr"/>
      <c r="F20" s="47" t="inlineStr"/>
      <c r="G20" s="47" t="inlineStr"/>
      <c r="H20" s="48" t="inlineStr"/>
    </row>
    <row r="21" ht="26" customHeight="1">
      <c r="B21" s="41" t="n">
        <v>4</v>
      </c>
      <c r="C21" s="42" t="inlineStr">
        <is>
          <t>Food cooked to safe internal temperature</t>
        </is>
      </c>
      <c r="D21" s="42" t="inlineStr">
        <is>
          <t>Meat/egg: ≥75°C; reheated food: ≥70°C</t>
        </is>
      </c>
      <c r="E21" s="43" t="inlineStr"/>
      <c r="F21" s="42" t="inlineStr"/>
      <c r="G21" s="42" t="inlineStr"/>
      <c r="H21" s="43" t="inlineStr"/>
    </row>
    <row r="22" ht="26" customHeight="1">
      <c r="B22" s="46" t="n">
        <v>5</v>
      </c>
      <c r="C22" s="47" t="inlineStr">
        <is>
          <t>Portions served hygiienically (no bare hands)</t>
        </is>
      </c>
      <c r="D22" s="47" t="inlineStr">
        <is>
          <t>Gloves / tongs used for serving</t>
        </is>
      </c>
      <c r="E22" s="48" t="inlineStr"/>
      <c r="F22" s="47" t="inlineStr"/>
      <c r="G22" s="47" t="inlineStr"/>
      <c r="H22" s="48" t="inlineStr"/>
    </row>
    <row r="23" ht="26" customHeight="1">
      <c r="B23" s="41" t="n">
        <v>6</v>
      </c>
      <c r="C23" s="42" t="inlineStr">
        <is>
          <t>Food samples retained (24 hours, labelled)</t>
        </is>
      </c>
      <c r="D23" s="42" t="inlineStr">
        <is>
          <t>CAN-06 register updated daily</t>
        </is>
      </c>
      <c r="E23" s="43" t="inlineStr"/>
      <c r="F23" s="42" t="inlineStr"/>
      <c r="G23" s="42" t="inlineStr"/>
      <c r="H23" s="43" t="inlineStr"/>
    </row>
    <row r="24" ht="26" customHeight="1">
      <c r="B24" s="46" t="n">
        <v>7</v>
      </c>
      <c r="C24" s="47" t="inlineStr">
        <is>
          <t>Menu as per approved list with prices displayed</t>
        </is>
      </c>
      <c r="D24" s="47" t="inlineStr">
        <is>
          <t>Notice board updated; no unapproved items</t>
        </is>
      </c>
      <c r="E24" s="48" t="inlineStr"/>
      <c r="F24" s="47" t="inlineStr"/>
      <c r="G24" s="47" t="inlineStr"/>
      <c r="H24" s="48" t="inlineStr"/>
    </row>
    <row r="25" ht="26" customHeight="1">
      <c r="B25" s="41" t="n">
        <v>8</v>
      </c>
      <c r="C25" s="42" t="inlineStr">
        <is>
          <t>No adulteration or substitution of ingredients</t>
        </is>
      </c>
      <c r="D25" s="42" t="inlineStr">
        <is>
          <t>FSSAI compliance; no cheap substitutes</t>
        </is>
      </c>
      <c r="E25" s="43" t="inlineStr"/>
      <c r="F25" s="42" t="inlineStr"/>
      <c r="G25" s="42" t="inlineStr"/>
      <c r="H25" s="43" t="inlineStr"/>
    </row>
    <row r="26" ht="26" customHeight="1"/>
    <row r="27" ht="24" customHeight="1">
      <c r="B27" s="35" t="inlineStr">
        <is>
          <t>PERSONAL HYGIENE OF CANTEEN STAFF</t>
        </is>
      </c>
    </row>
    <row r="28" ht="26" customHeight="1">
      <c r="B28" s="31" t="inlineStr">
        <is>
          <t>Sl.</t>
        </is>
      </c>
      <c r="C28" s="31" t="inlineStr">
        <is>
          <t>Checklist Item</t>
        </is>
      </c>
      <c r="D28" s="31" t="inlineStr">
        <is>
          <t>Standard / Benchmark</t>
        </is>
      </c>
      <c r="E28" s="31" t="inlineStr">
        <is>
          <t>Rating
(1–5)</t>
        </is>
      </c>
      <c r="F28" s="31" t="inlineStr">
        <is>
          <t>Observations</t>
        </is>
      </c>
      <c r="G28" s="31" t="inlineStr">
        <is>
          <t>Action Required</t>
        </is>
      </c>
      <c r="H28" s="31" t="inlineStr">
        <is>
          <t>Deadline</t>
        </is>
      </c>
    </row>
    <row r="29" ht="26" customHeight="1">
      <c r="B29" s="49" t="n">
        <v>1</v>
      </c>
      <c r="C29" s="50" t="inlineStr">
        <is>
          <t>All food handlers wearing clean uniforms and aprons</t>
        </is>
      </c>
      <c r="D29" s="50" t="inlineStr">
        <is>
          <t>White / light-coloured; no tears or stains</t>
        </is>
      </c>
      <c r="E29" s="51" t="inlineStr"/>
      <c r="F29" s="50" t="inlineStr"/>
      <c r="G29" s="50" t="inlineStr"/>
      <c r="H29" s="51" t="inlineStr"/>
    </row>
    <row r="30" ht="26" customHeight="1">
      <c r="B30" s="41" t="n">
        <v>2</v>
      </c>
      <c r="C30" s="42" t="inlineStr">
        <is>
          <t>Staff wearing hair nets / caps while handling food</t>
        </is>
      </c>
      <c r="D30" s="42" t="inlineStr">
        <is>
          <t>Mandatory for all cooking and serving staff</t>
        </is>
      </c>
      <c r="E30" s="43" t="inlineStr"/>
      <c r="F30" s="42" t="inlineStr"/>
      <c r="G30" s="42" t="inlineStr"/>
      <c r="H30" s="43" t="inlineStr"/>
    </row>
    <row r="31" ht="26" customHeight="1">
      <c r="B31" s="49" t="n">
        <v>3</v>
      </c>
      <c r="C31" s="50" t="inlineStr">
        <is>
          <t>Staff wearing gloves while serving / handling food</t>
        </is>
      </c>
      <c r="D31" s="50" t="inlineStr">
        <is>
          <t>Disposable gloves; change between tasks</t>
        </is>
      </c>
      <c r="E31" s="51" t="inlineStr"/>
      <c r="F31" s="50" t="inlineStr"/>
      <c r="G31" s="50" t="inlineStr"/>
      <c r="H31" s="51" t="inlineStr"/>
    </row>
    <row r="32" ht="26" customHeight="1">
      <c r="B32" s="41" t="n">
        <v>4</v>
      </c>
      <c r="C32" s="42" t="inlineStr">
        <is>
          <t>No jewellery (rings, bangles) while cooking</t>
        </is>
      </c>
      <c r="D32" s="42" t="inlineStr">
        <is>
          <t>FSSAI standard: remove all hand jewellery</t>
        </is>
      </c>
      <c r="E32" s="43" t="inlineStr"/>
      <c r="F32" s="42" t="inlineStr"/>
      <c r="G32" s="42" t="inlineStr"/>
      <c r="H32" s="43" t="inlineStr"/>
    </row>
    <row r="33" ht="26" customHeight="1">
      <c r="B33" s="49" t="n">
        <v>5</v>
      </c>
      <c r="C33" s="50" t="inlineStr">
        <is>
          <t>Handwashing before food handling and after breaks</t>
        </is>
      </c>
      <c r="D33" s="50" t="inlineStr">
        <is>
          <t>Soap and water; hand sanitizer available</t>
        </is>
      </c>
      <c r="E33" s="51" t="inlineStr"/>
      <c r="F33" s="50" t="inlineStr"/>
      <c r="G33" s="50" t="inlineStr"/>
      <c r="H33" s="51" t="inlineStr"/>
    </row>
    <row r="34" ht="26" customHeight="1">
      <c r="B34" s="41" t="n">
        <v>6</v>
      </c>
      <c r="C34" s="42" t="inlineStr">
        <is>
          <t>Staff with illness / infection not handling food</t>
        </is>
      </c>
      <c r="D34" s="42" t="inlineStr">
        <is>
          <t>Any staff with cold, fever, skin infection excluded</t>
        </is>
      </c>
      <c r="E34" s="43" t="inlineStr"/>
      <c r="F34" s="42" t="inlineStr"/>
      <c r="G34" s="42" t="inlineStr"/>
      <c r="H34" s="43" t="inlineStr"/>
    </row>
    <row r="35" ht="26" customHeight="1">
      <c r="B35" s="49" t="n">
        <v>7</v>
      </c>
      <c r="C35" s="50" t="inlineStr">
        <is>
          <t>Medical fitness certificates valid and displayed</t>
        </is>
      </c>
      <c r="D35" s="50" t="inlineStr">
        <is>
          <t>Annual health check; display at notice board</t>
        </is>
      </c>
      <c r="E35" s="51" t="inlineStr"/>
      <c r="F35" s="50" t="inlineStr"/>
      <c r="G35" s="50" t="inlineStr"/>
      <c r="H35" s="51" t="inlineStr"/>
    </row>
    <row r="36" ht="26" customHeight="1"/>
    <row r="37" ht="24" customHeight="1">
      <c r="B37" s="20" t="inlineStr">
        <is>
          <t>SERVING AREA &amp; DINING HALL</t>
        </is>
      </c>
    </row>
    <row r="38" ht="26" customHeight="1">
      <c r="B38" s="13" t="inlineStr">
        <is>
          <t>Sl.</t>
        </is>
      </c>
      <c r="C38" s="13" t="inlineStr">
        <is>
          <t>Checklist Item</t>
        </is>
      </c>
      <c r="D38" s="13" t="inlineStr">
        <is>
          <t>Standard / Benchmark</t>
        </is>
      </c>
      <c r="E38" s="13" t="inlineStr">
        <is>
          <t>Rating
(1–5)</t>
        </is>
      </c>
      <c r="F38" s="13" t="inlineStr">
        <is>
          <t>Observations</t>
        </is>
      </c>
      <c r="G38" s="13" t="inlineStr">
        <is>
          <t>Action Required</t>
        </is>
      </c>
      <c r="H38" s="13" t="inlineStr">
        <is>
          <t>Deadline</t>
        </is>
      </c>
    </row>
    <row r="39" ht="26" customHeight="1">
      <c r="B39" s="38" t="n">
        <v>1</v>
      </c>
      <c r="C39" s="39" t="inlineStr">
        <is>
          <t>Serving counters clean and covered</t>
        </is>
      </c>
      <c r="D39" s="39" t="inlineStr">
        <is>
          <t>No open food exposed to flies or dust</t>
        </is>
      </c>
      <c r="E39" s="40" t="inlineStr"/>
      <c r="F39" s="39" t="inlineStr"/>
      <c r="G39" s="39" t="inlineStr"/>
      <c r="H39" s="40" t="inlineStr"/>
    </row>
    <row r="40" ht="26" customHeight="1">
      <c r="B40" s="41" t="n">
        <v>2</v>
      </c>
      <c r="C40" s="42" t="inlineStr">
        <is>
          <t>Dining tables wiped clean between users</t>
        </is>
      </c>
      <c r="D40" s="42" t="inlineStr">
        <is>
          <t>Sanitizer spray / wet cloth after each use</t>
        </is>
      </c>
      <c r="E40" s="43" t="inlineStr"/>
      <c r="F40" s="42" t="inlineStr"/>
      <c r="G40" s="42" t="inlineStr"/>
      <c r="H40" s="43" t="inlineStr"/>
    </row>
    <row r="41" ht="26" customHeight="1">
      <c r="B41" s="38" t="n">
        <v>3</v>
      </c>
      <c r="C41" s="39" t="inlineStr">
        <is>
          <t>Floor of dining area swept and mopped</t>
        </is>
      </c>
      <c r="D41" s="39" t="inlineStr">
        <is>
          <t>No food scraps or puddles on floor</t>
        </is>
      </c>
      <c r="E41" s="40" t="inlineStr"/>
      <c r="F41" s="39" t="inlineStr"/>
      <c r="G41" s="39" t="inlineStr"/>
      <c r="H41" s="40" t="inlineStr"/>
    </row>
    <row r="42" ht="26" customHeight="1">
      <c r="B42" s="41" t="n">
        <v>4</v>
      </c>
      <c r="C42" s="42" t="inlineStr">
        <is>
          <t>Dustbins covered and emptied before overflow</t>
        </is>
      </c>
      <c r="D42" s="42" t="inlineStr">
        <is>
          <t>Separate bins for dry and wet waste</t>
        </is>
      </c>
      <c r="E42" s="43" t="inlineStr"/>
      <c r="F42" s="42" t="inlineStr"/>
      <c r="G42" s="42" t="inlineStr"/>
      <c r="H42" s="43" t="inlineStr"/>
    </row>
    <row r="43" ht="26" customHeight="1">
      <c r="B43" s="38" t="n">
        <v>5</v>
      </c>
      <c r="C43" s="39" t="inlineStr">
        <is>
          <t>Flies / insects not observed near food area</t>
        </is>
      </c>
      <c r="D43" s="39" t="inlineStr">
        <is>
          <t>Fly screens, mesh or UV fly trap in place</t>
        </is>
      </c>
      <c r="E43" s="40" t="inlineStr"/>
      <c r="F43" s="39" t="inlineStr"/>
      <c r="G43" s="39" t="inlineStr"/>
      <c r="H43" s="40" t="inlineStr"/>
    </row>
    <row r="44" ht="26" customHeight="1">
      <c r="B44" s="41" t="n">
        <v>6</v>
      </c>
      <c r="C44" s="42" t="inlineStr">
        <is>
          <t>Water / juice dispensers clean and functioning</t>
        </is>
      </c>
      <c r="D44" s="42" t="inlineStr">
        <is>
          <t>Clean dispensers; no algae / deposits</t>
        </is>
      </c>
      <c r="E44" s="43" t="inlineStr"/>
      <c r="F44" s="42" t="inlineStr"/>
      <c r="G44" s="42" t="inlineStr"/>
      <c r="H44" s="43" t="inlineStr"/>
    </row>
    <row r="45" ht="26" customHeight="1">
      <c r="B45" s="38" t="n">
        <v>7</v>
      </c>
      <c r="C45" s="39" t="inlineStr">
        <is>
          <t>Wash area clean with running water for plates</t>
        </is>
      </c>
      <c r="D45" s="39" t="inlineStr">
        <is>
          <t>No overflow or stagnant water</t>
        </is>
      </c>
      <c r="E45" s="40" t="inlineStr"/>
      <c r="F45" s="39" t="inlineStr"/>
      <c r="G45" s="39" t="inlineStr"/>
      <c r="H45" s="40" t="inlineStr"/>
    </row>
    <row r="46" ht="26" customHeight="1"/>
    <row r="47" ht="24" customHeight="1">
      <c r="B47" s="52" t="inlineStr">
        <is>
          <t>STORAGE AREA</t>
        </is>
      </c>
    </row>
    <row r="48" ht="26" customHeight="1">
      <c r="B48" s="53" t="inlineStr">
        <is>
          <t>Sl.</t>
        </is>
      </c>
      <c r="C48" s="53" t="inlineStr">
        <is>
          <t>Checklist Item</t>
        </is>
      </c>
      <c r="D48" s="53" t="inlineStr">
        <is>
          <t>Standard / Benchmark</t>
        </is>
      </c>
      <c r="E48" s="53" t="inlineStr">
        <is>
          <t>Rating
(1–5)</t>
        </is>
      </c>
      <c r="F48" s="53" t="inlineStr">
        <is>
          <t>Observations</t>
        </is>
      </c>
      <c r="G48" s="53" t="inlineStr">
        <is>
          <t>Action Required</t>
        </is>
      </c>
      <c r="H48" s="53" t="inlineStr">
        <is>
          <t>Deadline</t>
        </is>
      </c>
    </row>
    <row r="49" ht="26" customHeight="1">
      <c r="B49" s="54" t="n">
        <v>1</v>
      </c>
      <c r="C49" s="55" t="inlineStr">
        <is>
          <t>Dry storage area clean and vermin-free</t>
        </is>
      </c>
      <c r="D49" s="55" t="inlineStr">
        <is>
          <t>No rodent droppings; sealed containers</t>
        </is>
      </c>
      <c r="E49" s="56" t="inlineStr"/>
      <c r="F49" s="55" t="inlineStr"/>
      <c r="G49" s="55" t="inlineStr"/>
      <c r="H49" s="56" t="inlineStr"/>
    </row>
    <row r="50" ht="26" customHeight="1">
      <c r="B50" s="41" t="n">
        <v>2</v>
      </c>
      <c r="C50" s="42" t="inlineStr">
        <is>
          <t>Food items stored off the floor (≥6 inches)</t>
        </is>
      </c>
      <c r="D50" s="42" t="inlineStr">
        <is>
          <t>FSSAI: No direct floor storage</t>
        </is>
      </c>
      <c r="E50" s="43" t="inlineStr"/>
      <c r="F50" s="42" t="inlineStr"/>
      <c r="G50" s="42" t="inlineStr"/>
      <c r="H50" s="43" t="inlineStr"/>
    </row>
    <row r="51" ht="26" customHeight="1">
      <c r="B51" s="54" t="n">
        <v>3</v>
      </c>
      <c r="C51" s="55" t="inlineStr">
        <is>
          <t>FIFO (First In First Out) principle followed</t>
        </is>
      </c>
      <c r="D51" s="55" t="inlineStr">
        <is>
          <t>Older stock used first; dates checked</t>
        </is>
      </c>
      <c r="E51" s="56" t="inlineStr"/>
      <c r="F51" s="55" t="inlineStr"/>
      <c r="G51" s="55" t="inlineStr"/>
      <c r="H51" s="56" t="inlineStr"/>
    </row>
    <row r="52" ht="26" customHeight="1">
      <c r="B52" s="41" t="n">
        <v>4</v>
      </c>
      <c r="C52" s="42" t="inlineStr">
        <is>
          <t>Chemical cleaning agents stored away from food</t>
        </is>
      </c>
      <c r="D52" s="42" t="inlineStr">
        <is>
          <t>Separate locked cupboard; labelled</t>
        </is>
      </c>
      <c r="E52" s="43" t="inlineStr"/>
      <c r="F52" s="42" t="inlineStr"/>
      <c r="G52" s="42" t="inlineStr"/>
      <c r="H52" s="43" t="inlineStr"/>
    </row>
    <row r="53" ht="26" customHeight="1">
      <c r="B53" s="54" t="n">
        <v>5</v>
      </c>
      <c r="C53" s="55" t="inlineStr">
        <is>
          <t>No unauthorized persons in storage area</t>
        </is>
      </c>
      <c r="D53" s="55" t="inlineStr">
        <is>
          <t>Access restricted to canteen staff only</t>
        </is>
      </c>
      <c r="E53" s="56" t="inlineStr"/>
      <c r="F53" s="55" t="inlineStr"/>
      <c r="G53" s="55" t="inlineStr"/>
      <c r="H53" s="56" t="inlineStr"/>
    </row>
    <row r="54" ht="26" customHeight="1"/>
    <row r="55" ht="28" customHeight="1">
      <c r="B55" s="30" t="inlineStr">
        <is>
          <t>Inspector Sign.: ___________________  Canteen Supervisor: ___________________  CHHS Coordinator: ___________________  Date: _______</t>
        </is>
      </c>
    </row>
  </sheetData>
  <mergeCells count="9">
    <mergeCell ref="B27:H27"/>
    <mergeCell ref="B4:H4"/>
    <mergeCell ref="B55:H55"/>
    <mergeCell ref="B47:H47"/>
    <mergeCell ref="B16:H16"/>
    <mergeCell ref="B2:H2"/>
    <mergeCell ref="B3:H3"/>
    <mergeCell ref="B5:H5"/>
    <mergeCell ref="B37:H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CAN-05: WEEKLY FOOD QUALITY INSPECTION REGISTER</t>
        </is>
      </c>
    </row>
    <row r="3" ht="25" customHeight="1">
      <c r="B3" s="2" t="inlineStr">
        <is>
          <t>Week No.: _______  Period: _______ to _______  Inspector: ___________________  FSSAI Ref.: _______</t>
        </is>
      </c>
    </row>
    <row r="4" ht="25" customHeight="1">
      <c r="B4" s="13" t="inlineStr">
        <is>
          <t>Sl.</t>
        </is>
      </c>
      <c r="C4" s="13" t="inlineStr">
        <is>
          <t>Food Item Inspected</t>
        </is>
      </c>
      <c r="D4" s="13" t="inlineStr">
        <is>
          <t>Category</t>
        </is>
      </c>
      <c r="E4" s="13" t="inlineStr">
        <is>
          <t>Date
Inspected</t>
        </is>
      </c>
      <c r="F4" s="13" t="inlineStr">
        <is>
          <t>Colour /</t>
        </is>
      </c>
      <c r="G4" s="13" t="inlineStr">
        <is>
          <t>Smell /</t>
        </is>
      </c>
      <c r="H4" s="13" t="inlineStr">
        <is>
          <t>Taste
(Random)</t>
        </is>
      </c>
      <c r="I4" s="13" t="inlineStr">
        <is>
          <t>Overall
Rating (1–5)</t>
        </is>
      </c>
      <c r="J4" s="13" t="inlineStr">
        <is>
          <t>Action
Required</t>
        </is>
      </c>
    </row>
    <row r="5" ht="22" customHeight="1">
      <c r="B5" s="14" t="n">
        <v>1</v>
      </c>
      <c r="C5" s="15" t="inlineStr">
        <is>
          <t>Breakfast — Idli / Poha / Upma</t>
        </is>
      </c>
      <c r="D5" s="16" t="inlineStr"/>
      <c r="E5" s="16" t="inlineStr"/>
      <c r="F5" s="16" t="inlineStr">
        <is>
          <t>Good</t>
        </is>
      </c>
      <c r="G5" s="16" t="inlineStr">
        <is>
          <t>Good</t>
        </is>
      </c>
      <c r="H5" s="16" t="inlineStr"/>
      <c r="I5" s="16" t="inlineStr"/>
      <c r="J5" s="15" t="inlineStr"/>
    </row>
    <row r="6" ht="22" customHeight="1">
      <c r="B6" s="8" t="n">
        <v>2</v>
      </c>
      <c r="C6" s="9" t="inlineStr">
        <is>
          <t>Lunch — Rice / Dal / Sabzi</t>
        </is>
      </c>
      <c r="D6" s="10" t="inlineStr"/>
      <c r="E6" s="10" t="inlineStr"/>
      <c r="F6" s="10" t="inlineStr">
        <is>
          <t>Good</t>
        </is>
      </c>
      <c r="G6" s="10" t="inlineStr">
        <is>
          <t>Good</t>
        </is>
      </c>
      <c r="H6" s="10" t="inlineStr"/>
      <c r="I6" s="10" t="inlineStr"/>
      <c r="J6" s="9" t="inlineStr"/>
    </row>
    <row r="7" ht="22" customHeight="1">
      <c r="B7" s="14" t="n">
        <v>3</v>
      </c>
      <c r="C7" s="15" t="inlineStr">
        <is>
          <t>Lunch — Chapati / Roti</t>
        </is>
      </c>
      <c r="D7" s="16" t="inlineStr"/>
      <c r="E7" s="16" t="inlineStr"/>
      <c r="F7" s="16" t="inlineStr">
        <is>
          <t>Good</t>
        </is>
      </c>
      <c r="G7" s="16" t="inlineStr">
        <is>
          <t>Good</t>
        </is>
      </c>
      <c r="H7" s="16" t="inlineStr"/>
      <c r="I7" s="16" t="inlineStr"/>
      <c r="J7" s="15" t="inlineStr"/>
    </row>
    <row r="8" ht="22" customHeight="1">
      <c r="B8" s="8" t="n">
        <v>4</v>
      </c>
      <c r="C8" s="9" t="inlineStr">
        <is>
          <t>Lunch — Sambar / Curry</t>
        </is>
      </c>
      <c r="D8" s="10" t="inlineStr"/>
      <c r="E8" s="10" t="inlineStr"/>
      <c r="F8" s="10" t="inlineStr">
        <is>
          <t>Good</t>
        </is>
      </c>
      <c r="G8" s="10" t="inlineStr">
        <is>
          <t>Good</t>
        </is>
      </c>
      <c r="H8" s="10" t="inlineStr"/>
      <c r="I8" s="10" t="inlineStr"/>
      <c r="J8" s="9" t="inlineStr"/>
    </row>
    <row r="9" ht="22" customHeight="1">
      <c r="B9" s="14" t="n">
        <v>5</v>
      </c>
      <c r="C9" s="15" t="inlineStr">
        <is>
          <t>Snacks — Samosa / Vada Pav</t>
        </is>
      </c>
      <c r="D9" s="16" t="inlineStr"/>
      <c r="E9" s="16" t="inlineStr"/>
      <c r="F9" s="16" t="inlineStr">
        <is>
          <t>Good</t>
        </is>
      </c>
      <c r="G9" s="16" t="inlineStr">
        <is>
          <t>Good</t>
        </is>
      </c>
      <c r="H9" s="16" t="inlineStr"/>
      <c r="I9" s="16" t="inlineStr"/>
      <c r="J9" s="15" t="inlineStr"/>
    </row>
    <row r="10" ht="22" customHeight="1">
      <c r="B10" s="8" t="n">
        <v>6</v>
      </c>
      <c r="C10" s="9" t="inlineStr">
        <is>
          <t>Snacks — Biscuits / Packed Items</t>
        </is>
      </c>
      <c r="D10" s="10" t="inlineStr"/>
      <c r="E10" s="10" t="inlineStr"/>
      <c r="F10" s="10" t="inlineStr">
        <is>
          <t>Good</t>
        </is>
      </c>
      <c r="G10" s="10" t="inlineStr">
        <is>
          <t>Good</t>
        </is>
      </c>
      <c r="H10" s="10" t="inlineStr"/>
      <c r="I10" s="10" t="inlineStr"/>
      <c r="J10" s="9" t="inlineStr"/>
    </row>
    <row r="11" ht="22" customHeight="1">
      <c r="B11" s="14" t="n">
        <v>7</v>
      </c>
      <c r="C11" s="15" t="inlineStr">
        <is>
          <t>Beverages — Tea / Coffee</t>
        </is>
      </c>
      <c r="D11" s="16" t="inlineStr"/>
      <c r="E11" s="16" t="inlineStr"/>
      <c r="F11" s="16" t="inlineStr">
        <is>
          <t>Good</t>
        </is>
      </c>
      <c r="G11" s="16" t="inlineStr">
        <is>
          <t>Good</t>
        </is>
      </c>
      <c r="H11" s="16" t="inlineStr"/>
      <c r="I11" s="16" t="inlineStr"/>
      <c r="J11" s="15" t="inlineStr"/>
    </row>
    <row r="12" ht="22" customHeight="1">
      <c r="B12" s="8" t="n">
        <v>8</v>
      </c>
      <c r="C12" s="9" t="inlineStr">
        <is>
          <t>Beverages — Juice / Buttermilk</t>
        </is>
      </c>
      <c r="D12" s="10" t="inlineStr"/>
      <c r="E12" s="10" t="inlineStr"/>
      <c r="F12" s="10" t="inlineStr">
        <is>
          <t>Good</t>
        </is>
      </c>
      <c r="G12" s="10" t="inlineStr">
        <is>
          <t>Good</t>
        </is>
      </c>
      <c r="H12" s="10" t="inlineStr"/>
      <c r="I12" s="10" t="inlineStr"/>
      <c r="J12" s="9" t="inlineStr"/>
    </row>
    <row r="13" ht="22" customHeight="1">
      <c r="B13" s="14" t="n">
        <v>9</v>
      </c>
      <c r="C13" s="15" t="inlineStr">
        <is>
          <t>Salad / Raw Vegetables</t>
        </is>
      </c>
      <c r="D13" s="16" t="inlineStr"/>
      <c r="E13" s="16" t="inlineStr"/>
      <c r="F13" s="16" t="inlineStr">
        <is>
          <t>Good</t>
        </is>
      </c>
      <c r="G13" s="16" t="inlineStr">
        <is>
          <t>Good</t>
        </is>
      </c>
      <c r="H13" s="16" t="inlineStr"/>
      <c r="I13" s="16" t="inlineStr"/>
      <c r="J13" s="15" t="inlineStr"/>
    </row>
    <row r="14" ht="22" customHeight="1">
      <c r="B14" s="8" t="n">
        <v>10</v>
      </c>
      <c r="C14" s="9" t="inlineStr">
        <is>
          <t>Cooked Egg / Non-Veg Items (if served)</t>
        </is>
      </c>
      <c r="D14" s="10" t="inlineStr"/>
      <c r="E14" s="10" t="inlineStr"/>
      <c r="F14" s="10" t="inlineStr">
        <is>
          <t>Good</t>
        </is>
      </c>
      <c r="G14" s="10" t="inlineStr">
        <is>
          <t>Good</t>
        </is>
      </c>
      <c r="H14" s="10" t="inlineStr"/>
      <c r="I14" s="10" t="inlineStr"/>
      <c r="J14" s="9" t="inlineStr"/>
    </row>
    <row r="15" ht="22" customHeight="1">
      <c r="B15" s="14" t="n">
        <v>11</v>
      </c>
      <c r="C15" s="15" t="inlineStr">
        <is>
          <t>Drinking Water</t>
        </is>
      </c>
      <c r="D15" s="16" t="inlineStr"/>
      <c r="E15" s="16" t="inlineStr"/>
      <c r="F15" s="16" t="inlineStr">
        <is>
          <t>Good</t>
        </is>
      </c>
      <c r="G15" s="16" t="inlineStr">
        <is>
          <t>Good</t>
        </is>
      </c>
      <c r="H15" s="16" t="inlineStr"/>
      <c r="I15" s="16" t="inlineStr"/>
      <c r="J15" s="15" t="inlineStr"/>
    </row>
    <row r="16" ht="22" customHeight="1">
      <c r="B16" s="8" t="n">
        <v>12</v>
      </c>
      <c r="C16" s="9" t="inlineStr">
        <is>
          <t>Chilled Water / Dispenser</t>
        </is>
      </c>
      <c r="D16" s="10" t="inlineStr"/>
      <c r="E16" s="10" t="inlineStr"/>
      <c r="F16" s="10" t="inlineStr">
        <is>
          <t>Good</t>
        </is>
      </c>
      <c r="G16" s="10" t="inlineStr">
        <is>
          <t>Good</t>
        </is>
      </c>
      <c r="H16" s="10" t="inlineStr"/>
      <c r="I16" s="10" t="inlineStr"/>
      <c r="J16" s="9" t="inlineStr"/>
    </row>
    <row r="17" ht="22" customHeight="1">
      <c r="B17" s="14" t="n">
        <v>13</v>
      </c>
      <c r="C17" s="15" t="inlineStr">
        <is>
          <t>Breakfast — Idli / Poha / Upma</t>
        </is>
      </c>
      <c r="D17" s="16" t="inlineStr"/>
      <c r="E17" s="16" t="inlineStr"/>
      <c r="F17" s="16" t="inlineStr">
        <is>
          <t>Good</t>
        </is>
      </c>
      <c r="G17" s="16" t="inlineStr">
        <is>
          <t>Good</t>
        </is>
      </c>
      <c r="H17" s="16" t="inlineStr"/>
      <c r="I17" s="16" t="inlineStr"/>
      <c r="J17" s="15" t="inlineStr"/>
    </row>
    <row r="18" ht="22" customHeight="1">
      <c r="B18" s="8" t="n">
        <v>14</v>
      </c>
      <c r="C18" s="9" t="inlineStr">
        <is>
          <t>Lunch — Rice / Dal / Sabzi</t>
        </is>
      </c>
      <c r="D18" s="10" t="inlineStr"/>
      <c r="E18" s="10" t="inlineStr"/>
      <c r="F18" s="10" t="inlineStr">
        <is>
          <t>Good</t>
        </is>
      </c>
      <c r="G18" s="10" t="inlineStr">
        <is>
          <t>Good</t>
        </is>
      </c>
      <c r="H18" s="10" t="inlineStr"/>
      <c r="I18" s="10" t="inlineStr"/>
      <c r="J18" s="9" t="inlineStr"/>
    </row>
    <row r="19" ht="22" customHeight="1">
      <c r="B19" s="14" t="n">
        <v>15</v>
      </c>
      <c r="C19" s="15" t="inlineStr">
        <is>
          <t>Lunch — Chapati / Roti</t>
        </is>
      </c>
      <c r="D19" s="16" t="inlineStr"/>
      <c r="E19" s="16" t="inlineStr"/>
      <c r="F19" s="16" t="inlineStr">
        <is>
          <t>Good</t>
        </is>
      </c>
      <c r="G19" s="16" t="inlineStr">
        <is>
          <t>Good</t>
        </is>
      </c>
      <c r="H19" s="16" t="inlineStr"/>
      <c r="I19" s="16" t="inlineStr"/>
      <c r="J19" s="15" t="inlineStr"/>
    </row>
    <row r="20" ht="22" customHeight="1">
      <c r="B20" s="8" t="n">
        <v>16</v>
      </c>
      <c r="C20" s="9" t="inlineStr">
        <is>
          <t>Lunch — Sambar / Curry</t>
        </is>
      </c>
      <c r="D20" s="10" t="inlineStr"/>
      <c r="E20" s="10" t="inlineStr"/>
      <c r="F20" s="10" t="inlineStr">
        <is>
          <t>Good</t>
        </is>
      </c>
      <c r="G20" s="10" t="inlineStr">
        <is>
          <t>Good</t>
        </is>
      </c>
      <c r="H20" s="10" t="inlineStr"/>
      <c r="I20" s="10" t="inlineStr"/>
      <c r="J20" s="9" t="inlineStr"/>
    </row>
    <row r="21" ht="22" customHeight="1">
      <c r="B21" s="14" t="n">
        <v>17</v>
      </c>
      <c r="C21" s="15" t="inlineStr">
        <is>
          <t>Snacks — Samosa / Vada Pav</t>
        </is>
      </c>
      <c r="D21" s="16" t="inlineStr"/>
      <c r="E21" s="16" t="inlineStr"/>
      <c r="F21" s="16" t="inlineStr">
        <is>
          <t>Good</t>
        </is>
      </c>
      <c r="G21" s="16" t="inlineStr">
        <is>
          <t>Good</t>
        </is>
      </c>
      <c r="H21" s="16" t="inlineStr"/>
      <c r="I21" s="16" t="inlineStr"/>
      <c r="J21" s="15" t="inlineStr"/>
    </row>
    <row r="22" ht="22" customHeight="1">
      <c r="B22" s="8" t="n">
        <v>18</v>
      </c>
      <c r="C22" s="9" t="inlineStr">
        <is>
          <t>Snacks — Biscuits / Packed Items</t>
        </is>
      </c>
      <c r="D22" s="10" t="inlineStr"/>
      <c r="E22" s="10" t="inlineStr"/>
      <c r="F22" s="10" t="inlineStr">
        <is>
          <t>Good</t>
        </is>
      </c>
      <c r="G22" s="10" t="inlineStr">
        <is>
          <t>Good</t>
        </is>
      </c>
      <c r="H22" s="10" t="inlineStr"/>
      <c r="I22" s="10" t="inlineStr"/>
      <c r="J22" s="9" t="inlineStr"/>
    </row>
    <row r="23" ht="22" customHeight="1">
      <c r="B23" s="14" t="n">
        <v>19</v>
      </c>
      <c r="C23" s="15" t="inlineStr">
        <is>
          <t>Beverages — Tea / Coffee</t>
        </is>
      </c>
      <c r="D23" s="16" t="inlineStr"/>
      <c r="E23" s="16" t="inlineStr"/>
      <c r="F23" s="16" t="inlineStr">
        <is>
          <t>Good</t>
        </is>
      </c>
      <c r="G23" s="16" t="inlineStr">
        <is>
          <t>Good</t>
        </is>
      </c>
      <c r="H23" s="16" t="inlineStr"/>
      <c r="I23" s="16" t="inlineStr"/>
      <c r="J23" s="15" t="inlineStr"/>
    </row>
    <row r="24" ht="22" customHeight="1">
      <c r="B24" s="8" t="n">
        <v>20</v>
      </c>
      <c r="C24" s="9" t="inlineStr">
        <is>
          <t>Beverages — Juice / Buttermilk</t>
        </is>
      </c>
      <c r="D24" s="10" t="inlineStr"/>
      <c r="E24" s="10" t="inlineStr"/>
      <c r="F24" s="10" t="inlineStr">
        <is>
          <t>Good</t>
        </is>
      </c>
      <c r="G24" s="10" t="inlineStr">
        <is>
          <t>Good</t>
        </is>
      </c>
      <c r="H24" s="10" t="inlineStr"/>
      <c r="I24" s="10" t="inlineStr"/>
      <c r="J24" s="9" t="inlineStr"/>
    </row>
    <row r="25" ht="22" customHeight="1">
      <c r="B25" s="14" t="n">
        <v>21</v>
      </c>
      <c r="C25" s="15" t="inlineStr">
        <is>
          <t>Salad / Raw Vegetables</t>
        </is>
      </c>
      <c r="D25" s="16" t="inlineStr"/>
      <c r="E25" s="16" t="inlineStr"/>
      <c r="F25" s="16" t="inlineStr">
        <is>
          <t>Good</t>
        </is>
      </c>
      <c r="G25" s="16" t="inlineStr">
        <is>
          <t>Good</t>
        </is>
      </c>
      <c r="H25" s="16" t="inlineStr"/>
      <c r="I25" s="16" t="inlineStr"/>
      <c r="J25" s="15" t="inlineStr"/>
    </row>
    <row r="26" ht="22" customHeight="1">
      <c r="B26" s="8" t="n">
        <v>22</v>
      </c>
      <c r="C26" s="9" t="inlineStr">
        <is>
          <t>Cooked Egg / Non-Veg Items (if served)</t>
        </is>
      </c>
      <c r="D26" s="10" t="inlineStr"/>
      <c r="E26" s="10" t="inlineStr"/>
      <c r="F26" s="10" t="inlineStr">
        <is>
          <t>Good</t>
        </is>
      </c>
      <c r="G26" s="10" t="inlineStr">
        <is>
          <t>Good</t>
        </is>
      </c>
      <c r="H26" s="10" t="inlineStr"/>
      <c r="I26" s="10" t="inlineStr"/>
      <c r="J26" s="9" t="inlineStr"/>
    </row>
    <row r="27" ht="22" customHeight="1">
      <c r="B27" s="14" t="n">
        <v>23</v>
      </c>
      <c r="C27" s="15" t="inlineStr">
        <is>
          <t>Drinking Water</t>
        </is>
      </c>
      <c r="D27" s="16" t="inlineStr"/>
      <c r="E27" s="16" t="inlineStr"/>
      <c r="F27" s="16" t="inlineStr">
        <is>
          <t>Good</t>
        </is>
      </c>
      <c r="G27" s="16" t="inlineStr">
        <is>
          <t>Good</t>
        </is>
      </c>
      <c r="H27" s="16" t="inlineStr"/>
      <c r="I27" s="16" t="inlineStr"/>
      <c r="J27" s="15" t="inlineStr"/>
    </row>
    <row r="28" ht="22" customHeight="1">
      <c r="B28" s="8" t="n">
        <v>24</v>
      </c>
      <c r="C28" s="9" t="inlineStr">
        <is>
          <t>Chilled Water / Dispenser</t>
        </is>
      </c>
      <c r="D28" s="10" t="inlineStr"/>
      <c r="E28" s="10" t="inlineStr"/>
      <c r="F28" s="10" t="inlineStr">
        <is>
          <t>Good</t>
        </is>
      </c>
      <c r="G28" s="10" t="inlineStr">
        <is>
          <t>Good</t>
        </is>
      </c>
      <c r="H28" s="10" t="inlineStr"/>
      <c r="I28" s="10" t="inlineStr"/>
      <c r="J28" s="9" t="inlineStr"/>
    </row>
    <row r="29" ht="22" customHeight="1"/>
    <row r="30" ht="24" customHeight="1">
      <c r="B30" s="35" t="inlineStr">
        <is>
          <t>WEEKLY FOOD QUALITY SUMMARY</t>
        </is>
      </c>
    </row>
    <row r="31" ht="22" customHeight="1">
      <c r="B31" s="57" t="inlineStr">
        <is>
          <t>Total Items Inspected</t>
        </is>
      </c>
      <c r="F31" s="27">
        <f>COUNTA(B5:B28)</f>
        <v/>
      </c>
    </row>
    <row r="32" ht="22" customHeight="1">
      <c r="B32" s="26" t="inlineStr">
        <is>
          <t>Excellent / Good (Rating ≥ 4)</t>
        </is>
      </c>
      <c r="F32" s="37">
        <f>COUNTIF(I5:I28,"&gt;="&amp;4)</f>
        <v/>
      </c>
    </row>
    <row r="33" ht="22" customHeight="1">
      <c r="B33" s="57" t="inlineStr">
        <is>
          <t>Acceptable (Rating 3)</t>
        </is>
      </c>
      <c r="F33" s="27">
        <f>COUNTIF(I5:I28,3)</f>
        <v/>
      </c>
    </row>
    <row r="34" ht="22" customHeight="1">
      <c r="B34" s="26" t="inlineStr">
        <is>
          <t>Poor / Rejected (Rating ≤ 2)</t>
        </is>
      </c>
      <c r="F34" s="37">
        <f>COUNTIF(I5:I28,"&lt;="&amp;2)</f>
        <v/>
      </c>
    </row>
    <row r="35" ht="22" customHeight="1">
      <c r="B35" s="57" t="inlineStr">
        <is>
          <t>Average Quality Score (/5)</t>
        </is>
      </c>
      <c r="F35" s="27">
        <f>IFERROR(ROUND(AVERAGE(I5:I28),2),"")</f>
        <v/>
      </c>
    </row>
    <row r="36">
      <c r="B36" s="26" t="inlineStr">
        <is>
          <t>Items requiring immediate action</t>
        </is>
      </c>
      <c r="F36" s="37">
        <f>COUNTIF(J5:J28,"&lt;&gt;"&amp;"")</f>
        <v/>
      </c>
    </row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CAN-06: FOOD SAMPLE RETENTION REGISTER (FSSAI COMPLIANCE)</t>
        </is>
      </c>
    </row>
    <row r="3" ht="20" customHeight="1">
      <c r="B3" s="17" t="inlineStr">
        <is>
          <t>FSSAI Mandatory: Retain 100g sample of EACH food item in labelled, sealed, refrigerated container for 24 hours. In case of food poisoning complaint, samples to be sent to FSSAI-approved lab IMMEDIATELY.</t>
        </is>
      </c>
    </row>
    <row r="4" ht="25" customHeight="1">
      <c r="B4" s="45" t="inlineStr">
        <is>
          <t>Sample
Ref.</t>
        </is>
      </c>
      <c r="C4" s="45" t="inlineStr">
        <is>
          <t>Date</t>
        </is>
      </c>
      <c r="D4" s="45" t="inlineStr">
        <is>
          <t>Meal
Session</t>
        </is>
      </c>
      <c r="E4" s="45" t="inlineStr">
        <is>
          <t>Food Item</t>
        </is>
      </c>
      <c r="F4" s="45" t="inlineStr">
        <is>
          <t>Sample
Weight (g)</t>
        </is>
      </c>
      <c r="G4" s="45" t="inlineStr">
        <is>
          <t>Container
Label</t>
        </is>
      </c>
      <c r="H4" s="45" t="inlineStr">
        <is>
          <t>Storage
Location</t>
        </is>
      </c>
      <c r="I4" s="45" t="inlineStr">
        <is>
          <t>Retention
Upto</t>
        </is>
      </c>
      <c r="J4" s="45" t="inlineStr">
        <is>
          <t>Disposed /
Sent to Lab</t>
        </is>
      </c>
      <c r="K4" s="45" t="inlineStr">
        <is>
          <t>Inspector
Sign.</t>
        </is>
      </c>
    </row>
    <row r="5" ht="22" customHeight="1">
      <c r="B5" s="58" t="inlineStr">
        <is>
          <t>SMPL/0001</t>
        </is>
      </c>
      <c r="C5" s="59" t="inlineStr"/>
      <c r="D5" s="59" t="inlineStr">
        <is>
          <t>Breakfast</t>
        </is>
      </c>
      <c r="E5" s="60" t="inlineStr"/>
      <c r="F5" s="59" t="inlineStr">
        <is>
          <t>100</t>
        </is>
      </c>
      <c r="G5" s="59" t="inlineStr">
        <is>
          <t>Y</t>
        </is>
      </c>
      <c r="H5" s="59" t="inlineStr">
        <is>
          <t>Fridge — Canteen</t>
        </is>
      </c>
      <c r="I5" s="59" t="inlineStr"/>
      <c r="J5" s="59" t="inlineStr">
        <is>
          <t>Disposed after 24 hrs</t>
        </is>
      </c>
      <c r="K5" s="59" t="inlineStr"/>
    </row>
    <row r="6" ht="22" customHeight="1">
      <c r="B6" s="8" t="inlineStr">
        <is>
          <t>SMPL/0002</t>
        </is>
      </c>
      <c r="C6" s="10" t="inlineStr"/>
      <c r="D6" s="10" t="inlineStr">
        <is>
          <t>Lunch</t>
        </is>
      </c>
      <c r="E6" s="9" t="inlineStr"/>
      <c r="F6" s="10" t="inlineStr">
        <is>
          <t>100</t>
        </is>
      </c>
      <c r="G6" s="10" t="inlineStr">
        <is>
          <t>Y</t>
        </is>
      </c>
      <c r="H6" s="10" t="inlineStr">
        <is>
          <t>Fridge — Canteen</t>
        </is>
      </c>
      <c r="I6" s="10" t="inlineStr"/>
      <c r="J6" s="10" t="inlineStr">
        <is>
          <t>Disposed after 24 hrs</t>
        </is>
      </c>
      <c r="K6" s="10" t="inlineStr"/>
    </row>
    <row r="7" ht="22" customHeight="1">
      <c r="B7" s="58" t="inlineStr">
        <is>
          <t>SMPL/0003</t>
        </is>
      </c>
      <c r="C7" s="59" t="inlineStr"/>
      <c r="D7" s="59" t="inlineStr">
        <is>
          <t>Snacks</t>
        </is>
      </c>
      <c r="E7" s="60" t="inlineStr"/>
      <c r="F7" s="59" t="inlineStr">
        <is>
          <t>100</t>
        </is>
      </c>
      <c r="G7" s="59" t="inlineStr">
        <is>
          <t>Y</t>
        </is>
      </c>
      <c r="H7" s="59" t="inlineStr">
        <is>
          <t>Fridge — Canteen</t>
        </is>
      </c>
      <c r="I7" s="59" t="inlineStr"/>
      <c r="J7" s="59" t="inlineStr">
        <is>
          <t>Disposed after 24 hrs</t>
        </is>
      </c>
      <c r="K7" s="59" t="inlineStr"/>
    </row>
    <row r="8" ht="22" customHeight="1">
      <c r="B8" s="8" t="inlineStr">
        <is>
          <t>SMPL/0004</t>
        </is>
      </c>
      <c r="C8" s="10" t="inlineStr"/>
      <c r="D8" s="10" t="inlineStr">
        <is>
          <t>Dinner</t>
        </is>
      </c>
      <c r="E8" s="9" t="inlineStr"/>
      <c r="F8" s="10" t="inlineStr">
        <is>
          <t>100</t>
        </is>
      </c>
      <c r="G8" s="10" t="inlineStr">
        <is>
          <t>Y</t>
        </is>
      </c>
      <c r="H8" s="10" t="inlineStr">
        <is>
          <t>Fridge — Canteen</t>
        </is>
      </c>
      <c r="I8" s="10" t="inlineStr"/>
      <c r="J8" s="10" t="inlineStr">
        <is>
          <t>Disposed after 24 hrs</t>
        </is>
      </c>
      <c r="K8" s="10" t="inlineStr"/>
    </row>
    <row r="9" ht="22" customHeight="1">
      <c r="B9" s="58" t="inlineStr">
        <is>
          <t>SMPL/0005</t>
        </is>
      </c>
      <c r="C9" s="59" t="inlineStr"/>
      <c r="D9" s="59" t="inlineStr">
        <is>
          <t>Breakfast</t>
        </is>
      </c>
      <c r="E9" s="60" t="inlineStr"/>
      <c r="F9" s="59" t="inlineStr">
        <is>
          <t>100</t>
        </is>
      </c>
      <c r="G9" s="59" t="inlineStr">
        <is>
          <t>Y</t>
        </is>
      </c>
      <c r="H9" s="59" t="inlineStr">
        <is>
          <t>Fridge — Canteen</t>
        </is>
      </c>
      <c r="I9" s="59" t="inlineStr"/>
      <c r="J9" s="59" t="inlineStr">
        <is>
          <t>Disposed after 24 hrs</t>
        </is>
      </c>
      <c r="K9" s="59" t="inlineStr"/>
    </row>
    <row r="10" ht="22" customHeight="1">
      <c r="B10" s="8" t="inlineStr">
        <is>
          <t>SMPL/0006</t>
        </is>
      </c>
      <c r="C10" s="10" t="inlineStr"/>
      <c r="D10" s="10" t="inlineStr">
        <is>
          <t>Lunch</t>
        </is>
      </c>
      <c r="E10" s="9" t="inlineStr"/>
      <c r="F10" s="10" t="inlineStr">
        <is>
          <t>100</t>
        </is>
      </c>
      <c r="G10" s="10" t="inlineStr">
        <is>
          <t>Y</t>
        </is>
      </c>
      <c r="H10" s="10" t="inlineStr">
        <is>
          <t>Fridge — Canteen</t>
        </is>
      </c>
      <c r="I10" s="10" t="inlineStr"/>
      <c r="J10" s="10" t="inlineStr">
        <is>
          <t>Disposed after 24 hrs</t>
        </is>
      </c>
      <c r="K10" s="10" t="inlineStr"/>
    </row>
    <row r="11" ht="22" customHeight="1">
      <c r="B11" s="58" t="inlineStr">
        <is>
          <t>SMPL/0007</t>
        </is>
      </c>
      <c r="C11" s="59" t="inlineStr"/>
      <c r="D11" s="59" t="inlineStr">
        <is>
          <t>Snacks</t>
        </is>
      </c>
      <c r="E11" s="60" t="inlineStr"/>
      <c r="F11" s="59" t="inlineStr">
        <is>
          <t>100</t>
        </is>
      </c>
      <c r="G11" s="59" t="inlineStr">
        <is>
          <t>Y</t>
        </is>
      </c>
      <c r="H11" s="59" t="inlineStr">
        <is>
          <t>Fridge — Canteen</t>
        </is>
      </c>
      <c r="I11" s="59" t="inlineStr"/>
      <c r="J11" s="59" t="inlineStr">
        <is>
          <t>Disposed after 24 hrs</t>
        </is>
      </c>
      <c r="K11" s="59" t="inlineStr"/>
    </row>
    <row r="12" ht="22" customHeight="1">
      <c r="B12" s="8" t="inlineStr">
        <is>
          <t>SMPL/0008</t>
        </is>
      </c>
      <c r="C12" s="10" t="inlineStr"/>
      <c r="D12" s="10" t="inlineStr">
        <is>
          <t>Dinner</t>
        </is>
      </c>
      <c r="E12" s="9" t="inlineStr"/>
      <c r="F12" s="10" t="inlineStr">
        <is>
          <t>100</t>
        </is>
      </c>
      <c r="G12" s="10" t="inlineStr">
        <is>
          <t>Y</t>
        </is>
      </c>
      <c r="H12" s="10" t="inlineStr">
        <is>
          <t>Fridge — Canteen</t>
        </is>
      </c>
      <c r="I12" s="10" t="inlineStr"/>
      <c r="J12" s="10" t="inlineStr">
        <is>
          <t>Disposed after 24 hrs</t>
        </is>
      </c>
      <c r="K12" s="10" t="inlineStr"/>
    </row>
    <row r="13" ht="22" customHeight="1">
      <c r="B13" s="58" t="inlineStr">
        <is>
          <t>SMPL/0009</t>
        </is>
      </c>
      <c r="C13" s="59" t="inlineStr"/>
      <c r="D13" s="59" t="inlineStr">
        <is>
          <t>Breakfast</t>
        </is>
      </c>
      <c r="E13" s="60" t="inlineStr"/>
      <c r="F13" s="59" t="inlineStr">
        <is>
          <t>100</t>
        </is>
      </c>
      <c r="G13" s="59" t="inlineStr">
        <is>
          <t>Y</t>
        </is>
      </c>
      <c r="H13" s="59" t="inlineStr">
        <is>
          <t>Fridge — Canteen</t>
        </is>
      </c>
      <c r="I13" s="59" t="inlineStr"/>
      <c r="J13" s="59" t="inlineStr">
        <is>
          <t>Disposed after 24 hrs</t>
        </is>
      </c>
      <c r="K13" s="59" t="inlineStr"/>
    </row>
    <row r="14" ht="22" customHeight="1">
      <c r="B14" s="8" t="inlineStr">
        <is>
          <t>SMPL/0010</t>
        </is>
      </c>
      <c r="C14" s="10" t="inlineStr"/>
      <c r="D14" s="10" t="inlineStr">
        <is>
          <t>Lunch</t>
        </is>
      </c>
      <c r="E14" s="9" t="inlineStr"/>
      <c r="F14" s="10" t="inlineStr">
        <is>
          <t>100</t>
        </is>
      </c>
      <c r="G14" s="10" t="inlineStr">
        <is>
          <t>Y</t>
        </is>
      </c>
      <c r="H14" s="10" t="inlineStr">
        <is>
          <t>Fridge — Canteen</t>
        </is>
      </c>
      <c r="I14" s="10" t="inlineStr"/>
      <c r="J14" s="10" t="inlineStr">
        <is>
          <t>Disposed after 24 hrs</t>
        </is>
      </c>
      <c r="K14" s="10" t="inlineStr"/>
    </row>
    <row r="15" ht="22" customHeight="1">
      <c r="B15" s="58" t="inlineStr">
        <is>
          <t>SMPL/0011</t>
        </is>
      </c>
      <c r="C15" s="59" t="inlineStr"/>
      <c r="D15" s="59" t="inlineStr">
        <is>
          <t>Snacks</t>
        </is>
      </c>
      <c r="E15" s="60" t="inlineStr"/>
      <c r="F15" s="59" t="inlineStr">
        <is>
          <t>100</t>
        </is>
      </c>
      <c r="G15" s="59" t="inlineStr">
        <is>
          <t>Y</t>
        </is>
      </c>
      <c r="H15" s="59" t="inlineStr">
        <is>
          <t>Fridge — Canteen</t>
        </is>
      </c>
      <c r="I15" s="59" t="inlineStr"/>
      <c r="J15" s="59" t="inlineStr">
        <is>
          <t>Disposed after 24 hrs</t>
        </is>
      </c>
      <c r="K15" s="59" t="inlineStr"/>
    </row>
    <row r="16" ht="22" customHeight="1">
      <c r="B16" s="8" t="inlineStr">
        <is>
          <t>SMPL/0012</t>
        </is>
      </c>
      <c r="C16" s="10" t="inlineStr"/>
      <c r="D16" s="10" t="inlineStr">
        <is>
          <t>Dinner</t>
        </is>
      </c>
      <c r="E16" s="9" t="inlineStr"/>
      <c r="F16" s="10" t="inlineStr">
        <is>
          <t>100</t>
        </is>
      </c>
      <c r="G16" s="10" t="inlineStr">
        <is>
          <t>Y</t>
        </is>
      </c>
      <c r="H16" s="10" t="inlineStr">
        <is>
          <t>Fridge — Canteen</t>
        </is>
      </c>
      <c r="I16" s="10" t="inlineStr"/>
      <c r="J16" s="10" t="inlineStr">
        <is>
          <t>Disposed after 24 hrs</t>
        </is>
      </c>
      <c r="K16" s="10" t="inlineStr"/>
    </row>
    <row r="17" ht="22" customHeight="1">
      <c r="B17" s="58" t="inlineStr">
        <is>
          <t>SMPL/0013</t>
        </is>
      </c>
      <c r="C17" s="59" t="inlineStr"/>
      <c r="D17" s="59" t="inlineStr">
        <is>
          <t>Breakfast</t>
        </is>
      </c>
      <c r="E17" s="60" t="inlineStr"/>
      <c r="F17" s="59" t="inlineStr">
        <is>
          <t>100</t>
        </is>
      </c>
      <c r="G17" s="59" t="inlineStr">
        <is>
          <t>Y</t>
        </is>
      </c>
      <c r="H17" s="59" t="inlineStr">
        <is>
          <t>Fridge — Canteen</t>
        </is>
      </c>
      <c r="I17" s="59" t="inlineStr"/>
      <c r="J17" s="59" t="inlineStr">
        <is>
          <t>Disposed after 24 hrs</t>
        </is>
      </c>
      <c r="K17" s="59" t="inlineStr"/>
    </row>
    <row r="18" ht="22" customHeight="1">
      <c r="B18" s="8" t="inlineStr">
        <is>
          <t>SMPL/0014</t>
        </is>
      </c>
      <c r="C18" s="10" t="inlineStr"/>
      <c r="D18" s="10" t="inlineStr">
        <is>
          <t>Lunch</t>
        </is>
      </c>
      <c r="E18" s="9" t="inlineStr"/>
      <c r="F18" s="10" t="inlineStr">
        <is>
          <t>100</t>
        </is>
      </c>
      <c r="G18" s="10" t="inlineStr">
        <is>
          <t>Y</t>
        </is>
      </c>
      <c r="H18" s="10" t="inlineStr">
        <is>
          <t>Fridge — Canteen</t>
        </is>
      </c>
      <c r="I18" s="10" t="inlineStr"/>
      <c r="J18" s="10" t="inlineStr">
        <is>
          <t>Disposed after 24 hrs</t>
        </is>
      </c>
      <c r="K18" s="10" t="inlineStr"/>
    </row>
    <row r="19" ht="22" customHeight="1">
      <c r="B19" s="58" t="inlineStr">
        <is>
          <t>SMPL/0015</t>
        </is>
      </c>
      <c r="C19" s="59" t="inlineStr"/>
      <c r="D19" s="59" t="inlineStr">
        <is>
          <t>Snacks</t>
        </is>
      </c>
      <c r="E19" s="60" t="inlineStr"/>
      <c r="F19" s="59" t="inlineStr">
        <is>
          <t>100</t>
        </is>
      </c>
      <c r="G19" s="59" t="inlineStr">
        <is>
          <t>Y</t>
        </is>
      </c>
      <c r="H19" s="59" t="inlineStr">
        <is>
          <t>Fridge — Canteen</t>
        </is>
      </c>
      <c r="I19" s="59" t="inlineStr"/>
      <c r="J19" s="59" t="inlineStr">
        <is>
          <t>Disposed after 24 hrs</t>
        </is>
      </c>
      <c r="K19" s="59" t="inlineStr"/>
    </row>
    <row r="20" ht="22" customHeight="1">
      <c r="B20" s="8" t="inlineStr">
        <is>
          <t>SMPL/0016</t>
        </is>
      </c>
      <c r="C20" s="10" t="inlineStr"/>
      <c r="D20" s="10" t="inlineStr">
        <is>
          <t>Dinner</t>
        </is>
      </c>
      <c r="E20" s="9" t="inlineStr"/>
      <c r="F20" s="10" t="inlineStr">
        <is>
          <t>100</t>
        </is>
      </c>
      <c r="G20" s="10" t="inlineStr">
        <is>
          <t>Y</t>
        </is>
      </c>
      <c r="H20" s="10" t="inlineStr">
        <is>
          <t>Fridge — Canteen</t>
        </is>
      </c>
      <c r="I20" s="10" t="inlineStr"/>
      <c r="J20" s="10" t="inlineStr">
        <is>
          <t>Disposed after 24 hrs</t>
        </is>
      </c>
      <c r="K20" s="10" t="inlineStr"/>
    </row>
    <row r="21" ht="22" customHeight="1">
      <c r="B21" s="58" t="inlineStr">
        <is>
          <t>SMPL/0017</t>
        </is>
      </c>
      <c r="C21" s="59" t="inlineStr"/>
      <c r="D21" s="59" t="inlineStr">
        <is>
          <t>Breakfast</t>
        </is>
      </c>
      <c r="E21" s="60" t="inlineStr"/>
      <c r="F21" s="59" t="inlineStr">
        <is>
          <t>100</t>
        </is>
      </c>
      <c r="G21" s="59" t="inlineStr">
        <is>
          <t>Y</t>
        </is>
      </c>
      <c r="H21" s="59" t="inlineStr">
        <is>
          <t>Fridge — Canteen</t>
        </is>
      </c>
      <c r="I21" s="59" t="inlineStr"/>
      <c r="J21" s="59" t="inlineStr">
        <is>
          <t>Disposed after 24 hrs</t>
        </is>
      </c>
      <c r="K21" s="59" t="inlineStr"/>
    </row>
    <row r="22" ht="22" customHeight="1">
      <c r="B22" s="8" t="inlineStr">
        <is>
          <t>SMPL/0018</t>
        </is>
      </c>
      <c r="C22" s="10" t="inlineStr"/>
      <c r="D22" s="10" t="inlineStr">
        <is>
          <t>Lunch</t>
        </is>
      </c>
      <c r="E22" s="9" t="inlineStr"/>
      <c r="F22" s="10" t="inlineStr">
        <is>
          <t>100</t>
        </is>
      </c>
      <c r="G22" s="10" t="inlineStr">
        <is>
          <t>Y</t>
        </is>
      </c>
      <c r="H22" s="10" t="inlineStr">
        <is>
          <t>Fridge — Canteen</t>
        </is>
      </c>
      <c r="I22" s="10" t="inlineStr"/>
      <c r="J22" s="10" t="inlineStr">
        <is>
          <t>Disposed after 24 hrs</t>
        </is>
      </c>
      <c r="K22" s="10" t="inlineStr"/>
    </row>
    <row r="23" ht="22" customHeight="1">
      <c r="B23" s="58" t="inlineStr">
        <is>
          <t>SMPL/0019</t>
        </is>
      </c>
      <c r="C23" s="59" t="inlineStr"/>
      <c r="D23" s="59" t="inlineStr">
        <is>
          <t>Snacks</t>
        </is>
      </c>
      <c r="E23" s="60" t="inlineStr"/>
      <c r="F23" s="59" t="inlineStr">
        <is>
          <t>100</t>
        </is>
      </c>
      <c r="G23" s="59" t="inlineStr">
        <is>
          <t>Y</t>
        </is>
      </c>
      <c r="H23" s="59" t="inlineStr">
        <is>
          <t>Fridge — Canteen</t>
        </is>
      </c>
      <c r="I23" s="59" t="inlineStr"/>
      <c r="J23" s="59" t="inlineStr">
        <is>
          <t>Disposed after 24 hrs</t>
        </is>
      </c>
      <c r="K23" s="59" t="inlineStr"/>
    </row>
    <row r="24" ht="22" customHeight="1">
      <c r="B24" s="8" t="inlineStr">
        <is>
          <t>SMPL/0020</t>
        </is>
      </c>
      <c r="C24" s="10" t="inlineStr"/>
      <c r="D24" s="10" t="inlineStr">
        <is>
          <t>Dinner</t>
        </is>
      </c>
      <c r="E24" s="9" t="inlineStr"/>
      <c r="F24" s="10" t="inlineStr">
        <is>
          <t>100</t>
        </is>
      </c>
      <c r="G24" s="10" t="inlineStr">
        <is>
          <t>Y</t>
        </is>
      </c>
      <c r="H24" s="10" t="inlineStr">
        <is>
          <t>Fridge — Canteen</t>
        </is>
      </c>
      <c r="I24" s="10" t="inlineStr"/>
      <c r="J24" s="10" t="inlineStr">
        <is>
          <t>Disposed after 24 hrs</t>
        </is>
      </c>
      <c r="K24" s="10" t="inlineStr"/>
    </row>
    <row r="25" ht="22" customHeight="1">
      <c r="B25" s="58" t="inlineStr">
        <is>
          <t>SMPL/0021</t>
        </is>
      </c>
      <c r="C25" s="59" t="inlineStr"/>
      <c r="D25" s="59" t="inlineStr">
        <is>
          <t>Breakfast</t>
        </is>
      </c>
      <c r="E25" s="60" t="inlineStr"/>
      <c r="F25" s="59" t="inlineStr">
        <is>
          <t>100</t>
        </is>
      </c>
      <c r="G25" s="59" t="inlineStr">
        <is>
          <t>Y</t>
        </is>
      </c>
      <c r="H25" s="59" t="inlineStr">
        <is>
          <t>Fridge — Canteen</t>
        </is>
      </c>
      <c r="I25" s="59" t="inlineStr"/>
      <c r="J25" s="59" t="inlineStr">
        <is>
          <t>Disposed after 24 hrs</t>
        </is>
      </c>
      <c r="K25" s="59" t="inlineStr"/>
    </row>
    <row r="26" ht="22" customHeight="1">
      <c r="B26" s="8" t="inlineStr">
        <is>
          <t>SMPL/0022</t>
        </is>
      </c>
      <c r="C26" s="10" t="inlineStr"/>
      <c r="D26" s="10" t="inlineStr">
        <is>
          <t>Lunch</t>
        </is>
      </c>
      <c r="E26" s="9" t="inlineStr"/>
      <c r="F26" s="10" t="inlineStr">
        <is>
          <t>100</t>
        </is>
      </c>
      <c r="G26" s="10" t="inlineStr">
        <is>
          <t>Y</t>
        </is>
      </c>
      <c r="H26" s="10" t="inlineStr">
        <is>
          <t>Fridge — Canteen</t>
        </is>
      </c>
      <c r="I26" s="10" t="inlineStr"/>
      <c r="J26" s="10" t="inlineStr">
        <is>
          <t>Disposed after 24 hrs</t>
        </is>
      </c>
      <c r="K26" s="10" t="inlineStr"/>
    </row>
    <row r="27" ht="22" customHeight="1">
      <c r="B27" s="58" t="inlineStr">
        <is>
          <t>SMPL/0023</t>
        </is>
      </c>
      <c r="C27" s="59" t="inlineStr"/>
      <c r="D27" s="59" t="inlineStr">
        <is>
          <t>Snacks</t>
        </is>
      </c>
      <c r="E27" s="60" t="inlineStr"/>
      <c r="F27" s="59" t="inlineStr">
        <is>
          <t>100</t>
        </is>
      </c>
      <c r="G27" s="59" t="inlineStr">
        <is>
          <t>Y</t>
        </is>
      </c>
      <c r="H27" s="59" t="inlineStr">
        <is>
          <t>Fridge — Canteen</t>
        </is>
      </c>
      <c r="I27" s="59" t="inlineStr"/>
      <c r="J27" s="59" t="inlineStr">
        <is>
          <t>Disposed after 24 hrs</t>
        </is>
      </c>
      <c r="K27" s="59" t="inlineStr"/>
    </row>
    <row r="28" ht="22" customHeight="1">
      <c r="B28" s="8" t="inlineStr">
        <is>
          <t>SMPL/0024</t>
        </is>
      </c>
      <c r="C28" s="10" t="inlineStr"/>
      <c r="D28" s="10" t="inlineStr">
        <is>
          <t>Dinner</t>
        </is>
      </c>
      <c r="E28" s="9" t="inlineStr"/>
      <c r="F28" s="10" t="inlineStr">
        <is>
          <t>100</t>
        </is>
      </c>
      <c r="G28" s="10" t="inlineStr">
        <is>
          <t>Y</t>
        </is>
      </c>
      <c r="H28" s="10" t="inlineStr">
        <is>
          <t>Fridge — Canteen</t>
        </is>
      </c>
      <c r="I28" s="10" t="inlineStr"/>
      <c r="J28" s="10" t="inlineStr">
        <is>
          <t>Disposed after 24 hrs</t>
        </is>
      </c>
      <c r="K28" s="10" t="inlineStr"/>
    </row>
    <row r="29" ht="22" customHeight="1">
      <c r="B29" s="58" t="inlineStr">
        <is>
          <t>SMPL/0025</t>
        </is>
      </c>
      <c r="C29" s="59" t="inlineStr"/>
      <c r="D29" s="59" t="inlineStr">
        <is>
          <t>Breakfast</t>
        </is>
      </c>
      <c r="E29" s="60" t="inlineStr"/>
      <c r="F29" s="59" t="inlineStr">
        <is>
          <t>100</t>
        </is>
      </c>
      <c r="G29" s="59" t="inlineStr">
        <is>
          <t>Y</t>
        </is>
      </c>
      <c r="H29" s="59" t="inlineStr">
        <is>
          <t>Fridge — Canteen</t>
        </is>
      </c>
      <c r="I29" s="59" t="inlineStr"/>
      <c r="J29" s="59" t="inlineStr">
        <is>
          <t>Disposed after 24 hrs</t>
        </is>
      </c>
      <c r="K29" s="59" t="inlineStr"/>
    </row>
    <row r="30" ht="22" customHeight="1">
      <c r="B30" s="8" t="inlineStr">
        <is>
          <t>SMPL/0026</t>
        </is>
      </c>
      <c r="C30" s="10" t="inlineStr"/>
      <c r="D30" s="10" t="inlineStr">
        <is>
          <t>Lunch</t>
        </is>
      </c>
      <c r="E30" s="9" t="inlineStr"/>
      <c r="F30" s="10" t="inlineStr">
        <is>
          <t>100</t>
        </is>
      </c>
      <c r="G30" s="10" t="inlineStr">
        <is>
          <t>Y</t>
        </is>
      </c>
      <c r="H30" s="10" t="inlineStr">
        <is>
          <t>Fridge — Canteen</t>
        </is>
      </c>
      <c r="I30" s="10" t="inlineStr"/>
      <c r="J30" s="10" t="inlineStr">
        <is>
          <t>Disposed after 24 hrs</t>
        </is>
      </c>
      <c r="K30" s="10" t="inlineStr"/>
    </row>
    <row r="31" ht="22" customHeight="1"/>
    <row r="32" ht="24" customHeight="1">
      <c r="B32" s="35" t="inlineStr">
        <is>
          <t>SAMPLE RETENTION COMPLIANCE</t>
        </is>
      </c>
    </row>
    <row r="33" ht="22" customHeight="1">
      <c r="B33" s="61" t="inlineStr">
        <is>
          <t>Total Samples Retained (Week)</t>
        </is>
      </c>
      <c r="F33" s="27">
        <f>COUNTA(B5:B30)</f>
        <v/>
      </c>
    </row>
    <row r="34" ht="22" customHeight="1">
      <c r="B34" s="26" t="inlineStr">
        <is>
          <t>% Compliance (should be 100%)</t>
        </is>
      </c>
      <c r="F34" s="37">
        <f>IFERROR(ROUND(COUNTA(B5:B30)/COUNTA(E5:E30)*100,1),"")</f>
        <v/>
      </c>
    </row>
    <row r="35" ht="22" customHeight="1">
      <c r="B35" s="61" t="inlineStr">
        <is>
          <t>Samples Sent to Lab (Complaints)</t>
        </is>
      </c>
      <c r="F35" s="27">
        <f>COUNTIF(J5:J30,"Sent to Lab")</f>
        <v/>
      </c>
    </row>
    <row r="36">
      <c r="B36" s="26" t="inlineStr">
        <is>
          <t>Food Poisoning Incidents</t>
        </is>
      </c>
      <c r="F36" s="37" t="inlineStr">
        <is>
          <t>0</t>
        </is>
      </c>
    </row>
  </sheetData>
  <mergeCells count="11">
    <mergeCell ref="B36:E36"/>
    <mergeCell ref="F34:K34"/>
    <mergeCell ref="F33:K33"/>
    <mergeCell ref="B32:K32"/>
    <mergeCell ref="B35:E35"/>
    <mergeCell ref="F36:K36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CAN-07: CANTEEN STAFF HEALTH CERTIFICATE &amp; MEDICAL FITNESS REGISTER</t>
        </is>
      </c>
    </row>
    <row r="3" ht="20" customHeight="1">
      <c r="B3" s="17" t="inlineStr">
        <is>
          <t>FSSAI Requirement: Every food handler must undergo annual medical examination. Any staff with communicable disease (TB, typhoid, jaundice, hepatitis) must be immediately excluded from food handling.</t>
        </is>
      </c>
    </row>
    <row r="4" ht="25" customHeight="1">
      <c r="B4" s="13" t="inlineStr">
        <is>
          <t>Sl.</t>
        </is>
      </c>
      <c r="C4" s="13" t="inlineStr">
        <is>
          <t>Staff Name</t>
        </is>
      </c>
      <c r="D4" s="13" t="inlineStr">
        <is>
          <t>Designation</t>
        </is>
      </c>
      <c r="E4" s="13" t="inlineStr">
        <is>
          <t>Date of
Joining</t>
        </is>
      </c>
      <c r="F4" s="13" t="inlineStr">
        <is>
          <t>Last Medical
Check Date</t>
        </is>
      </c>
      <c r="G4" s="13" t="inlineStr">
        <is>
          <t>Certificate
Validity</t>
        </is>
      </c>
      <c r="H4" s="13" t="inlineStr">
        <is>
          <t>Diseases
Screened</t>
        </is>
      </c>
      <c r="I4" s="13" t="inlineStr">
        <is>
          <t>Fitness
Status</t>
        </is>
      </c>
      <c r="J4" s="13" t="inlineStr">
        <is>
          <t>Next Due
Date</t>
        </is>
      </c>
    </row>
    <row r="5" ht="22" customHeight="1">
      <c r="B5" s="14" t="n">
        <v>1</v>
      </c>
      <c r="C5" s="15" t="inlineStr"/>
      <c r="D5" s="16" t="inlineStr">
        <is>
          <t>Head Cook</t>
        </is>
      </c>
      <c r="E5" s="16" t="inlineStr"/>
      <c r="F5" s="16" t="inlineStr"/>
      <c r="G5" s="16" t="inlineStr"/>
      <c r="H5" s="40" t="inlineStr">
        <is>
          <t>TB, Typhoid, Jaundice, Hepatitis A&amp;B, Skin disorders</t>
        </is>
      </c>
      <c r="I5" s="16" t="inlineStr">
        <is>
          <t>Fit</t>
        </is>
      </c>
      <c r="J5" s="16" t="inlineStr"/>
    </row>
    <row r="6" ht="22" customHeight="1">
      <c r="B6" s="8" t="n">
        <v>2</v>
      </c>
      <c r="C6" s="9" t="inlineStr"/>
      <c r="D6" s="10" t="inlineStr">
        <is>
          <t>Assistant Cook</t>
        </is>
      </c>
      <c r="E6" s="10" t="inlineStr"/>
      <c r="F6" s="10" t="inlineStr"/>
      <c r="G6" s="10" t="inlineStr"/>
      <c r="H6" s="43" t="inlineStr">
        <is>
          <t>TB, Typhoid, Jaundice, Hepatitis A&amp;B, Skin disorders</t>
        </is>
      </c>
      <c r="I6" s="10" t="inlineStr">
        <is>
          <t>Fit</t>
        </is>
      </c>
      <c r="J6" s="10" t="inlineStr"/>
    </row>
    <row r="7" ht="22" customHeight="1">
      <c r="B7" s="14" t="n">
        <v>3</v>
      </c>
      <c r="C7" s="15" t="inlineStr"/>
      <c r="D7" s="16" t="inlineStr">
        <is>
          <t>Helper / Kitchen Staff</t>
        </is>
      </c>
      <c r="E7" s="16" t="inlineStr"/>
      <c r="F7" s="16" t="inlineStr"/>
      <c r="G7" s="16" t="inlineStr"/>
      <c r="H7" s="40" t="inlineStr">
        <is>
          <t>TB, Typhoid, Jaundice, Hepatitis A&amp;B, Skin disorders</t>
        </is>
      </c>
      <c r="I7" s="16" t="inlineStr">
        <is>
          <t>Fit</t>
        </is>
      </c>
      <c r="J7" s="16" t="inlineStr"/>
    </row>
    <row r="8" ht="22" customHeight="1">
      <c r="B8" s="8" t="n">
        <v>4</v>
      </c>
      <c r="C8" s="9" t="inlineStr"/>
      <c r="D8" s="10" t="inlineStr">
        <is>
          <t>Counter Server</t>
        </is>
      </c>
      <c r="E8" s="10" t="inlineStr"/>
      <c r="F8" s="10" t="inlineStr"/>
      <c r="G8" s="10" t="inlineStr"/>
      <c r="H8" s="43" t="inlineStr">
        <is>
          <t>TB, Typhoid, Jaundice, Hepatitis A&amp;B, Skin disorders</t>
        </is>
      </c>
      <c r="I8" s="10" t="inlineStr">
        <is>
          <t>Fit</t>
        </is>
      </c>
      <c r="J8" s="10" t="inlineStr"/>
    </row>
    <row r="9" ht="22" customHeight="1">
      <c r="B9" s="14" t="n">
        <v>5</v>
      </c>
      <c r="C9" s="15" t="inlineStr"/>
      <c r="D9" s="16" t="inlineStr">
        <is>
          <t>Dish Washer</t>
        </is>
      </c>
      <c r="E9" s="16" t="inlineStr"/>
      <c r="F9" s="16" t="inlineStr"/>
      <c r="G9" s="16" t="inlineStr"/>
      <c r="H9" s="40" t="inlineStr">
        <is>
          <t>TB, Typhoid, Jaundice, Hepatitis A&amp;B, Skin disorders</t>
        </is>
      </c>
      <c r="I9" s="16" t="inlineStr">
        <is>
          <t>Fit</t>
        </is>
      </c>
      <c r="J9" s="16" t="inlineStr"/>
    </row>
    <row r="10" ht="22" customHeight="1">
      <c r="B10" s="8" t="n">
        <v>6</v>
      </c>
      <c r="C10" s="9" t="inlineStr"/>
      <c r="D10" s="10" t="inlineStr">
        <is>
          <t>Store Keeper</t>
        </is>
      </c>
      <c r="E10" s="10" t="inlineStr"/>
      <c r="F10" s="10" t="inlineStr"/>
      <c r="G10" s="10" t="inlineStr"/>
      <c r="H10" s="43" t="inlineStr">
        <is>
          <t>TB, Typhoid, Jaundice, Hepatitis A&amp;B, Skin disorders</t>
        </is>
      </c>
      <c r="I10" s="10" t="inlineStr">
        <is>
          <t>Fit</t>
        </is>
      </c>
      <c r="J10" s="10" t="inlineStr"/>
    </row>
    <row r="11" ht="22" customHeight="1">
      <c r="B11" s="14" t="n">
        <v>7</v>
      </c>
      <c r="C11" s="15" t="inlineStr"/>
      <c r="D11" s="16" t="inlineStr">
        <is>
          <t>Delivery / Supply Staff</t>
        </is>
      </c>
      <c r="E11" s="16" t="inlineStr"/>
      <c r="F11" s="16" t="inlineStr"/>
      <c r="G11" s="16" t="inlineStr"/>
      <c r="H11" s="40" t="inlineStr">
        <is>
          <t>TB, Typhoid, Jaundice, Hepatitis A&amp;B, Skin disorders</t>
        </is>
      </c>
      <c r="I11" s="16" t="inlineStr">
        <is>
          <t>Fit</t>
        </is>
      </c>
      <c r="J11" s="16" t="inlineStr"/>
    </row>
    <row r="12" ht="22" customHeight="1">
      <c r="B12" s="8" t="n">
        <v>8</v>
      </c>
      <c r="C12" s="9" t="inlineStr"/>
      <c r="D12" s="10" t="inlineStr">
        <is>
          <t>Tea / Coffee Counter</t>
        </is>
      </c>
      <c r="E12" s="10" t="inlineStr"/>
      <c r="F12" s="10" t="inlineStr"/>
      <c r="G12" s="10" t="inlineStr"/>
      <c r="H12" s="43" t="inlineStr">
        <is>
          <t>TB, Typhoid, Jaundice, Hepatitis A&amp;B, Skin disorders</t>
        </is>
      </c>
      <c r="I12" s="10" t="inlineStr">
        <is>
          <t>Fit</t>
        </is>
      </c>
      <c r="J12" s="10" t="inlineStr"/>
    </row>
    <row r="13" ht="22" customHeight="1">
      <c r="B13" s="14" t="n">
        <v>9</v>
      </c>
      <c r="C13" s="15" t="inlineStr"/>
      <c r="D13" s="16" t="inlineStr">
        <is>
          <t>Head Cook</t>
        </is>
      </c>
      <c r="E13" s="16" t="inlineStr"/>
      <c r="F13" s="16" t="inlineStr"/>
      <c r="G13" s="16" t="inlineStr"/>
      <c r="H13" s="40" t="inlineStr">
        <is>
          <t>TB, Typhoid, Jaundice, Hepatitis A&amp;B, Skin disorders</t>
        </is>
      </c>
      <c r="I13" s="16" t="inlineStr">
        <is>
          <t>Fit</t>
        </is>
      </c>
      <c r="J13" s="16" t="inlineStr"/>
    </row>
    <row r="14" ht="22" customHeight="1">
      <c r="B14" s="8" t="n">
        <v>10</v>
      </c>
      <c r="C14" s="9" t="inlineStr"/>
      <c r="D14" s="10" t="inlineStr">
        <is>
          <t>Assistant Cook</t>
        </is>
      </c>
      <c r="E14" s="10" t="inlineStr"/>
      <c r="F14" s="10" t="inlineStr"/>
      <c r="G14" s="10" t="inlineStr"/>
      <c r="H14" s="43" t="inlineStr">
        <is>
          <t>TB, Typhoid, Jaundice, Hepatitis A&amp;B, Skin disorders</t>
        </is>
      </c>
      <c r="I14" s="10" t="inlineStr">
        <is>
          <t>Fit</t>
        </is>
      </c>
      <c r="J14" s="10" t="inlineStr"/>
    </row>
    <row r="15" ht="22" customHeight="1">
      <c r="B15" s="14" t="n">
        <v>11</v>
      </c>
      <c r="C15" s="15" t="inlineStr"/>
      <c r="D15" s="16" t="inlineStr">
        <is>
          <t>Helper / Kitchen Staff</t>
        </is>
      </c>
      <c r="E15" s="16" t="inlineStr"/>
      <c r="F15" s="16" t="inlineStr"/>
      <c r="G15" s="16" t="inlineStr"/>
      <c r="H15" s="40" t="inlineStr">
        <is>
          <t>TB, Typhoid, Jaundice, Hepatitis A&amp;B, Skin disorders</t>
        </is>
      </c>
      <c r="I15" s="16" t="inlineStr">
        <is>
          <t>Fit</t>
        </is>
      </c>
      <c r="J15" s="16" t="inlineStr"/>
    </row>
    <row r="16" ht="22" customHeight="1">
      <c r="B16" s="8" t="n">
        <v>12</v>
      </c>
      <c r="C16" s="9" t="inlineStr"/>
      <c r="D16" s="10" t="inlineStr">
        <is>
          <t>Counter Server</t>
        </is>
      </c>
      <c r="E16" s="10" t="inlineStr"/>
      <c r="F16" s="10" t="inlineStr"/>
      <c r="G16" s="10" t="inlineStr"/>
      <c r="H16" s="43" t="inlineStr">
        <is>
          <t>TB, Typhoid, Jaundice, Hepatitis A&amp;B, Skin disorders</t>
        </is>
      </c>
      <c r="I16" s="10" t="inlineStr">
        <is>
          <t>Fit</t>
        </is>
      </c>
      <c r="J16" s="10" t="inlineStr"/>
    </row>
    <row r="17" ht="22" customHeight="1">
      <c r="B17" s="14" t="n">
        <v>13</v>
      </c>
      <c r="C17" s="15" t="inlineStr"/>
      <c r="D17" s="16" t="inlineStr">
        <is>
          <t>Dish Washer</t>
        </is>
      </c>
      <c r="E17" s="16" t="inlineStr"/>
      <c r="F17" s="16" t="inlineStr"/>
      <c r="G17" s="16" t="inlineStr"/>
      <c r="H17" s="40" t="inlineStr">
        <is>
          <t>TB, Typhoid, Jaundice, Hepatitis A&amp;B, Skin disorders</t>
        </is>
      </c>
      <c r="I17" s="16" t="inlineStr">
        <is>
          <t>Fit</t>
        </is>
      </c>
      <c r="J17" s="16" t="inlineStr"/>
    </row>
    <row r="18" ht="22" customHeight="1">
      <c r="B18" s="8" t="n">
        <v>14</v>
      </c>
      <c r="C18" s="9" t="inlineStr"/>
      <c r="D18" s="10" t="inlineStr">
        <is>
          <t>Store Keeper</t>
        </is>
      </c>
      <c r="E18" s="10" t="inlineStr"/>
      <c r="F18" s="10" t="inlineStr"/>
      <c r="G18" s="10" t="inlineStr"/>
      <c r="H18" s="43" t="inlineStr">
        <is>
          <t>TB, Typhoid, Jaundice, Hepatitis A&amp;B, Skin disorders</t>
        </is>
      </c>
      <c r="I18" s="10" t="inlineStr">
        <is>
          <t>Fit</t>
        </is>
      </c>
      <c r="J18" s="10" t="inlineStr"/>
    </row>
    <row r="19" ht="22" customHeight="1">
      <c r="B19" s="14" t="n">
        <v>15</v>
      </c>
      <c r="C19" s="15" t="inlineStr"/>
      <c r="D19" s="16" t="inlineStr">
        <is>
          <t>Delivery / Supply Staff</t>
        </is>
      </c>
      <c r="E19" s="16" t="inlineStr"/>
      <c r="F19" s="16" t="inlineStr"/>
      <c r="G19" s="16" t="inlineStr"/>
      <c r="H19" s="40" t="inlineStr">
        <is>
          <t>TB, Typhoid, Jaundice, Hepatitis A&amp;B, Skin disorders</t>
        </is>
      </c>
      <c r="I19" s="16" t="inlineStr">
        <is>
          <t>Fit</t>
        </is>
      </c>
      <c r="J19" s="16" t="inlineStr"/>
    </row>
    <row r="20" ht="22" customHeight="1">
      <c r="B20" s="8" t="n">
        <v>16</v>
      </c>
      <c r="C20" s="9" t="inlineStr"/>
      <c r="D20" s="10" t="inlineStr">
        <is>
          <t>Tea / Coffee Counter</t>
        </is>
      </c>
      <c r="E20" s="10" t="inlineStr"/>
      <c r="F20" s="10" t="inlineStr"/>
      <c r="G20" s="10" t="inlineStr"/>
      <c r="H20" s="43" t="inlineStr">
        <is>
          <t>TB, Typhoid, Jaundice, Hepatitis A&amp;B, Skin disorders</t>
        </is>
      </c>
      <c r="I20" s="10" t="inlineStr">
        <is>
          <t>Fit</t>
        </is>
      </c>
      <c r="J20" s="10" t="inlineStr"/>
    </row>
    <row r="21" ht="22" customHeight="1"/>
    <row r="22" ht="20" customHeight="1">
      <c r="B22" s="17" t="inlineStr">
        <is>
          <t>All certificates to be displayed at notice board near kitchen entrance. Any lapsed certificate: staff to be immediately suspended from food handling until renewed.</t>
        </is>
      </c>
    </row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J3"/>
    <mergeCell ref="B22:J22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CAN-11: CANTEEN COMPLAINT &amp; FEEDBACK REGISTER</t>
        </is>
      </c>
    </row>
    <row r="3" ht="25" customHeight="1">
      <c r="B3" s="2" t="inlineStr">
        <is>
          <t>A.Y.: _______  Canteen Supervisor: ___________________  Resolution Target: 48 hours</t>
        </is>
      </c>
    </row>
    <row r="4" ht="25" customHeight="1">
      <c r="B4" s="13" t="inlineStr">
        <is>
          <t>Complaint
Ref.</t>
        </is>
      </c>
      <c r="C4" s="13" t="inlineStr">
        <is>
          <t>Complainant
(Name / Roll No.)</t>
        </is>
      </c>
      <c r="D4" s="13" t="inlineStr">
        <is>
          <t>Date</t>
        </is>
      </c>
      <c r="E4" s="13" t="inlineStr">
        <is>
          <t>Nature of
Complaint</t>
        </is>
      </c>
      <c r="F4" s="13" t="inlineStr">
        <is>
          <t>Priority
(H/M/L)</t>
        </is>
      </c>
      <c r="G4" s="13" t="inlineStr">
        <is>
          <t>Assigned
To</t>
        </is>
      </c>
      <c r="H4" s="13" t="inlineStr">
        <is>
          <t>Action
Taken</t>
        </is>
      </c>
      <c r="I4" s="13" t="inlineStr">
        <is>
          <t>Status</t>
        </is>
      </c>
    </row>
    <row r="5" ht="24" customHeight="1">
      <c r="B5" s="14" t="inlineStr">
        <is>
          <t>CAN/COMP/001</t>
        </is>
      </c>
      <c r="C5" s="15" t="inlineStr"/>
      <c r="D5" s="16" t="inlineStr"/>
      <c r="E5" s="15" t="inlineStr">
        <is>
          <t>Foreign object in food</t>
        </is>
      </c>
      <c r="F5" s="14" t="inlineStr">
        <is>
          <t>H</t>
        </is>
      </c>
      <c r="G5" s="16" t="inlineStr">
        <is>
          <t>Canteen Supervisor</t>
        </is>
      </c>
      <c r="H5" s="15" t="inlineStr"/>
      <c r="I5" s="16" t="inlineStr">
        <is>
          <t>Pending</t>
        </is>
      </c>
    </row>
    <row r="6" ht="24" customHeight="1">
      <c r="B6" s="8" t="inlineStr">
        <is>
          <t>CAN/COMP/002</t>
        </is>
      </c>
      <c r="C6" s="9" t="inlineStr"/>
      <c r="D6" s="10" t="inlineStr"/>
      <c r="E6" s="9" t="inlineStr">
        <is>
          <t>Food quality — taste / freshness</t>
        </is>
      </c>
      <c r="F6" s="8" t="inlineStr">
        <is>
          <t>M</t>
        </is>
      </c>
      <c r="G6" s="10" t="inlineStr">
        <is>
          <t>Canteen Supervisor</t>
        </is>
      </c>
      <c r="H6" s="9" t="inlineStr"/>
      <c r="I6" s="10" t="inlineStr">
        <is>
          <t>Pending</t>
        </is>
      </c>
    </row>
    <row r="7" ht="24" customHeight="1">
      <c r="B7" s="14" t="inlineStr">
        <is>
          <t>CAN/COMP/003</t>
        </is>
      </c>
      <c r="C7" s="15" t="inlineStr"/>
      <c r="D7" s="16" t="inlineStr"/>
      <c r="E7" s="15" t="inlineStr">
        <is>
          <t>Food not cooked properly</t>
        </is>
      </c>
      <c r="F7" s="14" t="inlineStr">
        <is>
          <t>L</t>
        </is>
      </c>
      <c r="G7" s="16" t="inlineStr">
        <is>
          <t>Canteen Supervisor</t>
        </is>
      </c>
      <c r="H7" s="15" t="inlineStr"/>
      <c r="I7" s="16" t="inlineStr">
        <is>
          <t>Pending</t>
        </is>
      </c>
    </row>
    <row r="8" ht="24" customHeight="1">
      <c r="B8" s="8" t="inlineStr">
        <is>
          <t>CAN/COMP/004</t>
        </is>
      </c>
      <c r="C8" s="9" t="inlineStr"/>
      <c r="D8" s="10" t="inlineStr"/>
      <c r="E8" s="9" t="inlineStr">
        <is>
          <t>Short quantity / weight</t>
        </is>
      </c>
      <c r="F8" s="8" t="inlineStr">
        <is>
          <t>H</t>
        </is>
      </c>
      <c r="G8" s="10" t="inlineStr">
        <is>
          <t>Canteen Supervisor</t>
        </is>
      </c>
      <c r="H8" s="9" t="inlineStr"/>
      <c r="I8" s="10" t="inlineStr">
        <is>
          <t>Pending</t>
        </is>
      </c>
    </row>
    <row r="9" ht="24" customHeight="1">
      <c r="B9" s="14" t="inlineStr">
        <is>
          <t>CAN/COMP/005</t>
        </is>
      </c>
      <c r="C9" s="15" t="inlineStr"/>
      <c r="D9" s="16" t="inlineStr"/>
      <c r="E9" s="15" t="inlineStr">
        <is>
          <t>Unhygienic serving conditions</t>
        </is>
      </c>
      <c r="F9" s="14" t="inlineStr">
        <is>
          <t>M</t>
        </is>
      </c>
      <c r="G9" s="16" t="inlineStr">
        <is>
          <t>Canteen Supervisor</t>
        </is>
      </c>
      <c r="H9" s="15" t="inlineStr"/>
      <c r="I9" s="16" t="inlineStr">
        <is>
          <t>Pending</t>
        </is>
      </c>
    </row>
    <row r="10" ht="24" customHeight="1">
      <c r="B10" s="8" t="inlineStr">
        <is>
          <t>CAN/COMP/006</t>
        </is>
      </c>
      <c r="C10" s="9" t="inlineStr"/>
      <c r="D10" s="10" t="inlineStr"/>
      <c r="E10" s="9" t="inlineStr">
        <is>
          <t>Overpricing / wrong billing</t>
        </is>
      </c>
      <c r="F10" s="8" t="inlineStr">
        <is>
          <t>H</t>
        </is>
      </c>
      <c r="G10" s="10" t="inlineStr">
        <is>
          <t>Canteen Supervisor</t>
        </is>
      </c>
      <c r="H10" s="9" t="inlineStr"/>
      <c r="I10" s="10" t="inlineStr">
        <is>
          <t>Pending</t>
        </is>
      </c>
    </row>
    <row r="11" ht="24" customHeight="1">
      <c r="B11" s="14" t="inlineStr">
        <is>
          <t>CAN/COMP/007</t>
        </is>
      </c>
      <c r="C11" s="15" t="inlineStr"/>
      <c r="D11" s="16" t="inlineStr"/>
      <c r="E11" s="15" t="inlineStr">
        <is>
          <t>Rude behaviour of canteen staff</t>
        </is>
      </c>
      <c r="F11" s="14" t="inlineStr">
        <is>
          <t>M</t>
        </is>
      </c>
      <c r="G11" s="16" t="inlineStr">
        <is>
          <t>Canteen Supervisor</t>
        </is>
      </c>
      <c r="H11" s="15" t="inlineStr"/>
      <c r="I11" s="16" t="inlineStr">
        <is>
          <t>Pending</t>
        </is>
      </c>
    </row>
    <row r="12" ht="24" customHeight="1">
      <c r="B12" s="8" t="inlineStr">
        <is>
          <t>CAN/COMP/008</t>
        </is>
      </c>
      <c r="C12" s="9" t="inlineStr"/>
      <c r="D12" s="10" t="inlineStr"/>
      <c r="E12" s="9" t="inlineStr">
        <is>
          <t>Non-availability of menu item</t>
        </is>
      </c>
      <c r="F12" s="8" t="inlineStr">
        <is>
          <t>L</t>
        </is>
      </c>
      <c r="G12" s="10" t="inlineStr">
        <is>
          <t>Canteen Supervisor</t>
        </is>
      </c>
      <c r="H12" s="9" t="inlineStr"/>
      <c r="I12" s="10" t="inlineStr">
        <is>
          <t>Pending</t>
        </is>
      </c>
    </row>
    <row r="13" ht="24" customHeight="1">
      <c r="B13" s="14" t="inlineStr">
        <is>
          <t>CAN/COMP/009</t>
        </is>
      </c>
      <c r="C13" s="15" t="inlineStr"/>
      <c r="D13" s="16" t="inlineStr"/>
      <c r="E13" s="15" t="inlineStr">
        <is>
          <t>Dirty utensils / crockery</t>
        </is>
      </c>
      <c r="F13" s="14" t="inlineStr">
        <is>
          <t>H</t>
        </is>
      </c>
      <c r="G13" s="16" t="inlineStr">
        <is>
          <t>Canteen Supervisor</t>
        </is>
      </c>
      <c r="H13" s="15" t="inlineStr"/>
      <c r="I13" s="16" t="inlineStr">
        <is>
          <t>Pending</t>
        </is>
      </c>
    </row>
    <row r="14" ht="24" customHeight="1">
      <c r="B14" s="8" t="inlineStr">
        <is>
          <t>CAN/COMP/010</t>
        </is>
      </c>
      <c r="C14" s="9" t="inlineStr"/>
      <c r="D14" s="10" t="inlineStr"/>
      <c r="E14" s="9" t="inlineStr">
        <is>
          <t>Contaminated water / juice</t>
        </is>
      </c>
      <c r="F14" s="8" t="inlineStr">
        <is>
          <t>M</t>
        </is>
      </c>
      <c r="G14" s="10" t="inlineStr">
        <is>
          <t>Canteen Supervisor</t>
        </is>
      </c>
      <c r="H14" s="9" t="inlineStr"/>
      <c r="I14" s="10" t="inlineStr">
        <is>
          <t>Pending</t>
        </is>
      </c>
    </row>
    <row r="15" ht="24" customHeight="1">
      <c r="B15" s="14" t="inlineStr">
        <is>
          <t>CAN/COMP/011</t>
        </is>
      </c>
      <c r="C15" s="15" t="inlineStr"/>
      <c r="D15" s="16" t="inlineStr"/>
      <c r="E15" s="15" t="inlineStr">
        <is>
          <t>Slow service</t>
        </is>
      </c>
      <c r="F15" s="14" t="inlineStr">
        <is>
          <t>H</t>
        </is>
      </c>
      <c r="G15" s="16" t="inlineStr">
        <is>
          <t>Canteen Supervisor</t>
        </is>
      </c>
      <c r="H15" s="15" t="inlineStr"/>
      <c r="I15" s="16" t="inlineStr">
        <is>
          <t>Pending</t>
        </is>
      </c>
    </row>
    <row r="16" ht="24" customHeight="1">
      <c r="B16" s="8" t="inlineStr">
        <is>
          <t>CAN/COMP/012</t>
        </is>
      </c>
      <c r="C16" s="9" t="inlineStr"/>
      <c r="D16" s="10" t="inlineStr"/>
      <c r="E16" s="9" t="inlineStr">
        <is>
          <t>Canteen closed during scheduled hours</t>
        </is>
      </c>
      <c r="F16" s="8" t="inlineStr">
        <is>
          <t>M</t>
        </is>
      </c>
      <c r="G16" s="10" t="inlineStr">
        <is>
          <t>Canteen Supervisor</t>
        </is>
      </c>
      <c r="H16" s="9" t="inlineStr"/>
      <c r="I16" s="10" t="inlineStr">
        <is>
          <t>Pending</t>
        </is>
      </c>
    </row>
    <row r="17" ht="24" customHeight="1">
      <c r="B17" s="14" t="inlineStr">
        <is>
          <t>CAN/COMP/013</t>
        </is>
      </c>
      <c r="C17" s="15" t="inlineStr"/>
      <c r="D17" s="16" t="inlineStr"/>
      <c r="E17" s="15" t="inlineStr">
        <is>
          <t>Unapproved item sold</t>
        </is>
      </c>
      <c r="F17" s="14" t="inlineStr">
        <is>
          <t>L</t>
        </is>
      </c>
      <c r="G17" s="16" t="inlineStr">
        <is>
          <t>Canteen Supervisor</t>
        </is>
      </c>
      <c r="H17" s="15" t="inlineStr"/>
      <c r="I17" s="16" t="inlineStr">
        <is>
          <t>Pending</t>
        </is>
      </c>
    </row>
    <row r="18" ht="24" customHeight="1">
      <c r="B18" s="8" t="inlineStr">
        <is>
          <t>CAN/COMP/014</t>
        </is>
      </c>
      <c r="C18" s="9" t="inlineStr"/>
      <c r="D18" s="10" t="inlineStr"/>
      <c r="E18" s="9" t="inlineStr">
        <is>
          <t>Foreign object in food</t>
        </is>
      </c>
      <c r="F18" s="8" t="inlineStr">
        <is>
          <t>H</t>
        </is>
      </c>
      <c r="G18" s="10" t="inlineStr">
        <is>
          <t>Canteen Supervisor</t>
        </is>
      </c>
      <c r="H18" s="9" t="inlineStr"/>
      <c r="I18" s="10" t="inlineStr">
        <is>
          <t>Pending</t>
        </is>
      </c>
    </row>
    <row r="19" ht="24" customHeight="1">
      <c r="B19" s="14" t="inlineStr">
        <is>
          <t>CAN/COMP/015</t>
        </is>
      </c>
      <c r="C19" s="15" t="inlineStr"/>
      <c r="D19" s="16" t="inlineStr"/>
      <c r="E19" s="15" t="inlineStr">
        <is>
          <t>Food quality — taste / freshness</t>
        </is>
      </c>
      <c r="F19" s="14" t="inlineStr">
        <is>
          <t>M</t>
        </is>
      </c>
      <c r="G19" s="16" t="inlineStr">
        <is>
          <t>Canteen Supervisor</t>
        </is>
      </c>
      <c r="H19" s="15" t="inlineStr"/>
      <c r="I19" s="16" t="inlineStr">
        <is>
          <t>Pending</t>
        </is>
      </c>
    </row>
    <row r="20" ht="24" customHeight="1">
      <c r="B20" s="8" t="inlineStr">
        <is>
          <t>CAN/COMP/016</t>
        </is>
      </c>
      <c r="C20" s="9" t="inlineStr"/>
      <c r="D20" s="10" t="inlineStr"/>
      <c r="E20" s="9" t="inlineStr">
        <is>
          <t>Food not cooked properly</t>
        </is>
      </c>
      <c r="F20" s="8" t="inlineStr">
        <is>
          <t>H</t>
        </is>
      </c>
      <c r="G20" s="10" t="inlineStr">
        <is>
          <t>Canteen Supervisor</t>
        </is>
      </c>
      <c r="H20" s="9" t="inlineStr"/>
      <c r="I20" s="10" t="inlineStr">
        <is>
          <t>Pending</t>
        </is>
      </c>
    </row>
    <row r="21" ht="24" customHeight="1">
      <c r="B21" s="14" t="inlineStr">
        <is>
          <t>CAN/COMP/017</t>
        </is>
      </c>
      <c r="C21" s="15" t="inlineStr"/>
      <c r="D21" s="16" t="inlineStr"/>
      <c r="E21" s="15" t="inlineStr">
        <is>
          <t>Short quantity / weight</t>
        </is>
      </c>
      <c r="F21" s="14" t="inlineStr">
        <is>
          <t>M</t>
        </is>
      </c>
      <c r="G21" s="16" t="inlineStr">
        <is>
          <t>Canteen Supervisor</t>
        </is>
      </c>
      <c r="H21" s="15" t="inlineStr"/>
      <c r="I21" s="16" t="inlineStr">
        <is>
          <t>Pending</t>
        </is>
      </c>
    </row>
    <row r="22" ht="24" customHeight="1">
      <c r="B22" s="8" t="inlineStr">
        <is>
          <t>CAN/COMP/018</t>
        </is>
      </c>
      <c r="C22" s="9" t="inlineStr"/>
      <c r="D22" s="10" t="inlineStr"/>
      <c r="E22" s="9" t="inlineStr">
        <is>
          <t>Unhygienic serving conditions</t>
        </is>
      </c>
      <c r="F22" s="8" t="inlineStr">
        <is>
          <t>L</t>
        </is>
      </c>
      <c r="G22" s="10" t="inlineStr">
        <is>
          <t>Canteen Supervisor</t>
        </is>
      </c>
      <c r="H22" s="9" t="inlineStr"/>
      <c r="I22" s="10" t="inlineStr">
        <is>
          <t>Pending</t>
        </is>
      </c>
    </row>
    <row r="23" ht="24" customHeight="1">
      <c r="B23" s="14" t="inlineStr">
        <is>
          <t>CAN/COMP/019</t>
        </is>
      </c>
      <c r="C23" s="15" t="inlineStr"/>
      <c r="D23" s="16" t="inlineStr"/>
      <c r="E23" s="15" t="inlineStr">
        <is>
          <t>Overpricing / wrong billing</t>
        </is>
      </c>
      <c r="F23" s="14" t="inlineStr">
        <is>
          <t>H</t>
        </is>
      </c>
      <c r="G23" s="16" t="inlineStr">
        <is>
          <t>Canteen Supervisor</t>
        </is>
      </c>
      <c r="H23" s="15" t="inlineStr"/>
      <c r="I23" s="16" t="inlineStr">
        <is>
          <t>Pending</t>
        </is>
      </c>
    </row>
    <row r="24" ht="24" customHeight="1">
      <c r="B24" s="8" t="inlineStr">
        <is>
          <t>CAN/COMP/020</t>
        </is>
      </c>
      <c r="C24" s="9" t="inlineStr"/>
      <c r="D24" s="10" t="inlineStr"/>
      <c r="E24" s="9" t="inlineStr">
        <is>
          <t>Rude behaviour of canteen staff</t>
        </is>
      </c>
      <c r="F24" s="8" t="inlineStr">
        <is>
          <t>M</t>
        </is>
      </c>
      <c r="G24" s="10" t="inlineStr">
        <is>
          <t>Canteen Supervisor</t>
        </is>
      </c>
      <c r="H24" s="9" t="inlineStr"/>
      <c r="I24" s="10" t="inlineStr">
        <is>
          <t>Pending</t>
        </is>
      </c>
    </row>
    <row r="25" ht="24" customHeight="1">
      <c r="B25" s="14" t="inlineStr">
        <is>
          <t>CAN/COMP/021</t>
        </is>
      </c>
      <c r="C25" s="15" t="inlineStr"/>
      <c r="D25" s="16" t="inlineStr"/>
      <c r="E25" s="15" t="inlineStr">
        <is>
          <t>Non-availability of menu item</t>
        </is>
      </c>
      <c r="F25" s="14" t="inlineStr">
        <is>
          <t>H</t>
        </is>
      </c>
      <c r="G25" s="16" t="inlineStr">
        <is>
          <t>Canteen Supervisor</t>
        </is>
      </c>
      <c r="H25" s="15" t="inlineStr"/>
      <c r="I25" s="16" t="inlineStr">
        <is>
          <t>Pending</t>
        </is>
      </c>
    </row>
    <row r="26" ht="24" customHeight="1">
      <c r="B26" s="8" t="inlineStr">
        <is>
          <t>CAN/COMP/022</t>
        </is>
      </c>
      <c r="C26" s="9" t="inlineStr"/>
      <c r="D26" s="10" t="inlineStr"/>
      <c r="E26" s="9" t="inlineStr">
        <is>
          <t>Dirty utensils / crockery</t>
        </is>
      </c>
      <c r="F26" s="8" t="inlineStr">
        <is>
          <t>M</t>
        </is>
      </c>
      <c r="G26" s="10" t="inlineStr">
        <is>
          <t>Canteen Supervisor</t>
        </is>
      </c>
      <c r="H26" s="9" t="inlineStr"/>
      <c r="I26" s="10" t="inlineStr">
        <is>
          <t>Pending</t>
        </is>
      </c>
    </row>
    <row r="27" ht="24" customHeight="1"/>
    <row r="28" ht="24" customHeight="1">
      <c r="B28" s="35" t="inlineStr">
        <is>
          <t>COMPLAINT STATISTICS</t>
        </is>
      </c>
    </row>
    <row r="29" ht="24" customHeight="1">
      <c r="B29" s="57" t="inlineStr">
        <is>
          <t>Total Complaints</t>
        </is>
      </c>
      <c r="F29" s="27">
        <f>COUNTA(B5:B26)</f>
        <v/>
      </c>
    </row>
    <row r="30" ht="24" customHeight="1">
      <c r="B30" s="26" t="inlineStr">
        <is>
          <t>High Priority (H)</t>
        </is>
      </c>
      <c r="F30" s="37">
        <f>COUNTIF(F5:F26,"H")</f>
        <v/>
      </c>
    </row>
    <row r="31" ht="24" customHeight="1">
      <c r="B31" s="57" t="inlineStr">
        <is>
          <t>Resolved</t>
        </is>
      </c>
      <c r="F31" s="27">
        <f>COUNTIF(I5:I26,"Resolved")</f>
        <v/>
      </c>
    </row>
    <row r="32">
      <c r="B32" s="26" t="inlineStr">
        <is>
          <t>Pending</t>
        </is>
      </c>
      <c r="F32" s="37">
        <f>COUNTIF(I5:I26,"Pending")</f>
        <v/>
      </c>
    </row>
    <row r="33">
      <c r="B33" s="57" t="inlineStr">
        <is>
          <t>Resolution Rate (%)</t>
        </is>
      </c>
      <c r="F33" s="27">
        <f>IFERROR(ROUND(C30/C29*100,1),"")</f>
        <v/>
      </c>
    </row>
    <row r="34">
      <c r="B34" s="26" t="inlineStr">
        <is>
          <t>Most Common Complaint Type</t>
        </is>
      </c>
      <c r="F34" s="37" t="inlineStr"/>
    </row>
  </sheetData>
  <mergeCells count="15">
    <mergeCell ref="B31:E31"/>
    <mergeCell ref="F32:I32"/>
    <mergeCell ref="F31:I31"/>
    <mergeCell ref="B2:I2"/>
    <mergeCell ref="B30:E30"/>
    <mergeCell ref="B28:I28"/>
    <mergeCell ref="B29:E29"/>
    <mergeCell ref="B3:I3"/>
    <mergeCell ref="F29:I29"/>
    <mergeCell ref="F30:I30"/>
    <mergeCell ref="B33:E33"/>
    <mergeCell ref="B34:E34"/>
    <mergeCell ref="F34:I34"/>
    <mergeCell ref="F33:I33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22" customWidth="1" min="4" max="4"/>
    <col width="12" customWidth="1" min="5" max="5"/>
    <col width="18" customWidth="1" min="6" max="6"/>
    <col width="18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HK-02 / 03 / 04: DAILY CAMPUS CLEANING INSPECTION CHECKLIST</t>
        </is>
      </c>
    </row>
    <row r="3" ht="20" customHeight="1">
      <c r="B3" s="17" t="inlineStr">
        <is>
          <t>Rating: 1=Very Poor | 2=Poor | 3=Average | 4=Good | 5=Excellent. Any area rated ≤ 2 must be re-cleaned within 2 hours.</t>
        </is>
      </c>
    </row>
    <row r="4" ht="25" customHeight="1">
      <c r="B4" s="2" t="inlineStr">
        <is>
          <t>Date: _______  Shift: [ ] Morning  [ ] Afternoon  [ ] Evening  Inspector: ___________________  Housekeeping Head: ___________________</t>
        </is>
      </c>
    </row>
    <row r="5" ht="24" customHeight="1">
      <c r="B5" s="20" t="inlineStr">
        <is>
          <t>A. CLASSROOMS &amp; LECTURE HALLS</t>
        </is>
      </c>
    </row>
    <row r="6" ht="26" customHeight="1">
      <c r="B6" s="13" t="inlineStr">
        <is>
          <t>Sl.</t>
        </is>
      </c>
      <c r="C6" s="13" t="inlineStr">
        <is>
          <t>Checklist Item</t>
        </is>
      </c>
      <c r="D6" s="13" t="inlineStr">
        <is>
          <t>Standard / Benchmark</t>
        </is>
      </c>
      <c r="E6" s="13" t="inlineStr">
        <is>
          <t>Rating
(1–5)</t>
        </is>
      </c>
      <c r="F6" s="13" t="inlineStr">
        <is>
          <t>Observations</t>
        </is>
      </c>
      <c r="G6" s="13" t="inlineStr">
        <is>
          <t>Action Required</t>
        </is>
      </c>
      <c r="H6" s="13" t="inlineStr">
        <is>
          <t>Deadline</t>
        </is>
      </c>
    </row>
    <row r="7" ht="26" customHeight="1">
      <c r="B7" s="38" t="n">
        <v>1</v>
      </c>
      <c r="C7" s="39" t="inlineStr">
        <is>
          <t>Floor swept and mopped clean</t>
        </is>
      </c>
      <c r="D7" s="39" t="inlineStr">
        <is>
          <t>No dust, debris or food particles</t>
        </is>
      </c>
      <c r="E7" s="40" t="inlineStr"/>
      <c r="F7" s="39" t="inlineStr"/>
      <c r="G7" s="39" t="inlineStr"/>
      <c r="H7" s="40" t="inlineStr"/>
    </row>
    <row r="8" ht="26" customHeight="1">
      <c r="B8" s="41" t="n">
        <v>2</v>
      </c>
      <c r="C8" s="42" t="inlineStr">
        <is>
          <t>Desks and chairs wiped</t>
        </is>
      </c>
      <c r="D8" s="42" t="inlineStr">
        <is>
          <t>No graffiti, stains or sticky surfaces</t>
        </is>
      </c>
      <c r="E8" s="43" t="inlineStr"/>
      <c r="F8" s="42" t="inlineStr"/>
      <c r="G8" s="42" t="inlineStr"/>
      <c r="H8" s="43" t="inlineStr"/>
    </row>
    <row r="9" ht="26" customHeight="1">
      <c r="B9" s="38" t="n">
        <v>3</v>
      </c>
      <c r="C9" s="39" t="inlineStr">
        <is>
          <t>Blackboard / whiteboard cleaned</t>
        </is>
      </c>
      <c r="D9" s="39" t="inlineStr">
        <is>
          <t>Erased; marker / chalk dust removed</t>
        </is>
      </c>
      <c r="E9" s="40" t="inlineStr"/>
      <c r="F9" s="39" t="inlineStr"/>
      <c r="G9" s="39" t="inlineStr"/>
      <c r="H9" s="40" t="inlineStr"/>
    </row>
    <row r="10" ht="26" customHeight="1">
      <c r="B10" s="41" t="n">
        <v>4</v>
      </c>
      <c r="C10" s="42" t="inlineStr">
        <is>
          <t>Windows and window sills dusted</t>
        </is>
      </c>
      <c r="D10" s="42" t="inlineStr">
        <is>
          <t>No cobwebs or dust accumulation</t>
        </is>
      </c>
      <c r="E10" s="43" t="inlineStr"/>
      <c r="F10" s="42" t="inlineStr"/>
      <c r="G10" s="42" t="inlineStr"/>
      <c r="H10" s="43" t="inlineStr"/>
    </row>
    <row r="11" ht="26" customHeight="1">
      <c r="B11" s="38" t="n">
        <v>5</v>
      </c>
      <c r="C11" s="39" t="inlineStr">
        <is>
          <t>Dustbins emptied and lined</t>
        </is>
      </c>
      <c r="D11" s="39" t="inlineStr">
        <is>
          <t>Bins not overflowing; new liner placed</t>
        </is>
      </c>
      <c r="E11" s="40" t="inlineStr"/>
      <c r="F11" s="39" t="inlineStr"/>
      <c r="G11" s="39" t="inlineStr"/>
      <c r="H11" s="40" t="inlineStr"/>
    </row>
    <row r="12" ht="26" customHeight="1">
      <c r="B12" s="41" t="n">
        <v>6</v>
      </c>
      <c r="C12" s="42" t="inlineStr">
        <is>
          <t>Fan blades and lights dusted (weekly)</t>
        </is>
      </c>
      <c r="D12" s="42" t="inlineStr">
        <is>
          <t>No visible dust on blades</t>
        </is>
      </c>
      <c r="E12" s="43" t="inlineStr"/>
      <c r="F12" s="42" t="inlineStr"/>
      <c r="G12" s="42" t="inlineStr"/>
      <c r="H12" s="43" t="inlineStr"/>
    </row>
    <row r="13" ht="26" customHeight="1">
      <c r="B13" s="38" t="n">
        <v>7</v>
      </c>
      <c r="C13" s="39" t="inlineStr">
        <is>
          <t>AC / ventilation grills clean</t>
        </is>
      </c>
      <c r="D13" s="39" t="inlineStr">
        <is>
          <t>Filters cleaned as per schedule</t>
        </is>
      </c>
      <c r="E13" s="40" t="inlineStr"/>
      <c r="F13" s="39" t="inlineStr"/>
      <c r="G13" s="39" t="inlineStr"/>
      <c r="H13" s="40" t="inlineStr"/>
    </row>
    <row r="14" ht="26" customHeight="1">
      <c r="B14" s="41" t="n">
        <v>8</v>
      </c>
      <c r="C14" s="42" t="inlineStr">
        <is>
          <t>Doors and door handles wiped</t>
        </is>
      </c>
      <c r="D14" s="42" t="inlineStr">
        <is>
          <t>No fingerprints; handles sanitized</t>
        </is>
      </c>
      <c r="E14" s="43" t="inlineStr"/>
      <c r="F14" s="42" t="inlineStr"/>
      <c r="G14" s="42" t="inlineStr"/>
      <c r="H14" s="43" t="inlineStr"/>
    </row>
    <row r="15" ht="26" customHeight="1"/>
    <row r="16" ht="24" customHeight="1">
      <c r="B16" s="35" t="inlineStr">
        <is>
          <t>B. CORRIDORS, STAIRCASES &amp; COMMON AREAS</t>
        </is>
      </c>
    </row>
    <row r="17" ht="26" customHeight="1">
      <c r="B17" s="31" t="inlineStr">
        <is>
          <t>Sl.</t>
        </is>
      </c>
      <c r="C17" s="31" t="inlineStr">
        <is>
          <t>Checklist Item</t>
        </is>
      </c>
      <c r="D17" s="31" t="inlineStr">
        <is>
          <t>Standard / Benchmark</t>
        </is>
      </c>
      <c r="E17" s="31" t="inlineStr">
        <is>
          <t>Rating
(1–5)</t>
        </is>
      </c>
      <c r="F17" s="31" t="inlineStr">
        <is>
          <t>Observations</t>
        </is>
      </c>
      <c r="G17" s="31" t="inlineStr">
        <is>
          <t>Action Required</t>
        </is>
      </c>
      <c r="H17" s="31" t="inlineStr">
        <is>
          <t>Deadline</t>
        </is>
      </c>
    </row>
    <row r="18" ht="26" customHeight="1">
      <c r="B18" s="49" t="n">
        <v>1</v>
      </c>
      <c r="C18" s="50" t="inlineStr">
        <is>
          <t>Corridors swept and mopped</t>
        </is>
      </c>
      <c r="D18" s="50" t="inlineStr">
        <is>
          <t>No litter, leaves or water puddles</t>
        </is>
      </c>
      <c r="E18" s="51" t="inlineStr"/>
      <c r="F18" s="50" t="inlineStr"/>
      <c r="G18" s="50" t="inlineStr"/>
      <c r="H18" s="51" t="inlineStr"/>
    </row>
    <row r="19" ht="26" customHeight="1">
      <c r="B19" s="41" t="n">
        <v>2</v>
      </c>
      <c r="C19" s="42" t="inlineStr">
        <is>
          <t>Staircase steps cleaned</t>
        </is>
      </c>
      <c r="D19" s="42" t="inlineStr">
        <is>
          <t>No dust, slippery surfaces or debris</t>
        </is>
      </c>
      <c r="E19" s="43" t="inlineStr"/>
      <c r="F19" s="42" t="inlineStr"/>
      <c r="G19" s="42" t="inlineStr"/>
      <c r="H19" s="43" t="inlineStr"/>
    </row>
    <row r="20" ht="26" customHeight="1">
      <c r="B20" s="49" t="n">
        <v>3</v>
      </c>
      <c r="C20" s="50" t="inlineStr">
        <is>
          <t>Handrails wiped and sanitized</t>
        </is>
      </c>
      <c r="D20" s="50" t="inlineStr">
        <is>
          <t>No dust or sticky surfaces</t>
        </is>
      </c>
      <c r="E20" s="51" t="inlineStr"/>
      <c r="F20" s="50" t="inlineStr"/>
      <c r="G20" s="50" t="inlineStr"/>
      <c r="H20" s="51" t="inlineStr"/>
    </row>
    <row r="21" ht="26" customHeight="1">
      <c r="B21" s="41" t="n">
        <v>4</v>
      </c>
      <c r="C21" s="42" t="inlineStr">
        <is>
          <t>Notice boards — surrounding area clean</t>
        </is>
      </c>
      <c r="D21" s="42" t="inlineStr">
        <is>
          <t>No torn papers on floor</t>
        </is>
      </c>
      <c r="E21" s="43" t="inlineStr"/>
      <c r="F21" s="42" t="inlineStr"/>
      <c r="G21" s="42" t="inlineStr"/>
      <c r="H21" s="43" t="inlineStr"/>
    </row>
    <row r="22" ht="26" customHeight="1">
      <c r="B22" s="49" t="n">
        <v>5</v>
      </c>
      <c r="C22" s="50" t="inlineStr">
        <is>
          <t>Water cooler / dispenser area dry and clean</t>
        </is>
      </c>
      <c r="D22" s="50" t="inlineStr">
        <is>
          <t>No spillage or algae</t>
        </is>
      </c>
      <c r="E22" s="51" t="inlineStr"/>
      <c r="F22" s="50" t="inlineStr"/>
      <c r="G22" s="50" t="inlineStr"/>
      <c r="H22" s="51" t="inlineStr"/>
    </row>
    <row r="23" ht="26" customHeight="1">
      <c r="B23" s="41" t="n">
        <v>6</v>
      </c>
      <c r="C23" s="42" t="inlineStr">
        <is>
          <t>Entrance area / porch swept</t>
        </is>
      </c>
      <c r="D23" s="42" t="inlineStr">
        <is>
          <t>First impression — clean and welcoming</t>
        </is>
      </c>
      <c r="E23" s="43" t="inlineStr"/>
      <c r="F23" s="42" t="inlineStr"/>
      <c r="G23" s="42" t="inlineStr"/>
      <c r="H23" s="43" t="inlineStr"/>
    </row>
    <row r="24" ht="26" customHeight="1">
      <c r="B24" s="49" t="n">
        <v>7</v>
      </c>
      <c r="C24" s="50" t="inlineStr">
        <is>
          <t>Outdoor walkways and pathways clear</t>
        </is>
      </c>
      <c r="D24" s="50" t="inlineStr">
        <is>
          <t>No litter or water logging</t>
        </is>
      </c>
      <c r="E24" s="51" t="inlineStr"/>
      <c r="F24" s="50" t="inlineStr"/>
      <c r="G24" s="50" t="inlineStr"/>
      <c r="H24" s="51" t="inlineStr"/>
    </row>
    <row r="25" ht="26" customHeight="1">
      <c r="B25" s="41" t="n">
        <v>8</v>
      </c>
      <c r="C25" s="42" t="inlineStr">
        <is>
          <t>Waste bins on campus emptied</t>
        </is>
      </c>
      <c r="D25" s="42" t="inlineStr">
        <is>
          <t>No overflow; lids on</t>
        </is>
      </c>
      <c r="E25" s="43" t="inlineStr"/>
      <c r="F25" s="42" t="inlineStr"/>
      <c r="G25" s="42" t="inlineStr"/>
      <c r="H25" s="43" t="inlineStr"/>
    </row>
    <row r="26" ht="26" customHeight="1"/>
    <row r="27" ht="24" customHeight="1">
      <c r="B27" s="44" t="inlineStr">
        <is>
          <t>C. TOILETS &amp; WASHROOMS (Inspect 3–4 times daily)</t>
        </is>
      </c>
    </row>
    <row r="28" ht="26" customHeight="1">
      <c r="B28" s="45" t="inlineStr">
        <is>
          <t>Sl.</t>
        </is>
      </c>
      <c r="C28" s="45" t="inlineStr">
        <is>
          <t>Checklist Item</t>
        </is>
      </c>
      <c r="D28" s="45" t="inlineStr">
        <is>
          <t>Standard / Benchmark</t>
        </is>
      </c>
      <c r="E28" s="45" t="inlineStr">
        <is>
          <t>Rating
(1–5)</t>
        </is>
      </c>
      <c r="F28" s="45" t="inlineStr">
        <is>
          <t>Observations</t>
        </is>
      </c>
      <c r="G28" s="45" t="inlineStr">
        <is>
          <t>Action Required</t>
        </is>
      </c>
      <c r="H28" s="45" t="inlineStr">
        <is>
          <t>Deadline</t>
        </is>
      </c>
    </row>
    <row r="29" ht="26" customHeight="1">
      <c r="B29" s="46" t="n">
        <v>1</v>
      </c>
      <c r="C29" s="47" t="inlineStr">
        <is>
          <t>Toilet bowls / pans scrubbed and flushed</t>
        </is>
      </c>
      <c r="D29" s="47" t="inlineStr">
        <is>
          <t>No stains; flushing mechanism working</t>
        </is>
      </c>
      <c r="E29" s="48" t="inlineStr"/>
      <c r="F29" s="47" t="inlineStr"/>
      <c r="G29" s="47" t="inlineStr"/>
      <c r="H29" s="48" t="inlineStr"/>
    </row>
    <row r="30" ht="26" customHeight="1">
      <c r="B30" s="41" t="n">
        <v>2</v>
      </c>
      <c r="C30" s="42" t="inlineStr">
        <is>
          <t>Washbasin / sink cleaned and drained</t>
        </is>
      </c>
      <c r="D30" s="42" t="inlineStr">
        <is>
          <t>No blockage; no soap scum</t>
        </is>
      </c>
      <c r="E30" s="43" t="inlineStr"/>
      <c r="F30" s="42" t="inlineStr"/>
      <c r="G30" s="42" t="inlineStr"/>
      <c r="H30" s="43" t="inlineStr"/>
    </row>
    <row r="31" ht="26" customHeight="1">
      <c r="B31" s="46" t="n">
        <v>3</v>
      </c>
      <c r="C31" s="47" t="inlineStr">
        <is>
          <t>Mirrors cleaned (if applicable)</t>
        </is>
      </c>
      <c r="D31" s="47" t="inlineStr">
        <is>
          <t>Clear and streak-free</t>
        </is>
      </c>
      <c r="E31" s="48" t="inlineStr"/>
      <c r="F31" s="47" t="inlineStr"/>
      <c r="G31" s="47" t="inlineStr"/>
      <c r="H31" s="48" t="inlineStr"/>
    </row>
    <row r="32" ht="26" customHeight="1">
      <c r="B32" s="41" t="n">
        <v>4</v>
      </c>
      <c r="C32" s="42" t="inlineStr">
        <is>
          <t>Floor mopped and dry</t>
        </is>
      </c>
      <c r="D32" s="42" t="inlineStr">
        <is>
          <t>No puddles; no slippery surface</t>
        </is>
      </c>
      <c r="E32" s="43" t="inlineStr"/>
      <c r="F32" s="42" t="inlineStr"/>
      <c r="G32" s="42" t="inlineStr"/>
      <c r="H32" s="43" t="inlineStr"/>
    </row>
    <row r="33" ht="26" customHeight="1">
      <c r="B33" s="46" t="n">
        <v>5</v>
      </c>
      <c r="C33" s="47" t="inlineStr">
        <is>
          <t>Soap / handwash dispenser refilled</t>
        </is>
      </c>
      <c r="D33" s="47" t="inlineStr">
        <is>
          <t>Adequate quantity; working dispenser</t>
        </is>
      </c>
      <c r="E33" s="48" t="inlineStr"/>
      <c r="F33" s="47" t="inlineStr"/>
      <c r="G33" s="47" t="inlineStr"/>
      <c r="H33" s="48" t="inlineStr"/>
    </row>
    <row r="34" ht="26" customHeight="1">
      <c r="B34" s="41" t="n">
        <v>6</v>
      </c>
      <c r="C34" s="42" t="inlineStr">
        <is>
          <t>Toilet paper / tissue available (if provided)</t>
        </is>
      </c>
      <c r="D34" s="42" t="inlineStr">
        <is>
          <t>Adequate stock</t>
        </is>
      </c>
      <c r="E34" s="43" t="inlineStr"/>
      <c r="F34" s="42" t="inlineStr"/>
      <c r="G34" s="42" t="inlineStr"/>
      <c r="H34" s="43" t="inlineStr"/>
    </row>
    <row r="35" ht="26" customHeight="1">
      <c r="B35" s="46" t="n">
        <v>7</v>
      </c>
      <c r="C35" s="47" t="inlineStr">
        <is>
          <t>Hand sanitizer available at entry</t>
        </is>
      </c>
      <c r="D35" s="47" t="inlineStr">
        <is>
          <t>Full dispenser; working pump</t>
        </is>
      </c>
      <c r="E35" s="48" t="inlineStr"/>
      <c r="F35" s="47" t="inlineStr"/>
      <c r="G35" s="47" t="inlineStr"/>
      <c r="H35" s="48" t="inlineStr"/>
    </row>
    <row r="36" ht="26" customHeight="1">
      <c r="B36" s="41" t="n">
        <v>8</v>
      </c>
      <c r="C36" s="42" t="inlineStr">
        <is>
          <t>Exhaust fan / ventilation functional</t>
        </is>
      </c>
      <c r="D36" s="42" t="inlineStr">
        <is>
          <t>No foul odour; air circulating</t>
        </is>
      </c>
      <c r="E36" s="43" t="inlineStr"/>
      <c r="F36" s="42" t="inlineStr"/>
      <c r="G36" s="42" t="inlineStr"/>
      <c r="H36" s="43" t="inlineStr"/>
    </row>
    <row r="37" ht="26" customHeight="1">
      <c r="B37" s="46" t="n">
        <v>9</v>
      </c>
      <c r="C37" s="47" t="inlineStr">
        <is>
          <t>Taps and plumbing leak-free</t>
        </is>
      </c>
      <c r="D37" s="47" t="inlineStr">
        <is>
          <t>No dripping; no wet walls</t>
        </is>
      </c>
      <c r="E37" s="48" t="inlineStr"/>
      <c r="F37" s="47" t="inlineStr"/>
      <c r="G37" s="47" t="inlineStr"/>
      <c r="H37" s="48" t="inlineStr"/>
    </row>
    <row r="38" ht="26" customHeight="1">
      <c r="B38" s="41" t="n">
        <v>10</v>
      </c>
      <c r="C38" s="42" t="inlineStr">
        <is>
          <t>Drainage clear — no blockage</t>
        </is>
      </c>
      <c r="D38" s="42" t="inlineStr">
        <is>
          <t>Water draining properly</t>
        </is>
      </c>
      <c r="E38" s="43" t="inlineStr"/>
      <c r="F38" s="42" t="inlineStr"/>
      <c r="G38" s="42" t="inlineStr"/>
      <c r="H38" s="43" t="inlineStr"/>
    </row>
    <row r="39" ht="26" customHeight="1">
      <c r="B39" s="46" t="n">
        <v>11</v>
      </c>
      <c r="C39" s="47" t="inlineStr">
        <is>
          <t>Dustbins emptied and cleaned</t>
        </is>
      </c>
      <c r="D39" s="47" t="inlineStr">
        <is>
          <t>No overflow; no foul smell</t>
        </is>
      </c>
      <c r="E39" s="48" t="inlineStr"/>
      <c r="F39" s="47" t="inlineStr"/>
      <c r="G39" s="47" t="inlineStr"/>
      <c r="H39" s="48" t="inlineStr"/>
    </row>
    <row r="40" ht="26" customHeight="1">
      <c r="B40" s="41" t="n">
        <v>12</v>
      </c>
      <c r="C40" s="42" t="inlineStr">
        <is>
          <t>No graffiti or damage to walls/doors</t>
        </is>
      </c>
      <c r="D40" s="42" t="inlineStr">
        <is>
          <t>Clean walls; locks working</t>
        </is>
      </c>
      <c r="E40" s="43" t="inlineStr"/>
      <c r="F40" s="42" t="inlineStr"/>
      <c r="G40" s="42" t="inlineStr"/>
      <c r="H40" s="43" t="inlineStr"/>
    </row>
    <row r="41" ht="26" customHeight="1"/>
    <row r="42" ht="24" customHeight="1">
      <c r="B42" s="52" t="inlineStr">
        <is>
          <t>D. LABORATORIES &amp; WORKSHOPS</t>
        </is>
      </c>
    </row>
    <row r="43" ht="26" customHeight="1">
      <c r="B43" s="53" t="inlineStr">
        <is>
          <t>Sl.</t>
        </is>
      </c>
      <c r="C43" s="53" t="inlineStr">
        <is>
          <t>Checklist Item</t>
        </is>
      </c>
      <c r="D43" s="53" t="inlineStr">
        <is>
          <t>Standard / Benchmark</t>
        </is>
      </c>
      <c r="E43" s="53" t="inlineStr">
        <is>
          <t>Rating
(1–5)</t>
        </is>
      </c>
      <c r="F43" s="53" t="inlineStr">
        <is>
          <t>Observations</t>
        </is>
      </c>
      <c r="G43" s="53" t="inlineStr">
        <is>
          <t>Action Required</t>
        </is>
      </c>
      <c r="H43" s="53" t="inlineStr">
        <is>
          <t>Deadline</t>
        </is>
      </c>
    </row>
    <row r="44" ht="26" customHeight="1">
      <c r="B44" s="54" t="n">
        <v>1</v>
      </c>
      <c r="C44" s="55" t="inlineStr">
        <is>
          <t>Lab benches cleaned after each practical</t>
        </is>
      </c>
      <c r="D44" s="55" t="inlineStr">
        <is>
          <t>No chemicals, residue or spills</t>
        </is>
      </c>
      <c r="E44" s="56" t="inlineStr"/>
      <c r="F44" s="55" t="inlineStr"/>
      <c r="G44" s="55" t="inlineStr"/>
      <c r="H44" s="56" t="inlineStr"/>
    </row>
    <row r="45" ht="26" customHeight="1">
      <c r="B45" s="41" t="n">
        <v>2</v>
      </c>
      <c r="C45" s="42" t="inlineStr">
        <is>
          <t>Equipment and instruments wiped</t>
        </is>
      </c>
      <c r="D45" s="42" t="inlineStr">
        <is>
          <t>No dust on microscopes, meters etc.</t>
        </is>
      </c>
      <c r="E45" s="43" t="inlineStr"/>
      <c r="F45" s="42" t="inlineStr"/>
      <c r="G45" s="42" t="inlineStr"/>
      <c r="H45" s="43" t="inlineStr"/>
    </row>
    <row r="46" ht="26" customHeight="1">
      <c r="B46" s="54" t="n">
        <v>3</v>
      </c>
      <c r="C46" s="55" t="inlineStr">
        <is>
          <t>Waste chemicals disposed as per protocol</t>
        </is>
      </c>
      <c r="D46" s="55" t="inlineStr">
        <is>
          <t>SDS followed; no improper dumping</t>
        </is>
      </c>
      <c r="E46" s="56" t="inlineStr"/>
      <c r="F46" s="55" t="inlineStr"/>
      <c r="G46" s="55" t="inlineStr"/>
      <c r="H46" s="56" t="inlineStr"/>
    </row>
    <row r="47" ht="26" customHeight="1">
      <c r="B47" s="41" t="n">
        <v>4</v>
      </c>
      <c r="C47" s="42" t="inlineStr">
        <is>
          <t>Floor swept and mopped (post-practical)</t>
        </is>
      </c>
      <c r="D47" s="42" t="inlineStr">
        <is>
          <t>No broken glass or chemical spills</t>
        </is>
      </c>
      <c r="E47" s="43" t="inlineStr"/>
      <c r="F47" s="42" t="inlineStr"/>
      <c r="G47" s="42" t="inlineStr"/>
      <c r="H47" s="43" t="inlineStr"/>
    </row>
    <row r="48" ht="26" customHeight="1">
      <c r="B48" s="54" t="n">
        <v>5</v>
      </c>
      <c r="C48" s="55" t="inlineStr">
        <is>
          <t>Fume hoods and ventilation working</t>
        </is>
      </c>
      <c r="D48" s="55" t="inlineStr">
        <is>
          <t>No blockage; fan operational</t>
        </is>
      </c>
      <c r="E48" s="56" t="inlineStr"/>
      <c r="F48" s="55" t="inlineStr"/>
      <c r="G48" s="55" t="inlineStr"/>
      <c r="H48" s="56" t="inlineStr"/>
    </row>
    <row r="49" ht="26" customHeight="1">
      <c r="B49" s="41" t="n">
        <v>6</v>
      </c>
      <c r="C49" s="42" t="inlineStr">
        <is>
          <t>Fire extinguisher accessible and charged</t>
        </is>
      </c>
      <c r="D49" s="42" t="inlineStr">
        <is>
          <t>Unobstructed; pressure indicator green</t>
        </is>
      </c>
      <c r="E49" s="43" t="inlineStr"/>
      <c r="F49" s="42" t="inlineStr"/>
      <c r="G49" s="42" t="inlineStr"/>
      <c r="H49" s="43" t="inlineStr"/>
    </row>
    <row r="50" ht="26" customHeight="1">
      <c r="B50" s="54" t="n">
        <v>7</v>
      </c>
      <c r="C50" s="55" t="inlineStr">
        <is>
          <t>First aid box stocked</t>
        </is>
      </c>
      <c r="D50" s="55" t="inlineStr">
        <is>
          <t>Medicines valid; refilled after use</t>
        </is>
      </c>
      <c r="E50" s="56" t="inlineStr"/>
      <c r="F50" s="55" t="inlineStr"/>
      <c r="G50" s="55" t="inlineStr"/>
      <c r="H50" s="56" t="inlineStr"/>
    </row>
    <row r="51" ht="26" customHeight="1"/>
    <row r="52" ht="28" customHeight="1">
      <c r="B52" s="30" t="inlineStr">
        <is>
          <t>Housekeeping Staff Sign.: ___________________  Supervisor: ___________________  CHHS Coordinator: ___________________  Date: _______</t>
        </is>
      </c>
    </row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  <row r="68" ht="26" customHeight="1"/>
    <row r="69" ht="26" customHeight="1"/>
  </sheetData>
  <mergeCells count="8">
    <mergeCell ref="B27:H27"/>
    <mergeCell ref="B52:H52"/>
    <mergeCell ref="B4:H4"/>
    <mergeCell ref="B16:H16"/>
    <mergeCell ref="B2:H2"/>
    <mergeCell ref="B42:H42"/>
    <mergeCell ref="B3:H3"/>
    <mergeCell ref="B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HK-07: MONTHLY CAMPUS CLEANLINESS AUDIT FORM</t>
        </is>
      </c>
    </row>
    <row r="3" ht="25" customHeight="1">
      <c r="B3" s="2" t="inlineStr">
        <is>
          <t>Month: _______  A.Y.: _______  Audit Team: ___________________  Audit Date: _______</t>
        </is>
      </c>
    </row>
    <row r="4" ht="25" customHeight="1">
      <c r="B4" s="13" t="inlineStr">
        <is>
          <t>Area / Zone</t>
        </is>
      </c>
      <c r="C4" s="13" t="inlineStr">
        <is>
          <t>Sub-area</t>
        </is>
      </c>
      <c r="D4" s="13" t="inlineStr">
        <is>
          <t>Cleanliness
Score (1–5)</t>
        </is>
      </c>
      <c r="E4" s="13" t="inlineStr">
        <is>
          <t>Hygiene
Score (1–5)</t>
        </is>
      </c>
      <c r="F4" s="13" t="inlineStr">
        <is>
          <t>Maintenance
Score (1–5)</t>
        </is>
      </c>
      <c r="G4" s="13" t="inlineStr">
        <is>
          <t>Avg.
Score</t>
        </is>
      </c>
      <c r="H4" s="13" t="inlineStr">
        <is>
          <t>Key Issues
Found</t>
        </is>
      </c>
      <c r="I4" s="13" t="inlineStr">
        <is>
          <t>Action
Required</t>
        </is>
      </c>
    </row>
    <row r="5" ht="22" customHeight="1">
      <c r="B5" s="57" t="inlineStr">
        <is>
          <t>Academic Block</t>
        </is>
      </c>
      <c r="C5" s="15" t="inlineStr">
        <is>
          <t>Classrooms (sample 5)</t>
        </is>
      </c>
      <c r="D5" s="16" t="inlineStr"/>
      <c r="E5" s="16" t="inlineStr"/>
      <c r="F5" s="16" t="inlineStr"/>
      <c r="G5" s="27">
        <f>IFERROR(ROUND(AVERAGE(D5:F5),1),"")</f>
        <v/>
      </c>
      <c r="H5" s="15" t="inlineStr"/>
      <c r="I5" s="15" t="inlineStr"/>
    </row>
    <row r="6" ht="22" customHeight="1">
      <c r="B6" s="26" t="inlineStr">
        <is>
          <t>Academic Block</t>
        </is>
      </c>
      <c r="C6" s="9" t="inlineStr">
        <is>
          <t>Corridors &amp; Staircases</t>
        </is>
      </c>
      <c r="D6" s="10" t="inlineStr"/>
      <c r="E6" s="10" t="inlineStr"/>
      <c r="F6" s="10" t="inlineStr"/>
      <c r="G6" s="37">
        <f>IFERROR(ROUND(AVERAGE(D6:F6),1),"")</f>
        <v/>
      </c>
      <c r="H6" s="9" t="inlineStr"/>
      <c r="I6" s="9" t="inlineStr"/>
    </row>
    <row r="7" ht="22" customHeight="1">
      <c r="B7" s="57" t="inlineStr">
        <is>
          <t>Academic Block</t>
        </is>
      </c>
      <c r="C7" s="15" t="inlineStr">
        <is>
          <t>Faculty Rooms</t>
        </is>
      </c>
      <c r="D7" s="16" t="inlineStr"/>
      <c r="E7" s="16" t="inlineStr"/>
      <c r="F7" s="16" t="inlineStr"/>
      <c r="G7" s="27">
        <f>IFERROR(ROUND(AVERAGE(D7:F7),1),"")</f>
        <v/>
      </c>
      <c r="H7" s="15" t="inlineStr"/>
      <c r="I7" s="15" t="inlineStr"/>
    </row>
    <row r="8" ht="22" customHeight="1">
      <c r="B8" s="26" t="inlineStr">
        <is>
          <t>Academic Block</t>
        </is>
      </c>
      <c r="C8" s="9" t="inlineStr">
        <is>
          <t>HOD Cabins</t>
        </is>
      </c>
      <c r="D8" s="10" t="inlineStr"/>
      <c r="E8" s="10" t="inlineStr"/>
      <c r="F8" s="10" t="inlineStr"/>
      <c r="G8" s="37">
        <f>IFERROR(ROUND(AVERAGE(D8:F8),1),"")</f>
        <v/>
      </c>
      <c r="H8" s="9" t="inlineStr"/>
      <c r="I8" s="9" t="inlineStr"/>
    </row>
    <row r="9" ht="22" customHeight="1">
      <c r="B9" s="57" t="inlineStr">
        <is>
          <t>Academic Block</t>
        </is>
      </c>
      <c r="C9" s="15" t="inlineStr">
        <is>
          <t>Conference / Seminar Rooms</t>
        </is>
      </c>
      <c r="D9" s="16" t="inlineStr"/>
      <c r="E9" s="16" t="inlineStr"/>
      <c r="F9" s="16" t="inlineStr"/>
      <c r="G9" s="27">
        <f>IFERROR(ROUND(AVERAGE(D9:F9),1),"")</f>
        <v/>
      </c>
      <c r="H9" s="15" t="inlineStr"/>
      <c r="I9" s="15" t="inlineStr"/>
    </row>
    <row r="10" ht="22" customHeight="1">
      <c r="B10" s="26" t="inlineStr">
        <is>
          <t>Academic Block</t>
        </is>
      </c>
      <c r="C10" s="9" t="inlineStr">
        <is>
          <t>Boys Toilets</t>
        </is>
      </c>
      <c r="D10" s="10" t="inlineStr"/>
      <c r="E10" s="10" t="inlineStr"/>
      <c r="F10" s="10" t="inlineStr"/>
      <c r="G10" s="37">
        <f>IFERROR(ROUND(AVERAGE(D10:F10),1),"")</f>
        <v/>
      </c>
      <c r="H10" s="9" t="inlineStr"/>
      <c r="I10" s="9" t="inlineStr"/>
    </row>
    <row r="11" ht="22" customHeight="1">
      <c r="B11" s="57" t="inlineStr">
        <is>
          <t>Academic Block</t>
        </is>
      </c>
      <c r="C11" s="15" t="inlineStr">
        <is>
          <t>Girls Toilets</t>
        </is>
      </c>
      <c r="D11" s="16" t="inlineStr"/>
      <c r="E11" s="16" t="inlineStr"/>
      <c r="F11" s="16" t="inlineStr"/>
      <c r="G11" s="27">
        <f>IFERROR(ROUND(AVERAGE(D11:F11),1),"")</f>
        <v/>
      </c>
      <c r="H11" s="15" t="inlineStr"/>
      <c r="I11" s="15" t="inlineStr"/>
    </row>
    <row r="12" ht="22" customHeight="1">
      <c r="B12" s="26" t="inlineStr">
        <is>
          <t>Academic Block</t>
        </is>
      </c>
      <c r="C12" s="9" t="inlineStr">
        <is>
          <t>Differently-Abled Toilets</t>
        </is>
      </c>
      <c r="D12" s="10" t="inlineStr"/>
      <c r="E12" s="10" t="inlineStr"/>
      <c r="F12" s="10" t="inlineStr"/>
      <c r="G12" s="37">
        <f>IFERROR(ROUND(AVERAGE(D12:F12),1),"")</f>
        <v/>
      </c>
      <c r="H12" s="9" t="inlineStr"/>
      <c r="I12" s="9" t="inlineStr"/>
    </row>
    <row r="13" ht="22" customHeight="1">
      <c r="B13" s="57" t="inlineStr">
        <is>
          <t>Laboratory Block</t>
        </is>
      </c>
      <c r="C13" s="15" t="inlineStr">
        <is>
          <t>Physics / Chemistry Labs</t>
        </is>
      </c>
      <c r="D13" s="16" t="inlineStr"/>
      <c r="E13" s="16" t="inlineStr"/>
      <c r="F13" s="16" t="inlineStr"/>
      <c r="G13" s="27">
        <f>IFERROR(ROUND(AVERAGE(D13:F13),1),"")</f>
        <v/>
      </c>
      <c r="H13" s="15" t="inlineStr"/>
      <c r="I13" s="15" t="inlineStr"/>
    </row>
    <row r="14" ht="22" customHeight="1">
      <c r="B14" s="26" t="inlineStr">
        <is>
          <t>Laboratory Block</t>
        </is>
      </c>
      <c r="C14" s="9" t="inlineStr">
        <is>
          <t>Computer Labs</t>
        </is>
      </c>
      <c r="D14" s="10" t="inlineStr"/>
      <c r="E14" s="10" t="inlineStr"/>
      <c r="F14" s="10" t="inlineStr"/>
      <c r="G14" s="37">
        <f>IFERROR(ROUND(AVERAGE(D14:F14),1),"")</f>
        <v/>
      </c>
      <c r="H14" s="9" t="inlineStr"/>
      <c r="I14" s="9" t="inlineStr"/>
    </row>
    <row r="15" ht="22" customHeight="1">
      <c r="B15" s="57" t="inlineStr">
        <is>
          <t>Laboratory Block</t>
        </is>
      </c>
      <c r="C15" s="15" t="inlineStr">
        <is>
          <t>Workshop / Fabrication Area</t>
        </is>
      </c>
      <c r="D15" s="16" t="inlineStr"/>
      <c r="E15" s="16" t="inlineStr"/>
      <c r="F15" s="16" t="inlineStr"/>
      <c r="G15" s="27">
        <f>IFERROR(ROUND(AVERAGE(D15:F15),1),"")</f>
        <v/>
      </c>
      <c r="H15" s="15" t="inlineStr"/>
      <c r="I15" s="15" t="inlineStr"/>
    </row>
    <row r="16" ht="22" customHeight="1">
      <c r="B16" s="26" t="inlineStr">
        <is>
          <t>Library</t>
        </is>
      </c>
      <c r="C16" s="9" t="inlineStr">
        <is>
          <t>Reading Room</t>
        </is>
      </c>
      <c r="D16" s="10" t="inlineStr"/>
      <c r="E16" s="10" t="inlineStr"/>
      <c r="F16" s="10" t="inlineStr"/>
      <c r="G16" s="37">
        <f>IFERROR(ROUND(AVERAGE(D16:F16),1),"")</f>
        <v/>
      </c>
      <c r="H16" s="9" t="inlineStr"/>
      <c r="I16" s="9" t="inlineStr"/>
    </row>
    <row r="17" ht="22" customHeight="1">
      <c r="B17" s="57" t="inlineStr">
        <is>
          <t>Library</t>
        </is>
      </c>
      <c r="C17" s="15" t="inlineStr">
        <is>
          <t>Stacks / Book Area</t>
        </is>
      </c>
      <c r="D17" s="16" t="inlineStr"/>
      <c r="E17" s="16" t="inlineStr"/>
      <c r="F17" s="16" t="inlineStr"/>
      <c r="G17" s="27">
        <f>IFERROR(ROUND(AVERAGE(D17:F17),1),"")</f>
        <v/>
      </c>
      <c r="H17" s="15" t="inlineStr"/>
      <c r="I17" s="15" t="inlineStr"/>
    </row>
    <row r="18" ht="22" customHeight="1">
      <c r="B18" s="26" t="inlineStr">
        <is>
          <t>Administrative Block</t>
        </is>
      </c>
      <c r="C18" s="9" t="inlineStr">
        <is>
          <t>Office Areas</t>
        </is>
      </c>
      <c r="D18" s="10" t="inlineStr"/>
      <c r="E18" s="10" t="inlineStr"/>
      <c r="F18" s="10" t="inlineStr"/>
      <c r="G18" s="37">
        <f>IFERROR(ROUND(AVERAGE(D18:F18),1),"")</f>
        <v/>
      </c>
      <c r="H18" s="9" t="inlineStr"/>
      <c r="I18" s="9" t="inlineStr"/>
    </row>
    <row r="19" ht="22" customHeight="1">
      <c r="B19" s="57" t="inlineStr">
        <is>
          <t>Administrative Block</t>
        </is>
      </c>
      <c r="C19" s="15" t="inlineStr">
        <is>
          <t>Reception / Entrance</t>
        </is>
      </c>
      <c r="D19" s="16" t="inlineStr"/>
      <c r="E19" s="16" t="inlineStr"/>
      <c r="F19" s="16" t="inlineStr"/>
      <c r="G19" s="27">
        <f>IFERROR(ROUND(AVERAGE(D19:F19),1),"")</f>
        <v/>
      </c>
      <c r="H19" s="15" t="inlineStr"/>
      <c r="I19" s="15" t="inlineStr"/>
    </row>
    <row r="20" ht="22" customHeight="1">
      <c r="B20" s="26" t="inlineStr">
        <is>
          <t>Canteen &amp; Surroundings</t>
        </is>
      </c>
      <c r="C20" s="9" t="inlineStr">
        <is>
          <t>Canteen Interior</t>
        </is>
      </c>
      <c r="D20" s="10" t="inlineStr"/>
      <c r="E20" s="10" t="inlineStr"/>
      <c r="F20" s="10" t="inlineStr"/>
      <c r="G20" s="37">
        <f>IFERROR(ROUND(AVERAGE(D20:F20),1),"")</f>
        <v/>
      </c>
      <c r="H20" s="9" t="inlineStr"/>
      <c r="I20" s="9" t="inlineStr"/>
    </row>
    <row r="21" ht="22" customHeight="1">
      <c r="B21" s="57" t="inlineStr">
        <is>
          <t>Canteen &amp; Surroundings</t>
        </is>
      </c>
      <c r="C21" s="15" t="inlineStr">
        <is>
          <t>Dining Area</t>
        </is>
      </c>
      <c r="D21" s="16" t="inlineStr"/>
      <c r="E21" s="16" t="inlineStr"/>
      <c r="F21" s="16" t="inlineStr"/>
      <c r="G21" s="27">
        <f>IFERROR(ROUND(AVERAGE(D21:F21),1),"")</f>
        <v/>
      </c>
      <c r="H21" s="15" t="inlineStr"/>
      <c r="I21" s="15" t="inlineStr"/>
    </row>
    <row r="22" ht="22" customHeight="1">
      <c r="B22" s="26" t="inlineStr">
        <is>
          <t>Canteen &amp; Surroundings</t>
        </is>
      </c>
      <c r="C22" s="9" t="inlineStr">
        <is>
          <t>Surrounding Area</t>
        </is>
      </c>
      <c r="D22" s="10" t="inlineStr"/>
      <c r="E22" s="10" t="inlineStr"/>
      <c r="F22" s="10" t="inlineStr"/>
      <c r="G22" s="37">
        <f>IFERROR(ROUND(AVERAGE(D22:F22),1),"")</f>
        <v/>
      </c>
      <c r="H22" s="9" t="inlineStr"/>
      <c r="I22" s="9" t="inlineStr"/>
    </row>
    <row r="23" ht="22" customHeight="1">
      <c r="B23" s="57" t="inlineStr">
        <is>
          <t>Campus Outdoors</t>
        </is>
      </c>
      <c r="C23" s="15" t="inlineStr">
        <is>
          <t>Pathways &amp; Roads</t>
        </is>
      </c>
      <c r="D23" s="16" t="inlineStr"/>
      <c r="E23" s="16" t="inlineStr"/>
      <c r="F23" s="16" t="inlineStr"/>
      <c r="G23" s="27">
        <f>IFERROR(ROUND(AVERAGE(D23:F23),1),"")</f>
        <v/>
      </c>
      <c r="H23" s="15" t="inlineStr"/>
      <c r="I23" s="15" t="inlineStr"/>
    </row>
    <row r="24" ht="22" customHeight="1">
      <c r="B24" s="26" t="inlineStr">
        <is>
          <t>Campus Outdoors</t>
        </is>
      </c>
      <c r="C24" s="9" t="inlineStr">
        <is>
          <t>Lawn &amp; Green Areas</t>
        </is>
      </c>
      <c r="D24" s="10" t="inlineStr"/>
      <c r="E24" s="10" t="inlineStr"/>
      <c r="F24" s="10" t="inlineStr"/>
      <c r="G24" s="37">
        <f>IFERROR(ROUND(AVERAGE(D24:F24),1),"")</f>
        <v/>
      </c>
      <c r="H24" s="9" t="inlineStr"/>
      <c r="I24" s="9" t="inlineStr"/>
    </row>
    <row r="25" ht="22" customHeight="1">
      <c r="B25" s="57" t="inlineStr">
        <is>
          <t>Campus Outdoors</t>
        </is>
      </c>
      <c r="C25" s="15" t="inlineStr">
        <is>
          <t>Waste Bins — Campus</t>
        </is>
      </c>
      <c r="D25" s="16" t="inlineStr"/>
      <c r="E25" s="16" t="inlineStr"/>
      <c r="F25" s="16" t="inlineStr"/>
      <c r="G25" s="27">
        <f>IFERROR(ROUND(AVERAGE(D25:F25),1),"")</f>
        <v/>
      </c>
      <c r="H25" s="15" t="inlineStr"/>
      <c r="I25" s="15" t="inlineStr"/>
    </row>
    <row r="26" ht="22" customHeight="1">
      <c r="B26" s="26" t="inlineStr">
        <is>
          <t>Campus Outdoors</t>
        </is>
      </c>
      <c r="C26" s="9" t="inlineStr">
        <is>
          <t>Open Drains</t>
        </is>
      </c>
      <c r="D26" s="10" t="inlineStr"/>
      <c r="E26" s="10" t="inlineStr"/>
      <c r="F26" s="10" t="inlineStr"/>
      <c r="G26" s="37">
        <f>IFERROR(ROUND(AVERAGE(D26:F26),1),"")</f>
        <v/>
      </c>
      <c r="H26" s="9" t="inlineStr"/>
      <c r="I26" s="9" t="inlineStr"/>
    </row>
    <row r="27" ht="22" customHeight="1">
      <c r="B27" s="57" t="inlineStr">
        <is>
          <t>Sports Area</t>
        </is>
      </c>
      <c r="C27" s="15" t="inlineStr">
        <is>
          <t>Ground &amp; Courts</t>
        </is>
      </c>
      <c r="D27" s="16" t="inlineStr"/>
      <c r="E27" s="16" t="inlineStr"/>
      <c r="F27" s="16" t="inlineStr"/>
      <c r="G27" s="27">
        <f>IFERROR(ROUND(AVERAGE(D27:F27),1),"")</f>
        <v/>
      </c>
      <c r="H27" s="15" t="inlineStr"/>
      <c r="I27" s="15" t="inlineStr"/>
    </row>
    <row r="28" ht="22" customHeight="1">
      <c r="B28" s="26" t="inlineStr">
        <is>
          <t>Hostel Block</t>
        </is>
      </c>
      <c r="C28" s="9" t="inlineStr">
        <is>
          <t>Rooms &amp; Corridors</t>
        </is>
      </c>
      <c r="D28" s="10" t="inlineStr"/>
      <c r="E28" s="10" t="inlineStr"/>
      <c r="F28" s="10" t="inlineStr"/>
      <c r="G28" s="37">
        <f>IFERROR(ROUND(AVERAGE(D28:F28),1),"")</f>
        <v/>
      </c>
      <c r="H28" s="9" t="inlineStr"/>
      <c r="I28" s="9" t="inlineStr"/>
    </row>
    <row r="29" ht="22" customHeight="1">
      <c r="B29" s="57" t="inlineStr">
        <is>
          <t>Hostel Block</t>
        </is>
      </c>
      <c r="C29" s="15" t="inlineStr">
        <is>
          <t>Common Washrooms</t>
        </is>
      </c>
      <c r="D29" s="16" t="inlineStr"/>
      <c r="E29" s="16" t="inlineStr"/>
      <c r="F29" s="16" t="inlineStr"/>
      <c r="G29" s="27">
        <f>IFERROR(ROUND(AVERAGE(D29:F29),1),"")</f>
        <v/>
      </c>
      <c r="H29" s="15" t="inlineStr"/>
      <c r="I29" s="15" t="inlineStr"/>
    </row>
    <row r="30" ht="22" customHeight="1">
      <c r="B30" s="26" t="inlineStr">
        <is>
          <t>Hostel Block</t>
        </is>
      </c>
      <c r="C30" s="9" t="inlineStr">
        <is>
          <t>Common Room / Mess</t>
        </is>
      </c>
      <c r="D30" s="10" t="inlineStr"/>
      <c r="E30" s="10" t="inlineStr"/>
      <c r="F30" s="10" t="inlineStr"/>
      <c r="G30" s="37">
        <f>IFERROR(ROUND(AVERAGE(D30:F30),1),"")</f>
        <v/>
      </c>
      <c r="H30" s="9" t="inlineStr"/>
      <c r="I30" s="9" t="inlineStr"/>
    </row>
    <row r="31" ht="22" customHeight="1"/>
    <row r="32" ht="24" customHeight="1">
      <c r="B32" s="35" t="inlineStr">
        <is>
          <t>MONTHLY AUDIT SUMMARY</t>
        </is>
      </c>
    </row>
    <row r="33" ht="22" customHeight="1">
      <c r="B33" s="57" t="inlineStr">
        <is>
          <t>Areas Audited</t>
        </is>
      </c>
      <c r="F33" s="27">
        <f>COUNTA(B5:B30)</f>
        <v/>
      </c>
    </row>
    <row r="34" ht="22" customHeight="1">
      <c r="B34" s="26" t="inlineStr">
        <is>
          <t>Excellent (≥4.5)</t>
        </is>
      </c>
      <c r="F34" s="37">
        <f>COUNTIF(G5:G30,"&gt;="&amp;4.5)</f>
        <v/>
      </c>
    </row>
    <row r="35" ht="22" customHeight="1">
      <c r="B35" s="57" t="inlineStr">
        <is>
          <t>Good (3.5–4.4)</t>
        </is>
      </c>
      <c r="F35" s="27">
        <f>COUNTIF(G5:G30,"&gt;="&amp;3.5)-COUNTIF(G5:G30,"&gt;="&amp;4.5)</f>
        <v/>
      </c>
    </row>
    <row r="36" ht="22" customHeight="1">
      <c r="B36" s="26" t="inlineStr">
        <is>
          <t>Needs Improvement (&lt; 3.5)</t>
        </is>
      </c>
      <c r="F36" s="37">
        <f>COUNTIF(G5:G30,"&lt;"&amp;3.5)</f>
        <v/>
      </c>
    </row>
    <row r="37" ht="22" customHeight="1">
      <c r="B37" s="57" t="inlineStr">
        <is>
          <t>Campus Average Score (/5)</t>
        </is>
      </c>
      <c r="F37" s="27">
        <f>IFERROR(ROUND(AVERAGE(G5:G30),2),"")</f>
        <v/>
      </c>
    </row>
    <row r="38">
      <c r="B38" s="26" t="inlineStr">
        <is>
          <t>Action Items Raised</t>
        </is>
      </c>
      <c r="F38" s="37">
        <f>COUNTA(I5:I30)</f>
        <v/>
      </c>
    </row>
  </sheetData>
  <mergeCells count="15">
    <mergeCell ref="B35:E35"/>
    <mergeCell ref="F35:I35"/>
    <mergeCell ref="B37:E37"/>
    <mergeCell ref="B2:I2"/>
    <mergeCell ref="B38:E38"/>
    <mergeCell ref="B3:I3"/>
    <mergeCell ref="B33:E33"/>
    <mergeCell ref="F37:I37"/>
    <mergeCell ref="F38:I38"/>
    <mergeCell ref="B34:E34"/>
    <mergeCell ref="F34:I34"/>
    <mergeCell ref="F33:I33"/>
    <mergeCell ref="B32:I32"/>
    <mergeCell ref="B36:E36"/>
    <mergeCell ref="F36:I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HK-08: HOUSEKEEPING SUPPLIES INVENTORY REGISTER</t>
        </is>
      </c>
    </row>
    <row r="3" ht="25" customHeight="1">
      <c r="B3" s="2" t="inlineStr">
        <is>
          <t>Month: _______  A.Y.: _______  Housekeeping Supervisor: ___________________</t>
        </is>
      </c>
    </row>
    <row r="4" ht="25" customHeight="1">
      <c r="B4" s="13" t="inlineStr">
        <is>
          <t>Item
Ref.</t>
        </is>
      </c>
      <c r="C4" s="13" t="inlineStr">
        <is>
          <t>Supply Item</t>
        </is>
      </c>
      <c r="D4" s="13" t="inlineStr">
        <is>
          <t>Category</t>
        </is>
      </c>
      <c r="E4" s="13" t="inlineStr">
        <is>
          <t>Unit</t>
        </is>
      </c>
      <c r="F4" s="13" t="inlineStr">
        <is>
          <t>Opening
Stock</t>
        </is>
      </c>
      <c r="G4" s="13" t="inlineStr">
        <is>
          <t>Purchased
This Month</t>
        </is>
      </c>
      <c r="H4" s="13" t="inlineStr">
        <is>
          <t>Consumed</t>
        </is>
      </c>
      <c r="I4" s="13" t="inlineStr">
        <is>
          <t>Closing
Stock</t>
        </is>
      </c>
      <c r="J4" s="13" t="inlineStr">
        <is>
          <t>Reorder
Level</t>
        </is>
      </c>
      <c r="K4" s="13" t="inlineStr">
        <is>
          <t>Status</t>
        </is>
      </c>
    </row>
    <row r="5" ht="22" customHeight="1">
      <c r="B5" s="14" t="inlineStr">
        <is>
          <t>SUPP/001</t>
        </is>
      </c>
      <c r="C5" s="15" t="inlineStr">
        <is>
          <t>Phenyl / Disinfectant Floor Cleaner</t>
        </is>
      </c>
      <c r="D5" s="16" t="inlineStr">
        <is>
          <t>Cleaning Chemical</t>
        </is>
      </c>
      <c r="E5" s="16" t="inlineStr">
        <is>
          <t>Nos./Ltrs</t>
        </is>
      </c>
      <c r="F5" s="16" t="inlineStr"/>
      <c r="G5" s="16" t="inlineStr"/>
      <c r="H5" s="16" t="inlineStr"/>
      <c r="I5" s="27">
        <f>IFERROR(F5+G5-H5,"")</f>
        <v/>
      </c>
      <c r="J5" s="16" t="inlineStr"/>
      <c r="K5" s="16" t="inlineStr">
        <is>
          <t>Adequate</t>
        </is>
      </c>
    </row>
    <row r="6" ht="22" customHeight="1">
      <c r="B6" s="8" t="inlineStr">
        <is>
          <t>SUPP/002</t>
        </is>
      </c>
      <c r="C6" s="9" t="inlineStr">
        <is>
          <t>Toilet Cleaner (Acid / Harpic)</t>
        </is>
      </c>
      <c r="D6" s="10" t="inlineStr">
        <is>
          <t>Cleaning Chemical</t>
        </is>
      </c>
      <c r="E6" s="10" t="inlineStr">
        <is>
          <t>Nos./Ltrs</t>
        </is>
      </c>
      <c r="F6" s="10" t="inlineStr"/>
      <c r="G6" s="10" t="inlineStr"/>
      <c r="H6" s="10" t="inlineStr"/>
      <c r="I6" s="37">
        <f>IFERROR(F6+G6-H6,"")</f>
        <v/>
      </c>
      <c r="J6" s="10" t="inlineStr"/>
      <c r="K6" s="10" t="inlineStr">
        <is>
          <t>Adequate</t>
        </is>
      </c>
    </row>
    <row r="7" ht="22" customHeight="1">
      <c r="B7" s="14" t="inlineStr">
        <is>
          <t>SUPP/003</t>
        </is>
      </c>
      <c r="C7" s="15" t="inlineStr">
        <is>
          <t>Glass Cleaner</t>
        </is>
      </c>
      <c r="D7" s="16" t="inlineStr">
        <is>
          <t>Cleaning Chemical</t>
        </is>
      </c>
      <c r="E7" s="16" t="inlineStr">
        <is>
          <t>Nos./Ltrs</t>
        </is>
      </c>
      <c r="F7" s="16" t="inlineStr"/>
      <c r="G7" s="16" t="inlineStr"/>
      <c r="H7" s="16" t="inlineStr"/>
      <c r="I7" s="27">
        <f>IFERROR(F7+G7-H7,"")</f>
        <v/>
      </c>
      <c r="J7" s="16" t="inlineStr"/>
      <c r="K7" s="16" t="inlineStr">
        <is>
          <t>Adequate</t>
        </is>
      </c>
    </row>
    <row r="8" ht="22" customHeight="1">
      <c r="B8" s="8" t="inlineStr">
        <is>
          <t>SUPP/004</t>
        </is>
      </c>
      <c r="C8" s="9" t="inlineStr">
        <is>
          <t>General Purpose Cleaner / Multi-surface</t>
        </is>
      </c>
      <c r="D8" s="10" t="inlineStr">
        <is>
          <t>Cleaning Chemical</t>
        </is>
      </c>
      <c r="E8" s="10" t="inlineStr">
        <is>
          <t>Nos./Ltrs</t>
        </is>
      </c>
      <c r="F8" s="10" t="inlineStr"/>
      <c r="G8" s="10" t="inlineStr"/>
      <c r="H8" s="10" t="inlineStr"/>
      <c r="I8" s="37">
        <f>IFERROR(F8+G8-H8,"")</f>
        <v/>
      </c>
      <c r="J8" s="10" t="inlineStr"/>
      <c r="K8" s="10" t="inlineStr">
        <is>
          <t>Adequate</t>
        </is>
      </c>
    </row>
    <row r="9" ht="22" customHeight="1">
      <c r="B9" s="14" t="inlineStr">
        <is>
          <t>SUPP/005</t>
        </is>
      </c>
      <c r="C9" s="15" t="inlineStr">
        <is>
          <t>Hand Wash Liquid / Soap</t>
        </is>
      </c>
      <c r="D9" s="16" t="inlineStr">
        <is>
          <t>Hygiene Product</t>
        </is>
      </c>
      <c r="E9" s="16" t="inlineStr">
        <is>
          <t>Nos./Ltrs</t>
        </is>
      </c>
      <c r="F9" s="16" t="inlineStr"/>
      <c r="G9" s="16" t="inlineStr"/>
      <c r="H9" s="16" t="inlineStr"/>
      <c r="I9" s="27">
        <f>IFERROR(F9+G9-H9,"")</f>
        <v/>
      </c>
      <c r="J9" s="16" t="inlineStr"/>
      <c r="K9" s="16" t="inlineStr">
        <is>
          <t>Adequate</t>
        </is>
      </c>
    </row>
    <row r="10" ht="22" customHeight="1">
      <c r="B10" s="8" t="inlineStr">
        <is>
          <t>SUPP/006</t>
        </is>
      </c>
      <c r="C10" s="9" t="inlineStr">
        <is>
          <t>Hand Sanitizer (liquid)</t>
        </is>
      </c>
      <c r="D10" s="10" t="inlineStr">
        <is>
          <t>Hygiene Product</t>
        </is>
      </c>
      <c r="E10" s="10" t="inlineStr">
        <is>
          <t>Nos./Ltrs</t>
        </is>
      </c>
      <c r="F10" s="10" t="inlineStr"/>
      <c r="G10" s="10" t="inlineStr"/>
      <c r="H10" s="10" t="inlineStr"/>
      <c r="I10" s="37">
        <f>IFERROR(F10+G10-H10,"")</f>
        <v/>
      </c>
      <c r="J10" s="10" t="inlineStr"/>
      <c r="K10" s="10" t="inlineStr">
        <is>
          <t>Adequate</t>
        </is>
      </c>
    </row>
    <row r="11" ht="22" customHeight="1">
      <c r="B11" s="14" t="inlineStr">
        <is>
          <t>SUPP/007</t>
        </is>
      </c>
      <c r="C11" s="15" t="inlineStr">
        <is>
          <t>Toilet Paper / Tissue Rolls</t>
        </is>
      </c>
      <c r="D11" s="16" t="inlineStr">
        <is>
          <t>Consumable</t>
        </is>
      </c>
      <c r="E11" s="16" t="inlineStr">
        <is>
          <t>Nos./Ltrs</t>
        </is>
      </c>
      <c r="F11" s="16" t="inlineStr"/>
      <c r="G11" s="16" t="inlineStr"/>
      <c r="H11" s="16" t="inlineStr"/>
      <c r="I11" s="27">
        <f>IFERROR(F11+G11-H11,"")</f>
        <v/>
      </c>
      <c r="J11" s="16" t="inlineStr"/>
      <c r="K11" s="16" t="inlineStr">
        <is>
          <t>Adequate</t>
        </is>
      </c>
    </row>
    <row r="12" ht="22" customHeight="1">
      <c r="B12" s="8" t="inlineStr">
        <is>
          <t>SUPP/008</t>
        </is>
      </c>
      <c r="C12" s="9" t="inlineStr">
        <is>
          <t>Naphthalene Balls / Urinal Cubes</t>
        </is>
      </c>
      <c r="D12" s="10" t="inlineStr">
        <is>
          <t>Hygiene Product</t>
        </is>
      </c>
      <c r="E12" s="10" t="inlineStr">
        <is>
          <t>Nos./Ltrs</t>
        </is>
      </c>
      <c r="F12" s="10" t="inlineStr"/>
      <c r="G12" s="10" t="inlineStr"/>
      <c r="H12" s="10" t="inlineStr"/>
      <c r="I12" s="37">
        <f>IFERROR(F12+G12-H12,"")</f>
        <v/>
      </c>
      <c r="J12" s="10" t="inlineStr"/>
      <c r="K12" s="10" t="inlineStr">
        <is>
          <t>Adequate</t>
        </is>
      </c>
    </row>
    <row r="13" ht="22" customHeight="1">
      <c r="B13" s="14" t="inlineStr">
        <is>
          <t>SUPP/009</t>
        </is>
      </c>
      <c r="C13" s="15" t="inlineStr">
        <is>
          <t>Brooms (Hard / Soft)</t>
        </is>
      </c>
      <c r="D13" s="16" t="inlineStr">
        <is>
          <t>Equipment</t>
        </is>
      </c>
      <c r="E13" s="16" t="inlineStr">
        <is>
          <t>Nos./Ltrs</t>
        </is>
      </c>
      <c r="F13" s="16" t="inlineStr"/>
      <c r="G13" s="16" t="inlineStr"/>
      <c r="H13" s="16" t="inlineStr"/>
      <c r="I13" s="27">
        <f>IFERROR(F13+G13-H13,"")</f>
        <v/>
      </c>
      <c r="J13" s="16" t="inlineStr"/>
      <c r="K13" s="16" t="inlineStr">
        <is>
          <t>Adequate</t>
        </is>
      </c>
    </row>
    <row r="14" ht="22" customHeight="1">
      <c r="B14" s="8" t="inlineStr">
        <is>
          <t>SUPP/010</t>
        </is>
      </c>
      <c r="C14" s="9" t="inlineStr">
        <is>
          <t>Mops and Mop Buckets</t>
        </is>
      </c>
      <c r="D14" s="10" t="inlineStr">
        <is>
          <t>Equipment</t>
        </is>
      </c>
      <c r="E14" s="10" t="inlineStr">
        <is>
          <t>Nos./Ltrs</t>
        </is>
      </c>
      <c r="F14" s="10" t="inlineStr"/>
      <c r="G14" s="10" t="inlineStr"/>
      <c r="H14" s="10" t="inlineStr"/>
      <c r="I14" s="37">
        <f>IFERROR(F14+G14-H14,"")</f>
        <v/>
      </c>
      <c r="J14" s="10" t="inlineStr"/>
      <c r="K14" s="10" t="inlineStr">
        <is>
          <t>Adequate</t>
        </is>
      </c>
    </row>
    <row r="15" ht="22" customHeight="1">
      <c r="B15" s="14" t="inlineStr">
        <is>
          <t>SUPP/011</t>
        </is>
      </c>
      <c r="C15" s="15" t="inlineStr">
        <is>
          <t>Scrubbing Brushes</t>
        </is>
      </c>
      <c r="D15" s="16" t="inlineStr">
        <is>
          <t>Equipment</t>
        </is>
      </c>
      <c r="E15" s="16" t="inlineStr">
        <is>
          <t>Nos./Ltrs</t>
        </is>
      </c>
      <c r="F15" s="16" t="inlineStr"/>
      <c r="G15" s="16" t="inlineStr"/>
      <c r="H15" s="16" t="inlineStr"/>
      <c r="I15" s="27">
        <f>IFERROR(F15+G15-H15,"")</f>
        <v/>
      </c>
      <c r="J15" s="16" t="inlineStr"/>
      <c r="K15" s="16" t="inlineStr">
        <is>
          <t>Adequate</t>
        </is>
      </c>
    </row>
    <row r="16" ht="22" customHeight="1">
      <c r="B16" s="8" t="inlineStr">
        <is>
          <t>SUPP/012</t>
        </is>
      </c>
      <c r="C16" s="9" t="inlineStr">
        <is>
          <t>Dustpans</t>
        </is>
      </c>
      <c r="D16" s="10" t="inlineStr">
        <is>
          <t>Equipment</t>
        </is>
      </c>
      <c r="E16" s="10" t="inlineStr">
        <is>
          <t>Nos./Ltrs</t>
        </is>
      </c>
      <c r="F16" s="10" t="inlineStr"/>
      <c r="G16" s="10" t="inlineStr"/>
      <c r="H16" s="10" t="inlineStr"/>
      <c r="I16" s="37">
        <f>IFERROR(F16+G16-H16,"")</f>
        <v/>
      </c>
      <c r="J16" s="10" t="inlineStr"/>
      <c r="K16" s="10" t="inlineStr">
        <is>
          <t>Adequate</t>
        </is>
      </c>
    </row>
    <row r="17" ht="22" customHeight="1">
      <c r="B17" s="14" t="inlineStr">
        <is>
          <t>SUPP/013</t>
        </is>
      </c>
      <c r="C17" s="15" t="inlineStr">
        <is>
          <t>Dustbin Liners / Garbage Bags</t>
        </is>
      </c>
      <c r="D17" s="16" t="inlineStr">
        <is>
          <t>Consumable</t>
        </is>
      </c>
      <c r="E17" s="16" t="inlineStr">
        <is>
          <t>Nos./Ltrs</t>
        </is>
      </c>
      <c r="F17" s="16" t="inlineStr"/>
      <c r="G17" s="16" t="inlineStr"/>
      <c r="H17" s="16" t="inlineStr"/>
      <c r="I17" s="27">
        <f>IFERROR(F17+G17-H17,"")</f>
        <v/>
      </c>
      <c r="J17" s="16" t="inlineStr"/>
      <c r="K17" s="16" t="inlineStr">
        <is>
          <t>Adequate</t>
        </is>
      </c>
    </row>
    <row r="18" ht="22" customHeight="1">
      <c r="B18" s="8" t="inlineStr">
        <is>
          <t>SUPP/014</t>
        </is>
      </c>
      <c r="C18" s="9" t="inlineStr">
        <is>
          <t>Dusting Cloths / Mop Cloths</t>
        </is>
      </c>
      <c r="D18" s="10" t="inlineStr">
        <is>
          <t>Equipment</t>
        </is>
      </c>
      <c r="E18" s="10" t="inlineStr">
        <is>
          <t>Nos./Ltrs</t>
        </is>
      </c>
      <c r="F18" s="10" t="inlineStr"/>
      <c r="G18" s="10" t="inlineStr"/>
      <c r="H18" s="10" t="inlineStr"/>
      <c r="I18" s="37">
        <f>IFERROR(F18+G18-H18,"")</f>
        <v/>
      </c>
      <c r="J18" s="10" t="inlineStr"/>
      <c r="K18" s="10" t="inlineStr">
        <is>
          <t>Adequate</t>
        </is>
      </c>
    </row>
    <row r="19" ht="22" customHeight="1">
      <c r="B19" s="14" t="inlineStr">
        <is>
          <t>SUPP/015</t>
        </is>
      </c>
      <c r="C19" s="15" t="inlineStr">
        <is>
          <t>Scotch-Brite / Scrubbers</t>
        </is>
      </c>
      <c r="D19" s="16" t="inlineStr">
        <is>
          <t>Equipment</t>
        </is>
      </c>
      <c r="E19" s="16" t="inlineStr">
        <is>
          <t>Nos./Ltrs</t>
        </is>
      </c>
      <c r="F19" s="16" t="inlineStr"/>
      <c r="G19" s="16" t="inlineStr"/>
      <c r="H19" s="16" t="inlineStr"/>
      <c r="I19" s="27">
        <f>IFERROR(F19+G19-H19,"")</f>
        <v/>
      </c>
      <c r="J19" s="16" t="inlineStr"/>
      <c r="K19" s="16" t="inlineStr">
        <is>
          <t>Adequate</t>
        </is>
      </c>
    </row>
    <row r="20" ht="22" customHeight="1">
      <c r="B20" s="8" t="inlineStr">
        <is>
          <t>SUPP/016</t>
        </is>
      </c>
      <c r="C20" s="9" t="inlineStr">
        <is>
          <t>Room Freshener / Air Freshener</t>
        </is>
      </c>
      <c r="D20" s="10" t="inlineStr">
        <is>
          <t>Hygiene Product</t>
        </is>
      </c>
      <c r="E20" s="10" t="inlineStr">
        <is>
          <t>Nos./Ltrs</t>
        </is>
      </c>
      <c r="F20" s="10" t="inlineStr"/>
      <c r="G20" s="10" t="inlineStr"/>
      <c r="H20" s="10" t="inlineStr"/>
      <c r="I20" s="37">
        <f>IFERROR(F20+G20-H20,"")</f>
        <v/>
      </c>
      <c r="J20" s="10" t="inlineStr"/>
      <c r="K20" s="10" t="inlineStr">
        <is>
          <t>Adequate</t>
        </is>
      </c>
    </row>
    <row r="21" ht="22" customHeight="1">
      <c r="B21" s="14" t="inlineStr">
        <is>
          <t>SUPP/017</t>
        </is>
      </c>
      <c r="C21" s="15" t="inlineStr">
        <is>
          <t>Pest Control Spray (Approved)</t>
        </is>
      </c>
      <c r="D21" s="16" t="inlineStr">
        <is>
          <t>Pest Control</t>
        </is>
      </c>
      <c r="E21" s="16" t="inlineStr">
        <is>
          <t>Nos./Ltrs</t>
        </is>
      </c>
      <c r="F21" s="16" t="inlineStr"/>
      <c r="G21" s="16" t="inlineStr"/>
      <c r="H21" s="16" t="inlineStr"/>
      <c r="I21" s="27">
        <f>IFERROR(F21+G21-H21,"")</f>
        <v/>
      </c>
      <c r="J21" s="16" t="inlineStr"/>
      <c r="K21" s="16" t="inlineStr">
        <is>
          <t>Adequate</t>
        </is>
      </c>
    </row>
    <row r="22" ht="22" customHeight="1">
      <c r="B22" s="8" t="inlineStr">
        <is>
          <t>SUPP/018</t>
        </is>
      </c>
      <c r="C22" s="9" t="inlineStr">
        <is>
          <t>Rat / Cockroach Trap</t>
        </is>
      </c>
      <c r="D22" s="10" t="inlineStr">
        <is>
          <t>Pest Control</t>
        </is>
      </c>
      <c r="E22" s="10" t="inlineStr">
        <is>
          <t>Nos./Ltrs</t>
        </is>
      </c>
      <c r="F22" s="10" t="inlineStr"/>
      <c r="G22" s="10" t="inlineStr"/>
      <c r="H22" s="10" t="inlineStr"/>
      <c r="I22" s="37">
        <f>IFERROR(F22+G22-H22,"")</f>
        <v/>
      </c>
      <c r="J22" s="10" t="inlineStr"/>
      <c r="K22" s="10" t="inlineStr">
        <is>
          <t>Adequate</t>
        </is>
      </c>
    </row>
    <row r="23" ht="22" customHeight="1">
      <c r="B23" s="14" t="inlineStr">
        <is>
          <t>SUPP/019</t>
        </is>
      </c>
      <c r="C23" s="15" t="inlineStr">
        <is>
          <t>Cleaning Gloves (Rubber)</t>
        </is>
      </c>
      <c r="D23" s="16" t="inlineStr">
        <is>
          <t>PPE</t>
        </is>
      </c>
      <c r="E23" s="16" t="inlineStr">
        <is>
          <t>Nos./Ltrs</t>
        </is>
      </c>
      <c r="F23" s="16" t="inlineStr"/>
      <c r="G23" s="16" t="inlineStr"/>
      <c r="H23" s="16" t="inlineStr"/>
      <c r="I23" s="27">
        <f>IFERROR(F23+G23-H23,"")</f>
        <v/>
      </c>
      <c r="J23" s="16" t="inlineStr"/>
      <c r="K23" s="16" t="inlineStr">
        <is>
          <t>Adequate</t>
        </is>
      </c>
    </row>
    <row r="24" ht="22" customHeight="1">
      <c r="B24" s="8" t="inlineStr">
        <is>
          <t>SUPP/020</t>
        </is>
      </c>
      <c r="C24" s="9" t="inlineStr">
        <is>
          <t>Face Mask (for cleaners)</t>
        </is>
      </c>
      <c r="D24" s="10" t="inlineStr">
        <is>
          <t>PPE</t>
        </is>
      </c>
      <c r="E24" s="10" t="inlineStr">
        <is>
          <t>Nos./Ltrs</t>
        </is>
      </c>
      <c r="F24" s="10" t="inlineStr"/>
      <c r="G24" s="10" t="inlineStr"/>
      <c r="H24" s="10" t="inlineStr"/>
      <c r="I24" s="37">
        <f>IFERROR(F24+G24-H24,"")</f>
        <v/>
      </c>
      <c r="J24" s="10" t="inlineStr"/>
      <c r="K24" s="10" t="inlineStr">
        <is>
          <t>Adequate</t>
        </is>
      </c>
    </row>
    <row r="25" ht="22" customHeight="1">
      <c r="B25" s="14" t="inlineStr">
        <is>
          <t>SUPP/021</t>
        </is>
      </c>
      <c r="C25" s="15" t="inlineStr">
        <is>
          <t>Signage — Wet Floor</t>
        </is>
      </c>
      <c r="D25" s="16" t="inlineStr">
        <is>
          <t>Safety</t>
        </is>
      </c>
      <c r="E25" s="16" t="inlineStr">
        <is>
          <t>Nos./Ltrs</t>
        </is>
      </c>
      <c r="F25" s="16" t="inlineStr"/>
      <c r="G25" s="16" t="inlineStr"/>
      <c r="H25" s="16" t="inlineStr"/>
      <c r="I25" s="27">
        <f>IFERROR(F25+G25-H25,"")</f>
        <v/>
      </c>
      <c r="J25" s="16" t="inlineStr"/>
      <c r="K25" s="16" t="inlineStr">
        <is>
          <t>Adequate</t>
        </is>
      </c>
    </row>
    <row r="26" ht="22" customHeight="1">
      <c r="B26" s="8" t="inlineStr">
        <is>
          <t>SUPP/022</t>
        </is>
      </c>
      <c r="C26" s="9" t="inlineStr">
        <is>
          <t>Caution Cones</t>
        </is>
      </c>
      <c r="D26" s="10" t="inlineStr">
        <is>
          <t>Safety</t>
        </is>
      </c>
      <c r="E26" s="10" t="inlineStr">
        <is>
          <t>Nos./Ltrs</t>
        </is>
      </c>
      <c r="F26" s="10" t="inlineStr"/>
      <c r="G26" s="10" t="inlineStr"/>
      <c r="H26" s="10" t="inlineStr"/>
      <c r="I26" s="37">
        <f>IFERROR(F26+G26-H26,"")</f>
        <v/>
      </c>
      <c r="J26" s="10" t="inlineStr"/>
      <c r="K26" s="10" t="inlineStr">
        <is>
          <t>Adequate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HK-10: WASTE SEGREGATION &amp; DISPOSAL REGISTER</t>
        </is>
      </c>
    </row>
    <row r="3" ht="20" customHeight="1">
      <c r="B3" s="17" t="inlineStr">
        <is>
          <t>Mandatory: Solid Waste Management Rules 2016. Segregate waste at source — Green bin (Wet/Organic), Blue bin (Dry/Recyclable), Black/Red bin (Hazardous/Rejects). Biomedical and e-waste — separate certified disposal.</t>
        </is>
      </c>
    </row>
    <row r="4" ht="25" customHeight="1">
      <c r="B4" s="62" t="inlineStr">
        <is>
          <t>Date</t>
        </is>
      </c>
      <c r="C4" s="62" t="inlineStr">
        <is>
          <t>Waste Category</t>
        </is>
      </c>
      <c r="D4" s="62" t="inlineStr">
        <is>
          <t>Quantity
Collected (kg)</t>
        </is>
      </c>
      <c r="E4" s="62" t="inlineStr">
        <is>
          <t>Collection
Points</t>
        </is>
      </c>
      <c r="F4" s="62" t="inlineStr">
        <is>
          <t>Segregation
Compliance</t>
        </is>
      </c>
      <c r="G4" s="62" t="inlineStr">
        <is>
          <t>Disposal
Method</t>
        </is>
      </c>
      <c r="H4" s="62" t="inlineStr">
        <is>
          <t>Disposal
Agency</t>
        </is>
      </c>
      <c r="I4" s="62" t="inlineStr">
        <is>
          <t>Disposal
Date</t>
        </is>
      </c>
      <c r="J4" s="62" t="inlineStr">
        <is>
          <t>Remarks</t>
        </is>
      </c>
    </row>
    <row r="5" ht="22" customHeight="1">
      <c r="B5" s="63" t="inlineStr"/>
      <c r="C5" s="64" t="inlineStr">
        <is>
          <t>Wet / Organic (Food waste, Garden)</t>
        </is>
      </c>
      <c r="D5" s="63" t="inlineStr"/>
      <c r="E5" s="63" t="inlineStr"/>
      <c r="F5" s="63" t="inlineStr">
        <is>
          <t>Y</t>
        </is>
      </c>
      <c r="G5" s="63" t="inlineStr">
        <is>
          <t>Composting (on-campus)</t>
        </is>
      </c>
      <c r="H5" s="63" t="inlineStr"/>
      <c r="I5" s="63" t="inlineStr"/>
      <c r="J5" s="65" t="inlineStr"/>
    </row>
    <row r="6" ht="22" customHeight="1">
      <c r="B6" s="10" t="inlineStr"/>
      <c r="C6" s="26" t="inlineStr">
        <is>
          <t>Dry Recyclable (Paper, Plastic, Metal)</t>
        </is>
      </c>
      <c r="D6" s="10" t="inlineStr"/>
      <c r="E6" s="10" t="inlineStr"/>
      <c r="F6" s="10" t="inlineStr">
        <is>
          <t>Y</t>
        </is>
      </c>
      <c r="G6" s="10" t="inlineStr">
        <is>
          <t>Biogas Plant (on-campus)</t>
        </is>
      </c>
      <c r="H6" s="10" t="inlineStr"/>
      <c r="I6" s="10" t="inlineStr"/>
      <c r="J6" s="9" t="inlineStr"/>
    </row>
    <row r="7" ht="22" customHeight="1">
      <c r="B7" s="63" t="inlineStr"/>
      <c r="C7" s="64" t="inlineStr">
        <is>
          <t>Hazardous / Rejects (Sanitary, Soiled)</t>
        </is>
      </c>
      <c r="D7" s="63" t="inlineStr"/>
      <c r="E7" s="63" t="inlineStr"/>
      <c r="F7" s="63" t="inlineStr">
        <is>
          <t>Y</t>
        </is>
      </c>
      <c r="G7" s="63" t="inlineStr">
        <is>
          <t>Municipal Corporation Collection</t>
        </is>
      </c>
      <c r="H7" s="63" t="inlineStr"/>
      <c r="I7" s="63" t="inlineStr"/>
      <c r="J7" s="65" t="inlineStr"/>
    </row>
    <row r="8" ht="22" customHeight="1">
      <c r="B8" s="10" t="inlineStr"/>
      <c r="C8" s="26" t="inlineStr">
        <is>
          <t>Biomedical / Lab Waste</t>
        </is>
      </c>
      <c r="D8" s="10" t="inlineStr"/>
      <c r="E8" s="10" t="inlineStr"/>
      <c r="F8" s="10" t="inlineStr">
        <is>
          <t>Y</t>
        </is>
      </c>
      <c r="G8" s="10" t="inlineStr">
        <is>
          <t>Authorised Recycler (MoEF registered)</t>
        </is>
      </c>
      <c r="H8" s="10" t="inlineStr"/>
      <c r="I8" s="10" t="inlineStr"/>
      <c r="J8" s="9" t="inlineStr"/>
    </row>
    <row r="9" ht="22" customHeight="1">
      <c r="B9" s="63" t="inlineStr"/>
      <c r="C9" s="64" t="inlineStr">
        <is>
          <t>Electronic Waste (e-Waste)</t>
        </is>
      </c>
      <c r="D9" s="63" t="inlineStr"/>
      <c r="E9" s="63" t="inlineStr"/>
      <c r="F9" s="63" t="inlineStr">
        <is>
          <t>Y</t>
        </is>
      </c>
      <c r="G9" s="63" t="inlineStr">
        <is>
          <t>CPCB-authorised Waste Processor</t>
        </is>
      </c>
      <c r="H9" s="63" t="inlineStr"/>
      <c r="I9" s="63" t="inlineStr"/>
      <c r="J9" s="65" t="inlineStr"/>
    </row>
    <row r="10" ht="22" customHeight="1">
      <c r="B10" s="10" t="inlineStr"/>
      <c r="C10" s="26" t="inlineStr">
        <is>
          <t>Construction Debris</t>
        </is>
      </c>
      <c r="D10" s="10" t="inlineStr"/>
      <c r="E10" s="10" t="inlineStr"/>
      <c r="F10" s="10" t="inlineStr">
        <is>
          <t>Y</t>
        </is>
      </c>
      <c r="G10" s="10" t="inlineStr">
        <is>
          <t>Land Application</t>
        </is>
      </c>
      <c r="H10" s="10" t="inlineStr"/>
      <c r="I10" s="10" t="inlineStr"/>
      <c r="J10" s="9" t="inlineStr"/>
    </row>
    <row r="11" ht="22" customHeight="1">
      <c r="B11" s="63" t="inlineStr"/>
      <c r="C11" s="64" t="inlineStr">
        <is>
          <t>Chemical Waste</t>
        </is>
      </c>
      <c r="D11" s="63" t="inlineStr"/>
      <c r="E11" s="63" t="inlineStr"/>
      <c r="F11" s="63" t="inlineStr">
        <is>
          <t>Y</t>
        </is>
      </c>
      <c r="G11" s="63" t="inlineStr">
        <is>
          <t>Incineration (CPCB certified)</t>
        </is>
      </c>
      <c r="H11" s="63" t="inlineStr"/>
      <c r="I11" s="63" t="inlineStr"/>
      <c r="J11" s="65" t="inlineStr"/>
    </row>
    <row r="12" ht="22" customHeight="1">
      <c r="B12" s="10" t="inlineStr"/>
      <c r="C12" s="26" t="inlineStr">
        <is>
          <t>Used Oil / Grease</t>
        </is>
      </c>
      <c r="D12" s="10" t="inlineStr"/>
      <c r="E12" s="10" t="inlineStr"/>
      <c r="F12" s="10" t="inlineStr">
        <is>
          <t>Y</t>
        </is>
      </c>
      <c r="G12" s="10" t="inlineStr">
        <is>
          <t>Composting (on-campus)</t>
        </is>
      </c>
      <c r="H12" s="10" t="inlineStr"/>
      <c r="I12" s="10" t="inlineStr"/>
      <c r="J12" s="9" t="inlineStr"/>
    </row>
    <row r="13" ht="22" customHeight="1">
      <c r="B13" s="63" t="inlineStr"/>
      <c r="C13" s="64" t="inlineStr">
        <is>
          <t>Canteen Waste (Organic)</t>
        </is>
      </c>
      <c r="D13" s="63" t="inlineStr"/>
      <c r="E13" s="63" t="inlineStr"/>
      <c r="F13" s="63" t="inlineStr">
        <is>
          <t>Y</t>
        </is>
      </c>
      <c r="G13" s="63" t="inlineStr">
        <is>
          <t>Biogas Plant (on-campus)</t>
        </is>
      </c>
      <c r="H13" s="63" t="inlineStr"/>
      <c r="I13" s="63" t="inlineStr"/>
      <c r="J13" s="65" t="inlineStr"/>
    </row>
    <row r="14" ht="22" customHeight="1">
      <c r="B14" s="10" t="inlineStr"/>
      <c r="C14" s="26" t="inlineStr">
        <is>
          <t>Others</t>
        </is>
      </c>
      <c r="D14" s="10" t="inlineStr"/>
      <c r="E14" s="10" t="inlineStr"/>
      <c r="F14" s="10" t="inlineStr">
        <is>
          <t>Y</t>
        </is>
      </c>
      <c r="G14" s="10" t="inlineStr">
        <is>
          <t>Municipal Corporation Collection</t>
        </is>
      </c>
      <c r="H14" s="10" t="inlineStr"/>
      <c r="I14" s="10" t="inlineStr"/>
      <c r="J14" s="9" t="inlineStr"/>
    </row>
    <row r="15" ht="22" customHeight="1">
      <c r="B15" s="63" t="inlineStr"/>
      <c r="C15" s="64" t="inlineStr">
        <is>
          <t>Wet / Organic (Food waste, Garden)</t>
        </is>
      </c>
      <c r="D15" s="63" t="inlineStr"/>
      <c r="E15" s="63" t="inlineStr"/>
      <c r="F15" s="63" t="inlineStr">
        <is>
          <t>Y</t>
        </is>
      </c>
      <c r="G15" s="63" t="inlineStr">
        <is>
          <t>Authorised Recycler (MoEF registered)</t>
        </is>
      </c>
      <c r="H15" s="63" t="inlineStr"/>
      <c r="I15" s="63" t="inlineStr"/>
      <c r="J15" s="65" t="inlineStr"/>
    </row>
    <row r="16" ht="22" customHeight="1">
      <c r="B16" s="10" t="inlineStr"/>
      <c r="C16" s="26" t="inlineStr">
        <is>
          <t>Dry Recyclable (Paper, Plastic, Metal)</t>
        </is>
      </c>
      <c r="D16" s="10" t="inlineStr"/>
      <c r="E16" s="10" t="inlineStr"/>
      <c r="F16" s="10" t="inlineStr">
        <is>
          <t>Y</t>
        </is>
      </c>
      <c r="G16" s="10" t="inlineStr">
        <is>
          <t>CPCB-authorised Waste Processor</t>
        </is>
      </c>
      <c r="H16" s="10" t="inlineStr"/>
      <c r="I16" s="10" t="inlineStr"/>
      <c r="J16" s="9" t="inlineStr"/>
    </row>
    <row r="17" ht="22" customHeight="1">
      <c r="B17" s="63" t="inlineStr"/>
      <c r="C17" s="64" t="inlineStr">
        <is>
          <t>Hazardous / Rejects (Sanitary, Soiled)</t>
        </is>
      </c>
      <c r="D17" s="63" t="inlineStr"/>
      <c r="E17" s="63" t="inlineStr"/>
      <c r="F17" s="63" t="inlineStr">
        <is>
          <t>Y</t>
        </is>
      </c>
      <c r="G17" s="63" t="inlineStr">
        <is>
          <t>Land Application</t>
        </is>
      </c>
      <c r="H17" s="63" t="inlineStr"/>
      <c r="I17" s="63" t="inlineStr"/>
      <c r="J17" s="65" t="inlineStr"/>
    </row>
    <row r="18" ht="22" customHeight="1">
      <c r="B18" s="10" t="inlineStr"/>
      <c r="C18" s="26" t="inlineStr">
        <is>
          <t>Biomedical / Lab Waste</t>
        </is>
      </c>
      <c r="D18" s="10" t="inlineStr"/>
      <c r="E18" s="10" t="inlineStr"/>
      <c r="F18" s="10" t="inlineStr">
        <is>
          <t>Y</t>
        </is>
      </c>
      <c r="G18" s="10" t="inlineStr">
        <is>
          <t>Incineration (CPCB certified)</t>
        </is>
      </c>
      <c r="H18" s="10" t="inlineStr"/>
      <c r="I18" s="10" t="inlineStr"/>
      <c r="J18" s="9" t="inlineStr"/>
    </row>
    <row r="19" ht="22" customHeight="1">
      <c r="B19" s="63" t="inlineStr"/>
      <c r="C19" s="64" t="inlineStr">
        <is>
          <t>Electronic Waste (e-Waste)</t>
        </is>
      </c>
      <c r="D19" s="63" t="inlineStr"/>
      <c r="E19" s="63" t="inlineStr"/>
      <c r="F19" s="63" t="inlineStr">
        <is>
          <t>Y</t>
        </is>
      </c>
      <c r="G19" s="63" t="inlineStr">
        <is>
          <t>Composting (on-campus)</t>
        </is>
      </c>
      <c r="H19" s="63" t="inlineStr"/>
      <c r="I19" s="63" t="inlineStr"/>
      <c r="J19" s="65" t="inlineStr"/>
    </row>
    <row r="20" ht="22" customHeight="1">
      <c r="B20" s="10" t="inlineStr"/>
      <c r="C20" s="26" t="inlineStr">
        <is>
          <t>Construction Debris</t>
        </is>
      </c>
      <c r="D20" s="10" t="inlineStr"/>
      <c r="E20" s="10" t="inlineStr"/>
      <c r="F20" s="10" t="inlineStr">
        <is>
          <t>Y</t>
        </is>
      </c>
      <c r="G20" s="10" t="inlineStr">
        <is>
          <t>Biogas Plant (on-campus)</t>
        </is>
      </c>
      <c r="H20" s="10" t="inlineStr"/>
      <c r="I20" s="10" t="inlineStr"/>
      <c r="J20" s="9" t="inlineStr"/>
    </row>
    <row r="21" ht="22" customHeight="1">
      <c r="B21" s="63" t="inlineStr"/>
      <c r="C21" s="64" t="inlineStr">
        <is>
          <t>Chemical Waste</t>
        </is>
      </c>
      <c r="D21" s="63" t="inlineStr"/>
      <c r="E21" s="63" t="inlineStr"/>
      <c r="F21" s="63" t="inlineStr">
        <is>
          <t>Y</t>
        </is>
      </c>
      <c r="G21" s="63" t="inlineStr">
        <is>
          <t>Municipal Corporation Collection</t>
        </is>
      </c>
      <c r="H21" s="63" t="inlineStr"/>
      <c r="I21" s="63" t="inlineStr"/>
      <c r="J21" s="65" t="inlineStr"/>
    </row>
    <row r="22" ht="22" customHeight="1">
      <c r="B22" s="10" t="inlineStr"/>
      <c r="C22" s="26" t="inlineStr">
        <is>
          <t>Used Oil / Grease</t>
        </is>
      </c>
      <c r="D22" s="10" t="inlineStr"/>
      <c r="E22" s="10" t="inlineStr"/>
      <c r="F22" s="10" t="inlineStr">
        <is>
          <t>Y</t>
        </is>
      </c>
      <c r="G22" s="10" t="inlineStr">
        <is>
          <t>Authorised Recycler (MoEF registered)</t>
        </is>
      </c>
      <c r="H22" s="10" t="inlineStr"/>
      <c r="I22" s="10" t="inlineStr"/>
      <c r="J22" s="9" t="inlineStr"/>
    </row>
    <row r="23" ht="22" customHeight="1">
      <c r="B23" s="63" t="inlineStr"/>
      <c r="C23" s="64" t="inlineStr">
        <is>
          <t>Canteen Waste (Organic)</t>
        </is>
      </c>
      <c r="D23" s="63" t="inlineStr"/>
      <c r="E23" s="63" t="inlineStr"/>
      <c r="F23" s="63" t="inlineStr">
        <is>
          <t>Y</t>
        </is>
      </c>
      <c r="G23" s="63" t="inlineStr">
        <is>
          <t>CPCB-authorised Waste Processor</t>
        </is>
      </c>
      <c r="H23" s="63" t="inlineStr"/>
      <c r="I23" s="63" t="inlineStr"/>
      <c r="J23" s="65" t="inlineStr"/>
    </row>
    <row r="24" ht="22" customHeight="1">
      <c r="B24" s="10" t="inlineStr"/>
      <c r="C24" s="26" t="inlineStr">
        <is>
          <t>Others</t>
        </is>
      </c>
      <c r="D24" s="10" t="inlineStr"/>
      <c r="E24" s="10" t="inlineStr"/>
      <c r="F24" s="10" t="inlineStr">
        <is>
          <t>Y</t>
        </is>
      </c>
      <c r="G24" s="10" t="inlineStr">
        <is>
          <t>Land Application</t>
        </is>
      </c>
      <c r="H24" s="10" t="inlineStr"/>
      <c r="I24" s="10" t="inlineStr"/>
      <c r="J24" s="9" t="inlineStr"/>
    </row>
    <row r="25" ht="22" customHeight="1">
      <c r="B25" s="63" t="inlineStr"/>
      <c r="C25" s="64" t="inlineStr">
        <is>
          <t>Wet / Organic (Food waste, Garden)</t>
        </is>
      </c>
      <c r="D25" s="63" t="inlineStr"/>
      <c r="E25" s="63" t="inlineStr"/>
      <c r="F25" s="63" t="inlineStr">
        <is>
          <t>Y</t>
        </is>
      </c>
      <c r="G25" s="63" t="inlineStr">
        <is>
          <t>Incineration (CPCB certified)</t>
        </is>
      </c>
      <c r="H25" s="63" t="inlineStr"/>
      <c r="I25" s="63" t="inlineStr"/>
      <c r="J25" s="65" t="inlineStr"/>
    </row>
    <row r="26" ht="22" customHeight="1">
      <c r="B26" s="10" t="inlineStr"/>
      <c r="C26" s="26" t="inlineStr">
        <is>
          <t>Dry Recyclable (Paper, Plastic, Metal)</t>
        </is>
      </c>
      <c r="D26" s="10" t="inlineStr"/>
      <c r="E26" s="10" t="inlineStr"/>
      <c r="F26" s="10" t="inlineStr">
        <is>
          <t>Y</t>
        </is>
      </c>
      <c r="G26" s="10" t="inlineStr">
        <is>
          <t>Composting (on-campus)</t>
        </is>
      </c>
      <c r="H26" s="10" t="inlineStr"/>
      <c r="I26" s="10" t="inlineStr"/>
      <c r="J26" s="9" t="inlineStr"/>
    </row>
    <row r="27" ht="22" customHeight="1">
      <c r="B27" s="63" t="inlineStr"/>
      <c r="C27" s="64" t="inlineStr">
        <is>
          <t>Hazardous / Rejects (Sanitary, Soiled)</t>
        </is>
      </c>
      <c r="D27" s="63" t="inlineStr"/>
      <c r="E27" s="63" t="inlineStr"/>
      <c r="F27" s="63" t="inlineStr">
        <is>
          <t>Y</t>
        </is>
      </c>
      <c r="G27" s="63" t="inlineStr">
        <is>
          <t>Biogas Plant (on-campus)</t>
        </is>
      </c>
      <c r="H27" s="63" t="inlineStr"/>
      <c r="I27" s="63" t="inlineStr"/>
      <c r="J27" s="65" t="inlineStr"/>
    </row>
    <row r="28" ht="22" customHeight="1">
      <c r="B28" s="10" t="inlineStr"/>
      <c r="C28" s="26" t="inlineStr">
        <is>
          <t>Biomedical / Lab Waste</t>
        </is>
      </c>
      <c r="D28" s="10" t="inlineStr"/>
      <c r="E28" s="10" t="inlineStr"/>
      <c r="F28" s="10" t="inlineStr">
        <is>
          <t>Y</t>
        </is>
      </c>
      <c r="G28" s="10" t="inlineStr">
        <is>
          <t>Municipal Corporation Collection</t>
        </is>
      </c>
      <c r="H28" s="10" t="inlineStr"/>
      <c r="I28" s="10" t="inlineStr"/>
      <c r="J28" s="9" t="inlineStr"/>
    </row>
    <row r="29" ht="22" customHeight="1"/>
    <row r="30" ht="24" customHeight="1">
      <c r="B30" s="35" t="inlineStr">
        <is>
          <t>MONTHLY WASTE SUMMARY</t>
        </is>
      </c>
    </row>
    <row r="31" ht="22" customHeight="1">
      <c r="B31" s="31" t="inlineStr">
        <is>
          <t>Waste Category</t>
        </is>
      </c>
      <c r="C31" s="31" t="inlineStr">
        <is>
          <t>Monthly Qty (kg)</t>
        </is>
      </c>
      <c r="D31" s="31" t="inlineStr">
        <is>
          <t>YoY Comparison</t>
        </is>
      </c>
      <c r="E31" s="31" t="inlineStr">
        <is>
          <t>Recycled (kg)</t>
        </is>
      </c>
      <c r="F31" s="31" t="inlineStr">
        <is>
          <t>Disposed (kg)</t>
        </is>
      </c>
      <c r="G31" s="31" t="inlineStr">
        <is>
          <t>% Recycled</t>
        </is>
      </c>
      <c r="H31" s="31" t="inlineStr">
        <is>
          <t>Composted (kg)</t>
        </is>
      </c>
    </row>
    <row r="32" ht="22" customHeight="1">
      <c r="B32" s="65" t="inlineStr">
        <is>
          <t>Wet / Organic (Food waste, Garden)</t>
        </is>
      </c>
      <c r="C32" s="63" t="inlineStr"/>
      <c r="D32" s="63" t="inlineStr"/>
      <c r="E32" s="63" t="inlineStr"/>
      <c r="F32" s="63" t="inlineStr"/>
      <c r="G32" s="63">
        <f>IFERROR(ROUND(E32/C32*100,1),"")</f>
        <v/>
      </c>
      <c r="H32" s="63" t="inlineStr"/>
      <c r="I32" s="66" t="n"/>
      <c r="J32" s="66" t="n"/>
    </row>
    <row r="33" ht="22" customHeight="1">
      <c r="B33" s="9" t="inlineStr">
        <is>
          <t>Dry Recyclable (Paper, Plastic, Metal)</t>
        </is>
      </c>
      <c r="C33" s="10" t="inlineStr"/>
      <c r="D33" s="10" t="inlineStr"/>
      <c r="E33" s="10" t="inlineStr"/>
      <c r="F33" s="10" t="inlineStr"/>
      <c r="G33" s="10">
        <f>IFERROR(ROUND(E33/C33*100,1),"")</f>
        <v/>
      </c>
      <c r="H33" s="10" t="inlineStr"/>
      <c r="I33" s="67" t="n"/>
      <c r="J33" s="67" t="n"/>
    </row>
    <row r="34" ht="22" customHeight="1">
      <c r="B34" s="65" t="inlineStr">
        <is>
          <t>Hazardous / Rejects (Sanitary, Soiled)</t>
        </is>
      </c>
      <c r="C34" s="63" t="inlineStr"/>
      <c r="D34" s="63" t="inlineStr"/>
      <c r="E34" s="63" t="inlineStr"/>
      <c r="F34" s="63" t="inlineStr"/>
      <c r="G34" s="63">
        <f>IFERROR(ROUND(E34/C34*100,1),"")</f>
        <v/>
      </c>
      <c r="H34" s="63" t="inlineStr"/>
      <c r="I34" s="66" t="n"/>
      <c r="J34" s="66" t="n"/>
    </row>
    <row r="35" ht="22" customHeight="1">
      <c r="B35" s="9" t="inlineStr">
        <is>
          <t>Biomedical / Lab Waste</t>
        </is>
      </c>
      <c r="C35" s="10" t="inlineStr"/>
      <c r="D35" s="10" t="inlineStr"/>
      <c r="E35" s="10" t="inlineStr"/>
      <c r="F35" s="10" t="inlineStr"/>
      <c r="G35" s="10">
        <f>IFERROR(ROUND(E35/C35*100,1),"")</f>
        <v/>
      </c>
      <c r="H35" s="10" t="inlineStr"/>
      <c r="I35" s="67" t="n"/>
      <c r="J35" s="67" t="n"/>
    </row>
    <row r="36">
      <c r="B36" s="65" t="inlineStr">
        <is>
          <t>Electronic Waste (e-Waste)</t>
        </is>
      </c>
      <c r="C36" s="63" t="inlineStr"/>
      <c r="D36" s="63" t="inlineStr"/>
      <c r="E36" s="63" t="inlineStr"/>
      <c r="F36" s="63" t="inlineStr"/>
      <c r="G36" s="63">
        <f>IFERROR(ROUND(E36/C36*100,1),"")</f>
        <v/>
      </c>
      <c r="H36" s="63" t="inlineStr"/>
      <c r="I36" s="66" t="n"/>
      <c r="J36" s="66" t="n"/>
    </row>
    <row r="37">
      <c r="B37" s="24" t="inlineStr">
        <is>
          <t>TOTAL</t>
        </is>
      </c>
      <c r="C37" s="68" t="inlineStr"/>
      <c r="D37" s="68" t="inlineStr"/>
      <c r="E37" s="68" t="inlineStr"/>
      <c r="F37" s="68" t="inlineStr"/>
      <c r="G37" s="68">
        <f>IFERROR(ROUND(E37/C37*100,1),"")</f>
        <v/>
      </c>
      <c r="H37" s="68" t="inlineStr"/>
      <c r="I37" s="69" t="n"/>
      <c r="J37" s="69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HS-02: TOILET &amp; WASHROOM INSPECTION LOG (Multiple Daily Checks)</t>
        </is>
      </c>
    </row>
    <row r="3" ht="20" customHeight="1">
      <c r="B3" s="17" t="inlineStr">
        <is>
          <t>Inspect ALL toilet blocks minimum 3 times daily — Morning (8 AM), Afternoon (1 PM), Evening (5 PM). Rating: 1=Unacceptable, 2=Poor, 3=Average, 4=Good, 5=Excellent.</t>
        </is>
      </c>
    </row>
    <row r="4" ht="25" customHeight="1">
      <c r="B4" s="2" t="inlineStr">
        <is>
          <t>Date: _______  Block: ___________________  No. of Toilets: _______  No. of Urinals: _______  Supervisor: ___________________</t>
        </is>
      </c>
    </row>
    <row r="5" ht="22" customHeight="1">
      <c r="B5" s="13" t="inlineStr">
        <is>
          <t>Time of
Inspection</t>
        </is>
      </c>
      <c r="C5" s="13" t="inlineStr">
        <is>
          <t>Inspector
Name</t>
        </is>
      </c>
      <c r="D5" s="13" t="inlineStr">
        <is>
          <t>Cleanliness
(/5)</t>
        </is>
      </c>
      <c r="E5" s="13" t="inlineStr">
        <is>
          <t>Smell
(/5)</t>
        </is>
      </c>
      <c r="F5" s="13" t="inlineStr">
        <is>
          <t>Soap
Avail.</t>
        </is>
      </c>
      <c r="G5" s="13" t="inlineStr">
        <is>
          <t>Sanitizer
Avail.</t>
        </is>
      </c>
      <c r="H5" s="13" t="inlineStr">
        <is>
          <t>Water
Supply</t>
        </is>
      </c>
      <c r="I5" s="13" t="inlineStr">
        <is>
          <t>Drain
Clear</t>
        </is>
      </c>
      <c r="J5" s="13" t="inlineStr">
        <is>
          <t>Overall
Score</t>
        </is>
      </c>
      <c r="K5" s="13" t="inlineStr">
        <is>
          <t>Action
Taken</t>
        </is>
      </c>
    </row>
    <row r="6" ht="22" customHeight="1">
      <c r="B6" s="14" t="inlineStr">
        <is>
          <t>8:00 AM</t>
        </is>
      </c>
      <c r="C6" s="15" t="inlineStr"/>
      <c r="D6" s="16" t="inlineStr"/>
      <c r="E6" s="16" t="inlineStr"/>
      <c r="F6" s="16" t="inlineStr">
        <is>
          <t>Y</t>
        </is>
      </c>
      <c r="G6" s="16" t="inlineStr">
        <is>
          <t>Y</t>
        </is>
      </c>
      <c r="H6" s="16" t="inlineStr">
        <is>
          <t>Y</t>
        </is>
      </c>
      <c r="I6" s="16" t="inlineStr">
        <is>
          <t>Y</t>
        </is>
      </c>
      <c r="J6" s="16">
        <f>IFERROR(ROUND(AVERAGE(D6:E6),1),"")</f>
        <v/>
      </c>
      <c r="K6" s="15" t="inlineStr"/>
    </row>
    <row r="7" ht="22" customHeight="1">
      <c r="B7" s="8" t="inlineStr">
        <is>
          <t>10:00 AM</t>
        </is>
      </c>
      <c r="C7" s="9" t="inlineStr"/>
      <c r="D7" s="10" t="inlineStr"/>
      <c r="E7" s="10" t="inlineStr"/>
      <c r="F7" s="10" t="inlineStr">
        <is>
          <t>Y</t>
        </is>
      </c>
      <c r="G7" s="10" t="inlineStr">
        <is>
          <t>Y</t>
        </is>
      </c>
      <c r="H7" s="10" t="inlineStr">
        <is>
          <t>Y</t>
        </is>
      </c>
      <c r="I7" s="10" t="inlineStr">
        <is>
          <t>Y</t>
        </is>
      </c>
      <c r="J7" s="10">
        <f>IFERROR(ROUND(AVERAGE(D7:E7),1),"")</f>
        <v/>
      </c>
      <c r="K7" s="9" t="inlineStr"/>
    </row>
    <row r="8" ht="22" customHeight="1">
      <c r="B8" s="14" t="inlineStr">
        <is>
          <t>12:00 PM</t>
        </is>
      </c>
      <c r="C8" s="15" t="inlineStr"/>
      <c r="D8" s="16" t="inlineStr"/>
      <c r="E8" s="16" t="inlineStr"/>
      <c r="F8" s="16" t="inlineStr">
        <is>
          <t>Y</t>
        </is>
      </c>
      <c r="G8" s="16" t="inlineStr">
        <is>
          <t>Y</t>
        </is>
      </c>
      <c r="H8" s="16" t="inlineStr">
        <is>
          <t>Y</t>
        </is>
      </c>
      <c r="I8" s="16" t="inlineStr">
        <is>
          <t>Y</t>
        </is>
      </c>
      <c r="J8" s="16">
        <f>IFERROR(ROUND(AVERAGE(D8:E8),1),"")</f>
        <v/>
      </c>
      <c r="K8" s="15" t="inlineStr"/>
    </row>
    <row r="9" ht="22" customHeight="1">
      <c r="B9" s="8" t="inlineStr">
        <is>
          <t>2:00 PM</t>
        </is>
      </c>
      <c r="C9" s="9" t="inlineStr"/>
      <c r="D9" s="10" t="inlineStr"/>
      <c r="E9" s="10" t="inlineStr"/>
      <c r="F9" s="10" t="inlineStr">
        <is>
          <t>Y</t>
        </is>
      </c>
      <c r="G9" s="10" t="inlineStr">
        <is>
          <t>Y</t>
        </is>
      </c>
      <c r="H9" s="10" t="inlineStr">
        <is>
          <t>Y</t>
        </is>
      </c>
      <c r="I9" s="10" t="inlineStr">
        <is>
          <t>Y</t>
        </is>
      </c>
      <c r="J9" s="10">
        <f>IFERROR(ROUND(AVERAGE(D9:E9),1),"")</f>
        <v/>
      </c>
      <c r="K9" s="9" t="inlineStr"/>
    </row>
    <row r="10" ht="22" customHeight="1">
      <c r="B10" s="14" t="inlineStr">
        <is>
          <t>4:00 PM</t>
        </is>
      </c>
      <c r="C10" s="15" t="inlineStr"/>
      <c r="D10" s="16" t="inlineStr"/>
      <c r="E10" s="16" t="inlineStr"/>
      <c r="F10" s="16" t="inlineStr">
        <is>
          <t>Y</t>
        </is>
      </c>
      <c r="G10" s="16" t="inlineStr">
        <is>
          <t>Y</t>
        </is>
      </c>
      <c r="H10" s="16" t="inlineStr">
        <is>
          <t>Y</t>
        </is>
      </c>
      <c r="I10" s="16" t="inlineStr">
        <is>
          <t>Y</t>
        </is>
      </c>
      <c r="J10" s="16">
        <f>IFERROR(ROUND(AVERAGE(D10:E10),1),"")</f>
        <v/>
      </c>
      <c r="K10" s="15" t="inlineStr"/>
    </row>
    <row r="11" ht="22" customHeight="1">
      <c r="B11" s="8" t="inlineStr">
        <is>
          <t>6:00 PM</t>
        </is>
      </c>
      <c r="C11" s="9" t="inlineStr"/>
      <c r="D11" s="10" t="inlineStr"/>
      <c r="E11" s="10" t="inlineStr"/>
      <c r="F11" s="10" t="inlineStr">
        <is>
          <t>Y</t>
        </is>
      </c>
      <c r="G11" s="10" t="inlineStr">
        <is>
          <t>Y</t>
        </is>
      </c>
      <c r="H11" s="10" t="inlineStr">
        <is>
          <t>Y</t>
        </is>
      </c>
      <c r="I11" s="10" t="inlineStr">
        <is>
          <t>Y</t>
        </is>
      </c>
      <c r="J11" s="10">
        <f>IFERROR(ROUND(AVERAGE(D11:E11),1),"")</f>
        <v/>
      </c>
      <c r="K11" s="9" t="inlineStr"/>
    </row>
    <row r="12" ht="22" customHeight="1">
      <c r="B12" s="14" t="inlineStr">
        <is>
          <t>8:00 PM</t>
        </is>
      </c>
      <c r="C12" s="15" t="inlineStr"/>
      <c r="D12" s="16" t="inlineStr"/>
      <c r="E12" s="16" t="inlineStr"/>
      <c r="F12" s="16" t="inlineStr">
        <is>
          <t>Y</t>
        </is>
      </c>
      <c r="G12" s="16" t="inlineStr">
        <is>
          <t>Y</t>
        </is>
      </c>
      <c r="H12" s="16" t="inlineStr">
        <is>
          <t>Y</t>
        </is>
      </c>
      <c r="I12" s="16" t="inlineStr">
        <is>
          <t>Y</t>
        </is>
      </c>
      <c r="J12" s="16">
        <f>IFERROR(ROUND(AVERAGE(D12:E12),1),"")</f>
        <v/>
      </c>
      <c r="K12" s="15" t="inlineStr"/>
    </row>
    <row r="13" ht="22" customHeight="1">
      <c r="B13" s="8" t="inlineStr">
        <is>
          <t>8:00 AM</t>
        </is>
      </c>
      <c r="C13" s="9" t="inlineStr"/>
      <c r="D13" s="10" t="inlineStr"/>
      <c r="E13" s="10" t="inlineStr"/>
      <c r="F13" s="10" t="inlineStr">
        <is>
          <t>Y</t>
        </is>
      </c>
      <c r="G13" s="10" t="inlineStr">
        <is>
          <t>Y</t>
        </is>
      </c>
      <c r="H13" s="10" t="inlineStr">
        <is>
          <t>Y</t>
        </is>
      </c>
      <c r="I13" s="10" t="inlineStr">
        <is>
          <t>Y</t>
        </is>
      </c>
      <c r="J13" s="10">
        <f>IFERROR(ROUND(AVERAGE(D13:E13),1),"")</f>
        <v/>
      </c>
      <c r="K13" s="9" t="inlineStr"/>
    </row>
    <row r="14" ht="22" customHeight="1">
      <c r="B14" s="14" t="inlineStr">
        <is>
          <t>10:00 AM</t>
        </is>
      </c>
      <c r="C14" s="15" t="inlineStr"/>
      <c r="D14" s="16" t="inlineStr"/>
      <c r="E14" s="16" t="inlineStr"/>
      <c r="F14" s="16" t="inlineStr">
        <is>
          <t>Y</t>
        </is>
      </c>
      <c r="G14" s="16" t="inlineStr">
        <is>
          <t>Y</t>
        </is>
      </c>
      <c r="H14" s="16" t="inlineStr">
        <is>
          <t>Y</t>
        </is>
      </c>
      <c r="I14" s="16" t="inlineStr">
        <is>
          <t>Y</t>
        </is>
      </c>
      <c r="J14" s="16">
        <f>IFERROR(ROUND(AVERAGE(D14:E14),1),"")</f>
        <v/>
      </c>
      <c r="K14" s="15" t="inlineStr"/>
    </row>
    <row r="15" ht="22" customHeight="1">
      <c r="B15" s="8" t="inlineStr">
        <is>
          <t>12:00 PM</t>
        </is>
      </c>
      <c r="C15" s="9" t="inlineStr"/>
      <c r="D15" s="10" t="inlineStr"/>
      <c r="E15" s="10" t="inlineStr"/>
      <c r="F15" s="10" t="inlineStr">
        <is>
          <t>Y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>
        <f>IFERROR(ROUND(AVERAGE(D15:E15),1),"")</f>
        <v/>
      </c>
      <c r="K15" s="9" t="inlineStr"/>
    </row>
    <row r="16" ht="22" customHeight="1">
      <c r="B16" s="14" t="inlineStr">
        <is>
          <t>2:00 PM</t>
        </is>
      </c>
      <c r="C16" s="15" t="inlineStr"/>
      <c r="D16" s="16" t="inlineStr"/>
      <c r="E16" s="16" t="inlineStr"/>
      <c r="F16" s="16" t="inlineStr">
        <is>
          <t>Y</t>
        </is>
      </c>
      <c r="G16" s="16" t="inlineStr">
        <is>
          <t>Y</t>
        </is>
      </c>
      <c r="H16" s="16" t="inlineStr">
        <is>
          <t>Y</t>
        </is>
      </c>
      <c r="I16" s="16" t="inlineStr">
        <is>
          <t>Y</t>
        </is>
      </c>
      <c r="J16" s="16">
        <f>IFERROR(ROUND(AVERAGE(D16:E16),1),"")</f>
        <v/>
      </c>
      <c r="K16" s="15" t="inlineStr"/>
    </row>
    <row r="17" ht="22" customHeight="1">
      <c r="B17" s="8" t="inlineStr">
        <is>
          <t>4:00 PM</t>
        </is>
      </c>
      <c r="C17" s="9" t="inlineStr"/>
      <c r="D17" s="10" t="inlineStr"/>
      <c r="E17" s="10" t="inlineStr"/>
      <c r="F17" s="10" t="inlineStr">
        <is>
          <t>Y</t>
        </is>
      </c>
      <c r="G17" s="10" t="inlineStr">
        <is>
          <t>Y</t>
        </is>
      </c>
      <c r="H17" s="10" t="inlineStr">
        <is>
          <t>Y</t>
        </is>
      </c>
      <c r="I17" s="10" t="inlineStr">
        <is>
          <t>Y</t>
        </is>
      </c>
      <c r="J17" s="10">
        <f>IFERROR(ROUND(AVERAGE(D17:E17),1),"")</f>
        <v/>
      </c>
      <c r="K17" s="9" t="inlineStr"/>
    </row>
    <row r="18" ht="22" customHeight="1">
      <c r="B18" s="14" t="inlineStr">
        <is>
          <t>6:00 PM</t>
        </is>
      </c>
      <c r="C18" s="15" t="inlineStr"/>
      <c r="D18" s="16" t="inlineStr"/>
      <c r="E18" s="16" t="inlineStr"/>
      <c r="F18" s="16" t="inlineStr">
        <is>
          <t>Y</t>
        </is>
      </c>
      <c r="G18" s="16" t="inlineStr">
        <is>
          <t>Y</t>
        </is>
      </c>
      <c r="H18" s="16" t="inlineStr">
        <is>
          <t>Y</t>
        </is>
      </c>
      <c r="I18" s="16" t="inlineStr">
        <is>
          <t>Y</t>
        </is>
      </c>
      <c r="J18" s="16">
        <f>IFERROR(ROUND(AVERAGE(D18:E18),1),"")</f>
        <v/>
      </c>
      <c r="K18" s="15" t="inlineStr"/>
    </row>
    <row r="19" ht="22" customHeight="1">
      <c r="B19" s="8" t="inlineStr">
        <is>
          <t>8:00 PM</t>
        </is>
      </c>
      <c r="C19" s="9" t="inlineStr"/>
      <c r="D19" s="10" t="inlineStr"/>
      <c r="E19" s="10" t="inlineStr"/>
      <c r="F19" s="10" t="inlineStr">
        <is>
          <t>Y</t>
        </is>
      </c>
      <c r="G19" s="10" t="inlineStr">
        <is>
          <t>Y</t>
        </is>
      </c>
      <c r="H19" s="10" t="inlineStr">
        <is>
          <t>Y</t>
        </is>
      </c>
      <c r="I19" s="10" t="inlineStr">
        <is>
          <t>Y</t>
        </is>
      </c>
      <c r="J19" s="10">
        <f>IFERROR(ROUND(AVERAGE(D19:E19),1),"")</f>
        <v/>
      </c>
      <c r="K19" s="9" t="inlineStr"/>
    </row>
    <row r="20" ht="22" customHeight="1">
      <c r="B20" s="14" t="inlineStr">
        <is>
          <t>8:00 AM</t>
        </is>
      </c>
      <c r="C20" s="15" t="inlineStr"/>
      <c r="D20" s="16" t="inlineStr"/>
      <c r="E20" s="16" t="inlineStr"/>
      <c r="F20" s="16" t="inlineStr">
        <is>
          <t>Y</t>
        </is>
      </c>
      <c r="G20" s="16" t="inlineStr">
        <is>
          <t>Y</t>
        </is>
      </c>
      <c r="H20" s="16" t="inlineStr">
        <is>
          <t>Y</t>
        </is>
      </c>
      <c r="I20" s="16" t="inlineStr">
        <is>
          <t>Y</t>
        </is>
      </c>
      <c r="J20" s="16">
        <f>IFERROR(ROUND(AVERAGE(D20:E20),1),"")</f>
        <v/>
      </c>
      <c r="K20" s="15" t="inlineStr"/>
    </row>
    <row r="21" ht="22" customHeight="1">
      <c r="B21" s="8" t="inlineStr">
        <is>
          <t>10:00 AM</t>
        </is>
      </c>
      <c r="C21" s="9" t="inlineStr"/>
      <c r="D21" s="10" t="inlineStr"/>
      <c r="E21" s="10" t="inlineStr"/>
      <c r="F21" s="10" t="inlineStr">
        <is>
          <t>Y</t>
        </is>
      </c>
      <c r="G21" s="10" t="inlineStr">
        <is>
          <t>Y</t>
        </is>
      </c>
      <c r="H21" s="10" t="inlineStr">
        <is>
          <t>Y</t>
        </is>
      </c>
      <c r="I21" s="10" t="inlineStr">
        <is>
          <t>Y</t>
        </is>
      </c>
      <c r="J21" s="10">
        <f>IFERROR(ROUND(AVERAGE(D21:E21),1),"")</f>
        <v/>
      </c>
      <c r="K21" s="9" t="inlineStr"/>
    </row>
    <row r="22" ht="22" customHeight="1">
      <c r="B22" s="14" t="inlineStr">
        <is>
          <t>12:00 PM</t>
        </is>
      </c>
      <c r="C22" s="15" t="inlineStr"/>
      <c r="D22" s="16" t="inlineStr"/>
      <c r="E22" s="16" t="inlineStr"/>
      <c r="F22" s="16" t="inlineStr">
        <is>
          <t>Y</t>
        </is>
      </c>
      <c r="G22" s="16" t="inlineStr">
        <is>
          <t>Y</t>
        </is>
      </c>
      <c r="H22" s="16" t="inlineStr">
        <is>
          <t>Y</t>
        </is>
      </c>
      <c r="I22" s="16" t="inlineStr">
        <is>
          <t>Y</t>
        </is>
      </c>
      <c r="J22" s="16">
        <f>IFERROR(ROUND(AVERAGE(D22:E22),1),"")</f>
        <v/>
      </c>
      <c r="K22" s="15" t="inlineStr"/>
    </row>
    <row r="23" ht="22" customHeight="1">
      <c r="B23" s="8" t="inlineStr">
        <is>
          <t>2:00 PM</t>
        </is>
      </c>
      <c r="C23" s="9" t="inlineStr"/>
      <c r="D23" s="10" t="inlineStr"/>
      <c r="E23" s="10" t="inlineStr"/>
      <c r="F23" s="10" t="inlineStr">
        <is>
          <t>Y</t>
        </is>
      </c>
      <c r="G23" s="10" t="inlineStr">
        <is>
          <t>Y</t>
        </is>
      </c>
      <c r="H23" s="10" t="inlineStr">
        <is>
          <t>Y</t>
        </is>
      </c>
      <c r="I23" s="10" t="inlineStr">
        <is>
          <t>Y</t>
        </is>
      </c>
      <c r="J23" s="10">
        <f>IFERROR(ROUND(AVERAGE(D23:E23),1),"")</f>
        <v/>
      </c>
      <c r="K23" s="9" t="inlineStr"/>
    </row>
    <row r="24" ht="22" customHeight="1">
      <c r="B24" s="14" t="inlineStr">
        <is>
          <t>4:00 PM</t>
        </is>
      </c>
      <c r="C24" s="15" t="inlineStr"/>
      <c r="D24" s="16" t="inlineStr"/>
      <c r="E24" s="16" t="inlineStr"/>
      <c r="F24" s="16" t="inlineStr">
        <is>
          <t>Y</t>
        </is>
      </c>
      <c r="G24" s="16" t="inlineStr">
        <is>
          <t>Y</t>
        </is>
      </c>
      <c r="H24" s="16" t="inlineStr">
        <is>
          <t>Y</t>
        </is>
      </c>
      <c r="I24" s="16" t="inlineStr">
        <is>
          <t>Y</t>
        </is>
      </c>
      <c r="J24" s="16">
        <f>IFERROR(ROUND(AVERAGE(D24:E24),1),"")</f>
        <v/>
      </c>
      <c r="K24" s="15" t="inlineStr"/>
    </row>
    <row r="25" ht="22" customHeight="1">
      <c r="B25" s="8" t="inlineStr">
        <is>
          <t>6:00 PM</t>
        </is>
      </c>
      <c r="C25" s="9" t="inlineStr"/>
      <c r="D25" s="10" t="inlineStr"/>
      <c r="E25" s="10" t="inlineStr"/>
      <c r="F25" s="10" t="inlineStr">
        <is>
          <t>Y</t>
        </is>
      </c>
      <c r="G25" s="10" t="inlineStr">
        <is>
          <t>Y</t>
        </is>
      </c>
      <c r="H25" s="10" t="inlineStr">
        <is>
          <t>Y</t>
        </is>
      </c>
      <c r="I25" s="10" t="inlineStr">
        <is>
          <t>Y</t>
        </is>
      </c>
      <c r="J25" s="10">
        <f>IFERROR(ROUND(AVERAGE(D25:E25),1),"")</f>
        <v/>
      </c>
      <c r="K25" s="9" t="inlineStr"/>
    </row>
    <row r="26" ht="22" customHeight="1">
      <c r="B26" s="14" t="inlineStr">
        <is>
          <t>8:00 PM</t>
        </is>
      </c>
      <c r="C26" s="15" t="inlineStr"/>
      <c r="D26" s="16" t="inlineStr"/>
      <c r="E26" s="16" t="inlineStr"/>
      <c r="F26" s="16" t="inlineStr">
        <is>
          <t>Y</t>
        </is>
      </c>
      <c r="G26" s="16" t="inlineStr">
        <is>
          <t>Y</t>
        </is>
      </c>
      <c r="H26" s="16" t="inlineStr">
        <is>
          <t>Y</t>
        </is>
      </c>
      <c r="I26" s="16" t="inlineStr">
        <is>
          <t>Y</t>
        </is>
      </c>
      <c r="J26" s="16">
        <f>IFERROR(ROUND(AVERAGE(D26:E26),1),"")</f>
        <v/>
      </c>
      <c r="K26" s="15" t="inlineStr"/>
    </row>
    <row r="27" ht="22" customHeight="1">
      <c r="B27" s="8" t="inlineStr">
        <is>
          <t>8:00 AM</t>
        </is>
      </c>
      <c r="C27" s="9" t="inlineStr"/>
      <c r="D27" s="10" t="inlineStr"/>
      <c r="E27" s="10" t="inlineStr"/>
      <c r="F27" s="10" t="inlineStr">
        <is>
          <t>Y</t>
        </is>
      </c>
      <c r="G27" s="10" t="inlineStr">
        <is>
          <t>Y</t>
        </is>
      </c>
      <c r="H27" s="10" t="inlineStr">
        <is>
          <t>Y</t>
        </is>
      </c>
      <c r="I27" s="10" t="inlineStr">
        <is>
          <t>Y</t>
        </is>
      </c>
      <c r="J27" s="10">
        <f>IFERROR(ROUND(AVERAGE(D27:E27),1),"")</f>
        <v/>
      </c>
      <c r="K27" s="9" t="inlineStr"/>
    </row>
    <row r="28" ht="22" customHeight="1">
      <c r="B28" s="14" t="inlineStr">
        <is>
          <t>10:00 AM</t>
        </is>
      </c>
      <c r="C28" s="15" t="inlineStr"/>
      <c r="D28" s="16" t="inlineStr"/>
      <c r="E28" s="16" t="inlineStr"/>
      <c r="F28" s="16" t="inlineStr">
        <is>
          <t>Y</t>
        </is>
      </c>
      <c r="G28" s="16" t="inlineStr">
        <is>
          <t>Y</t>
        </is>
      </c>
      <c r="H28" s="16" t="inlineStr">
        <is>
          <t>Y</t>
        </is>
      </c>
      <c r="I28" s="16" t="inlineStr">
        <is>
          <t>Y</t>
        </is>
      </c>
      <c r="J28" s="16">
        <f>IFERROR(ROUND(AVERAGE(D28:E28),1),"")</f>
        <v/>
      </c>
      <c r="K28" s="15" t="inlineStr"/>
    </row>
    <row r="29" ht="22" customHeight="1">
      <c r="B29" s="8" t="inlineStr">
        <is>
          <t>12:00 PM</t>
        </is>
      </c>
      <c r="C29" s="9" t="inlineStr"/>
      <c r="D29" s="10" t="inlineStr"/>
      <c r="E29" s="10" t="inlineStr"/>
      <c r="F29" s="10" t="inlineStr">
        <is>
          <t>Y</t>
        </is>
      </c>
      <c r="G29" s="10" t="inlineStr">
        <is>
          <t>Y</t>
        </is>
      </c>
      <c r="H29" s="10" t="inlineStr">
        <is>
          <t>Y</t>
        </is>
      </c>
      <c r="I29" s="10" t="inlineStr">
        <is>
          <t>Y</t>
        </is>
      </c>
      <c r="J29" s="10">
        <f>IFERROR(ROUND(AVERAGE(D29:E29),1),"")</f>
        <v/>
      </c>
      <c r="K29" s="9" t="inlineStr"/>
    </row>
    <row r="30" ht="22" customHeight="1"/>
    <row r="31" ht="24" customHeight="1">
      <c r="B31" s="35" t="inlineStr">
        <is>
          <t>DAILY TOILET SUMMARY</t>
        </is>
      </c>
    </row>
    <row r="32" ht="22" customHeight="1">
      <c r="B32" s="57" t="inlineStr">
        <is>
          <t>Total Inspections Done Today</t>
        </is>
      </c>
      <c r="F32" s="27">
        <f>COUNTA(B6:B29)</f>
        <v/>
      </c>
    </row>
    <row r="33" ht="22" customHeight="1">
      <c r="B33" s="26" t="inlineStr">
        <is>
          <t>Average Cleanliness Score (/5)</t>
        </is>
      </c>
      <c r="F33" s="37">
        <f>IFERROR(ROUND(AVERAGE(D6:D29),2),"")</f>
        <v/>
      </c>
    </row>
    <row r="34" ht="22" customHeight="1">
      <c r="B34" s="57" t="inlineStr">
        <is>
          <t>Average Smell Score (/5)</t>
        </is>
      </c>
      <c r="F34" s="27">
        <f>IFERROR(ROUND(AVERAGE(E6:E29),2),"")</f>
        <v/>
      </c>
    </row>
    <row r="35" ht="22" customHeight="1">
      <c r="B35" s="26" t="inlineStr">
        <is>
          <t>Inspections with Score &lt; 3</t>
        </is>
      </c>
      <c r="F35" s="37">
        <f>COUNTIF(J6:J29,"&lt;"&amp;3)</f>
        <v/>
      </c>
    </row>
    <row r="36">
      <c r="B36" s="57" t="inlineStr">
        <is>
          <t>Action Items Raised</t>
        </is>
      </c>
      <c r="F36" s="27">
        <f>COUNTA(K6:K29)</f>
        <v/>
      </c>
    </row>
    <row r="37">
      <c r="B37" s="26" t="inlineStr">
        <is>
          <t>Soap / Sanitizer Unavailability Instances</t>
        </is>
      </c>
      <c r="F37" s="37">
        <f>COUNTIF(F6:F29,"N")</f>
        <v/>
      </c>
    </row>
  </sheetData>
  <mergeCells count="16">
    <mergeCell ref="F37:K37"/>
    <mergeCell ref="B31:K31"/>
    <mergeCell ref="B36:E36"/>
    <mergeCell ref="F34:K34"/>
    <mergeCell ref="F33:K33"/>
    <mergeCell ref="B35:E35"/>
    <mergeCell ref="B4:K4"/>
    <mergeCell ref="F36:K36"/>
    <mergeCell ref="B37:E37"/>
    <mergeCell ref="F32:K32"/>
    <mergeCell ref="B34:E34"/>
    <mergeCell ref="B33:E33"/>
    <mergeCell ref="F35:K35"/>
    <mergeCell ref="B2:K2"/>
    <mergeCell ref="B3:K3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8" t="inlineStr">
        <is>
          <t>HS-03: DRINKING WATER QUALITY TESTING REGISTER</t>
        </is>
      </c>
    </row>
    <row r="3" ht="20" customHeight="1">
      <c r="B3" s="17" t="inlineStr">
        <is>
          <t>Monthly water testing mandatory. Test by accredited lab. Parameters: pH (6.5–8.5), TDS (&lt;500 mg/L), Coliform (NIL), E.coli (NIL), Turbidity (&lt;1 NTU), Chlorine (0.2–0.5 mg/L). Retain test reports.</t>
        </is>
      </c>
    </row>
    <row r="4" ht="25" customHeight="1">
      <c r="B4" s="70" t="inlineStr">
        <is>
          <t>Test
Ref.</t>
        </is>
      </c>
      <c r="C4" s="70" t="inlineStr">
        <is>
          <t>Water Source /
Sampling Point</t>
        </is>
      </c>
      <c r="D4" s="70" t="inlineStr">
        <is>
          <t>Date
Sampled</t>
        </is>
      </c>
      <c r="E4" s="70" t="inlineStr">
        <is>
          <t>pH</t>
        </is>
      </c>
      <c r="F4" s="70" t="inlineStr">
        <is>
          <t>TDS
(mg/L)</t>
        </is>
      </c>
      <c r="G4" s="70" t="inlineStr">
        <is>
          <t>Coliform
(MPN)</t>
        </is>
      </c>
      <c r="H4" s="70" t="inlineStr">
        <is>
          <t>E.coli</t>
        </is>
      </c>
      <c r="I4" s="70" t="inlineStr">
        <is>
          <t>Turbidity
(NTU)</t>
        </is>
      </c>
      <c r="J4" s="70" t="inlineStr">
        <is>
          <t>Chlorine
(mg/L)</t>
        </is>
      </c>
      <c r="K4" s="70" t="inlineStr">
        <is>
          <t>Overall
Result</t>
        </is>
      </c>
      <c r="L4" s="70" t="inlineStr">
        <is>
          <t>Lab
Report Ref.</t>
        </is>
      </c>
    </row>
    <row r="5" ht="22" customHeight="1">
      <c r="B5" s="71" t="inlineStr">
        <is>
          <t>WQ/2024/001</t>
        </is>
      </c>
      <c r="C5" s="72" t="inlineStr">
        <is>
          <t>Overhead Tank — Block A</t>
        </is>
      </c>
      <c r="D5" s="73" t="inlineStr"/>
      <c r="E5" s="73" t="inlineStr"/>
      <c r="F5" s="73" t="inlineStr"/>
      <c r="G5" s="73" t="inlineStr"/>
      <c r="H5" s="73" t="inlineStr"/>
      <c r="I5" s="73" t="inlineStr"/>
      <c r="J5" s="73" t="inlineStr"/>
      <c r="K5" s="73" t="inlineStr">
        <is>
          <t>Pass/Fail</t>
        </is>
      </c>
      <c r="L5" s="73" t="inlineStr"/>
    </row>
    <row r="6" ht="22" customHeight="1">
      <c r="B6" s="8" t="inlineStr">
        <is>
          <t>WQ/2024/002</t>
        </is>
      </c>
      <c r="C6" s="9" t="inlineStr">
        <is>
          <t>Overhead Tank — Block B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>
        <is>
          <t>Pass/Fail</t>
        </is>
      </c>
      <c r="L6" s="10" t="inlineStr"/>
    </row>
    <row r="7" ht="22" customHeight="1">
      <c r="B7" s="71" t="inlineStr">
        <is>
          <t>WQ/2024/003</t>
        </is>
      </c>
      <c r="C7" s="72" t="inlineStr">
        <is>
          <t>Overhead Tank — Hostel (Boys)</t>
        </is>
      </c>
      <c r="D7" s="73" t="inlineStr"/>
      <c r="E7" s="73" t="inlineStr"/>
      <c r="F7" s="73" t="inlineStr"/>
      <c r="G7" s="73" t="inlineStr"/>
      <c r="H7" s="73" t="inlineStr"/>
      <c r="I7" s="73" t="inlineStr"/>
      <c r="J7" s="73" t="inlineStr"/>
      <c r="K7" s="73" t="inlineStr">
        <is>
          <t>Pass/Fail</t>
        </is>
      </c>
      <c r="L7" s="73" t="inlineStr"/>
    </row>
    <row r="8" ht="22" customHeight="1">
      <c r="B8" s="8" t="inlineStr">
        <is>
          <t>WQ/2024/004</t>
        </is>
      </c>
      <c r="C8" s="9" t="inlineStr">
        <is>
          <t>Overhead Tank — Hostel (Girls)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>
        <is>
          <t>Pass/Fail</t>
        </is>
      </c>
      <c r="L8" s="10" t="inlineStr"/>
    </row>
    <row r="9" ht="22" customHeight="1">
      <c r="B9" s="71" t="inlineStr">
        <is>
          <t>WQ/2024/005</t>
        </is>
      </c>
      <c r="C9" s="72" t="inlineStr">
        <is>
          <t>Water Cooler — Academic Block</t>
        </is>
      </c>
      <c r="D9" s="73" t="inlineStr"/>
      <c r="E9" s="73" t="inlineStr"/>
      <c r="F9" s="73" t="inlineStr"/>
      <c r="G9" s="73" t="inlineStr"/>
      <c r="H9" s="73" t="inlineStr"/>
      <c r="I9" s="73" t="inlineStr"/>
      <c r="J9" s="73" t="inlineStr"/>
      <c r="K9" s="73" t="inlineStr">
        <is>
          <t>Pass/Fail</t>
        </is>
      </c>
      <c r="L9" s="73" t="inlineStr"/>
    </row>
    <row r="10" ht="22" customHeight="1">
      <c r="B10" s="8" t="inlineStr">
        <is>
          <t>WQ/2024/006</t>
        </is>
      </c>
      <c r="C10" s="9" t="inlineStr">
        <is>
          <t>Water Cooler — Lab Block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Pass/Fail</t>
        </is>
      </c>
      <c r="L10" s="10" t="inlineStr"/>
    </row>
    <row r="11" ht="22" customHeight="1">
      <c r="B11" s="71" t="inlineStr">
        <is>
          <t>WQ/2024/007</t>
        </is>
      </c>
      <c r="C11" s="72" t="inlineStr">
        <is>
          <t>Water Cooler — Library</t>
        </is>
      </c>
      <c r="D11" s="73" t="inlineStr"/>
      <c r="E11" s="73" t="inlineStr"/>
      <c r="F11" s="73" t="inlineStr"/>
      <c r="G11" s="73" t="inlineStr"/>
      <c r="H11" s="73" t="inlineStr"/>
      <c r="I11" s="73" t="inlineStr"/>
      <c r="J11" s="73" t="inlineStr"/>
      <c r="K11" s="73" t="inlineStr">
        <is>
          <t>Pass/Fail</t>
        </is>
      </c>
      <c r="L11" s="73" t="inlineStr"/>
    </row>
    <row r="12" ht="22" customHeight="1">
      <c r="B12" s="8" t="inlineStr">
        <is>
          <t>WQ/2024/008</t>
        </is>
      </c>
      <c r="C12" s="9" t="inlineStr">
        <is>
          <t>RO / Purifier — Canteen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Pass/Fail</t>
        </is>
      </c>
      <c r="L12" s="10" t="inlineStr"/>
    </row>
    <row r="13" ht="22" customHeight="1">
      <c r="B13" s="71" t="inlineStr">
        <is>
          <t>WQ/2024/009</t>
        </is>
      </c>
      <c r="C13" s="72" t="inlineStr">
        <is>
          <t>Tap Water — Boys Toilet Block</t>
        </is>
      </c>
      <c r="D13" s="73" t="inlineStr"/>
      <c r="E13" s="73" t="inlineStr"/>
      <c r="F13" s="73" t="inlineStr"/>
      <c r="G13" s="73" t="inlineStr"/>
      <c r="H13" s="73" t="inlineStr"/>
      <c r="I13" s="73" t="inlineStr"/>
      <c r="J13" s="73" t="inlineStr"/>
      <c r="K13" s="73" t="inlineStr">
        <is>
          <t>Pass/Fail</t>
        </is>
      </c>
      <c r="L13" s="73" t="inlineStr"/>
    </row>
    <row r="14" ht="22" customHeight="1">
      <c r="B14" s="8" t="inlineStr">
        <is>
          <t>WQ/2025/010</t>
        </is>
      </c>
      <c r="C14" s="9" t="inlineStr">
        <is>
          <t>Tap Water — Girls Toilet Block</t>
        </is>
      </c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>
        <is>
          <t>Pass/Fail</t>
        </is>
      </c>
      <c r="L14" s="10" t="inlineStr"/>
    </row>
    <row r="15" ht="22" customHeight="1">
      <c r="B15" s="71" t="inlineStr">
        <is>
          <t>WQ/2025/011</t>
        </is>
      </c>
      <c r="C15" s="72" t="inlineStr">
        <is>
          <t>Borewell / Sump (raw)</t>
        </is>
      </c>
      <c r="D15" s="73" t="inlineStr"/>
      <c r="E15" s="73" t="inlineStr"/>
      <c r="F15" s="73" t="inlineStr"/>
      <c r="G15" s="73" t="inlineStr"/>
      <c r="H15" s="73" t="inlineStr"/>
      <c r="I15" s="73" t="inlineStr"/>
      <c r="J15" s="73" t="inlineStr"/>
      <c r="K15" s="73" t="inlineStr">
        <is>
          <t>Pass/Fail</t>
        </is>
      </c>
      <c r="L15" s="73" t="inlineStr"/>
    </row>
    <row r="16" ht="22" customHeight="1">
      <c r="B16" s="8" t="inlineStr">
        <is>
          <t>WQ/2025/012</t>
        </is>
      </c>
      <c r="C16" s="9" t="inlineStr">
        <is>
          <t>Municipal Supply (inlet)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>
        <is>
          <t>Pass/Fail</t>
        </is>
      </c>
      <c r="L16" s="10" t="inlineStr"/>
    </row>
    <row r="17" ht="22" customHeight="1">
      <c r="B17" s="71" t="inlineStr">
        <is>
          <t>WQ/2025/013</t>
        </is>
      </c>
      <c r="C17" s="72" t="inlineStr">
        <is>
          <t>Overhead Tank — Block A</t>
        </is>
      </c>
      <c r="D17" s="73" t="inlineStr"/>
      <c r="E17" s="73" t="inlineStr"/>
      <c r="F17" s="73" t="inlineStr"/>
      <c r="G17" s="73" t="inlineStr"/>
      <c r="H17" s="73" t="inlineStr"/>
      <c r="I17" s="73" t="inlineStr"/>
      <c r="J17" s="73" t="inlineStr"/>
      <c r="K17" s="73" t="inlineStr">
        <is>
          <t>Pass/Fail</t>
        </is>
      </c>
      <c r="L17" s="73" t="inlineStr"/>
    </row>
    <row r="18" ht="22" customHeight="1">
      <c r="B18" s="8" t="inlineStr">
        <is>
          <t>WQ/2025/014</t>
        </is>
      </c>
      <c r="C18" s="9" t="inlineStr">
        <is>
          <t>Overhead Tank — Block B</t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>
        <is>
          <t>Pass/Fail</t>
        </is>
      </c>
      <c r="L18" s="10" t="inlineStr"/>
    </row>
    <row r="19" ht="22" customHeight="1">
      <c r="B19" s="71" t="inlineStr">
        <is>
          <t>WQ/2025/015</t>
        </is>
      </c>
      <c r="C19" s="72" t="inlineStr">
        <is>
          <t>Overhead Tank — Hostel (Boys)</t>
        </is>
      </c>
      <c r="D19" s="73" t="inlineStr"/>
      <c r="E19" s="73" t="inlineStr"/>
      <c r="F19" s="73" t="inlineStr"/>
      <c r="G19" s="73" t="inlineStr"/>
      <c r="H19" s="73" t="inlineStr"/>
      <c r="I19" s="73" t="inlineStr"/>
      <c r="J19" s="73" t="inlineStr"/>
      <c r="K19" s="73" t="inlineStr">
        <is>
          <t>Pass/Fail</t>
        </is>
      </c>
      <c r="L19" s="73" t="inlineStr"/>
    </row>
    <row r="20" ht="22" customHeight="1">
      <c r="B20" s="8" t="inlineStr">
        <is>
          <t>WQ/2025/016</t>
        </is>
      </c>
      <c r="C20" s="9" t="inlineStr">
        <is>
          <t>Overhead Tank — Hostel (Girls)</t>
        </is>
      </c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>
        <is>
          <t>Pass/Fail</t>
        </is>
      </c>
      <c r="L20" s="10" t="inlineStr"/>
    </row>
    <row r="21" ht="22" customHeight="1">
      <c r="B21" s="71" t="inlineStr">
        <is>
          <t>WQ/2025/017</t>
        </is>
      </c>
      <c r="C21" s="72" t="inlineStr">
        <is>
          <t>Water Cooler — Academic Block</t>
        </is>
      </c>
      <c r="D21" s="73" t="inlineStr"/>
      <c r="E21" s="73" t="inlineStr"/>
      <c r="F21" s="73" t="inlineStr"/>
      <c r="G21" s="73" t="inlineStr"/>
      <c r="H21" s="73" t="inlineStr"/>
      <c r="I21" s="73" t="inlineStr"/>
      <c r="J21" s="73" t="inlineStr"/>
      <c r="K21" s="73" t="inlineStr">
        <is>
          <t>Pass/Fail</t>
        </is>
      </c>
      <c r="L21" s="73" t="inlineStr"/>
    </row>
    <row r="22" ht="22" customHeight="1">
      <c r="B22" s="8" t="inlineStr">
        <is>
          <t>WQ/2025/018</t>
        </is>
      </c>
      <c r="C22" s="9" t="inlineStr">
        <is>
          <t>Water Cooler — Lab Block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>
        <is>
          <t>Pass/Fail</t>
        </is>
      </c>
      <c r="L22" s="10" t="inlineStr"/>
    </row>
    <row r="23" ht="22" customHeight="1"/>
    <row r="24" ht="24" customHeight="1">
      <c r="B24" s="35" t="inlineStr">
        <is>
          <t>WATER QUALITY COMPLIANCE SUMMARY</t>
        </is>
      </c>
    </row>
    <row r="25" ht="22" customHeight="1">
      <c r="B25" s="74" t="inlineStr">
        <is>
          <t>Total Tests Conducted</t>
        </is>
      </c>
      <c r="F25" s="27">
        <f>COUNTA(B5:B22)</f>
        <v/>
      </c>
    </row>
    <row r="26" ht="22" customHeight="1">
      <c r="B26" s="26" t="inlineStr">
        <is>
          <t>Tests PASSED</t>
        </is>
      </c>
      <c r="F26" s="37">
        <f>COUNTIF(K5:K22,"Pass")</f>
        <v/>
      </c>
    </row>
    <row r="27" ht="22" customHeight="1">
      <c r="B27" s="74" t="inlineStr">
        <is>
          <t>Tests FAILED</t>
        </is>
      </c>
      <c r="F27" s="27">
        <f>COUNTIF(K5:K22,"Fail")</f>
        <v/>
      </c>
    </row>
    <row r="28">
      <c r="B28" s="26" t="inlineStr">
        <is>
          <t>Sources with Coliform Detected</t>
        </is>
      </c>
      <c r="F28" s="37">
        <f>COUNTIF(G5:G22,"&gt;"&amp;0)</f>
        <v/>
      </c>
    </row>
    <row r="29">
      <c r="B29" s="74" t="inlineStr">
        <is>
          <t>Average TDS (mg/L)</t>
        </is>
      </c>
      <c r="F29" s="27">
        <f>IFERROR(ROUND(AVERAGE(F5:F22),0),"")</f>
        <v/>
      </c>
    </row>
    <row r="30">
      <c r="B30" s="26" t="inlineStr">
        <is>
          <t>Compliance Rate (%)</t>
        </is>
      </c>
      <c r="F30" s="37">
        <f>IFERROR(ROUND(C26/C25*100,1),"")</f>
        <v/>
      </c>
    </row>
  </sheetData>
  <mergeCells count="15">
    <mergeCell ref="B26:E26"/>
    <mergeCell ref="B27:E27"/>
    <mergeCell ref="F28:L28"/>
    <mergeCell ref="F26:L26"/>
    <mergeCell ref="F27:L27"/>
    <mergeCell ref="F30:L30"/>
    <mergeCell ref="B30:E30"/>
    <mergeCell ref="B24:L24"/>
    <mergeCell ref="B2:L2"/>
    <mergeCell ref="B3:L3"/>
    <mergeCell ref="B29:E29"/>
    <mergeCell ref="B25:E25"/>
    <mergeCell ref="F29:L29"/>
    <mergeCell ref="B28:E28"/>
    <mergeCell ref="F25:L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HS-06: PEST CONTROL TREATMENT REGISTER</t>
        </is>
      </c>
    </row>
    <row r="3" ht="20" customHeight="1">
      <c r="B3" s="17" t="inlineStr">
        <is>
          <t>Pest control must be done by licensed pest control operators (PCO) holding valid licence. Retain treatment certificates. Canteen area treatment must be done when canteen is CLOSED and food removed/covered.</t>
        </is>
      </c>
    </row>
    <row r="4" ht="25" customHeight="1">
      <c r="B4" s="62" t="inlineStr">
        <is>
          <t>Treatment
Ref.</t>
        </is>
      </c>
      <c r="C4" s="62" t="inlineStr">
        <is>
          <t>Area Treated</t>
        </is>
      </c>
      <c r="D4" s="62" t="inlineStr">
        <is>
          <t>Pest Type
Targeted</t>
        </is>
      </c>
      <c r="E4" s="62" t="inlineStr">
        <is>
          <t>Treatment
Type</t>
        </is>
      </c>
      <c r="F4" s="62" t="inlineStr">
        <is>
          <t>Chemical
Used</t>
        </is>
      </c>
      <c r="G4" s="62" t="inlineStr">
        <is>
          <t>PCO Name
/ Licence No.</t>
        </is>
      </c>
      <c r="H4" s="62" t="inlineStr">
        <is>
          <t>Date of
Treatment</t>
        </is>
      </c>
      <c r="I4" s="62" t="inlineStr">
        <is>
          <t>Next Due
Date</t>
        </is>
      </c>
      <c r="J4" s="62" t="inlineStr">
        <is>
          <t>Certificate
Available</t>
        </is>
      </c>
    </row>
    <row r="5" ht="22" customHeight="1">
      <c r="B5" s="75" t="inlineStr">
        <is>
          <t>PC/2024/001</t>
        </is>
      </c>
      <c r="C5" s="65" t="inlineStr">
        <is>
          <t>Canteen — Kitchen &amp; Storage</t>
        </is>
      </c>
      <c r="D5" s="63" t="inlineStr">
        <is>
          <t>Cockroaches</t>
        </is>
      </c>
      <c r="E5" s="63" t="inlineStr">
        <is>
          <t>Spraying (Residual)</t>
        </is>
      </c>
      <c r="F5" s="63" t="inlineStr"/>
      <c r="G5" s="65" t="inlineStr"/>
      <c r="H5" s="63" t="inlineStr"/>
      <c r="I5" s="63" t="inlineStr"/>
      <c r="J5" s="63" t="inlineStr">
        <is>
          <t>Y</t>
        </is>
      </c>
    </row>
    <row r="6" ht="22" customHeight="1">
      <c r="B6" s="8" t="inlineStr">
        <is>
          <t>PC/2024/002</t>
        </is>
      </c>
      <c r="C6" s="9" t="inlineStr">
        <is>
          <t>Canteen — Dining Area</t>
        </is>
      </c>
      <c r="D6" s="10" t="inlineStr">
        <is>
          <t>Rodents (Rats/Mice)</t>
        </is>
      </c>
      <c r="E6" s="10" t="inlineStr">
        <is>
          <t>Gel Treatment</t>
        </is>
      </c>
      <c r="F6" s="10" t="inlineStr"/>
      <c r="G6" s="9" t="inlineStr"/>
      <c r="H6" s="10" t="inlineStr"/>
      <c r="I6" s="10" t="inlineStr"/>
      <c r="J6" s="10" t="inlineStr">
        <is>
          <t>Y</t>
        </is>
      </c>
    </row>
    <row r="7" ht="22" customHeight="1">
      <c r="B7" s="75" t="inlineStr">
        <is>
          <t>PC/2024/003</t>
        </is>
      </c>
      <c r="C7" s="65" t="inlineStr">
        <is>
          <t>All Toilet Blocks</t>
        </is>
      </c>
      <c r="D7" s="63" t="inlineStr">
        <is>
          <t>Flies &amp; Mosquitoes</t>
        </is>
      </c>
      <c r="E7" s="63" t="inlineStr">
        <is>
          <t>Fumigation</t>
        </is>
      </c>
      <c r="F7" s="63" t="inlineStr"/>
      <c r="G7" s="65" t="inlineStr"/>
      <c r="H7" s="63" t="inlineStr"/>
      <c r="I7" s="63" t="inlineStr"/>
      <c r="J7" s="63" t="inlineStr">
        <is>
          <t>Y</t>
        </is>
      </c>
    </row>
    <row r="8" ht="22" customHeight="1">
      <c r="B8" s="8" t="inlineStr">
        <is>
          <t>PC/2024/004</t>
        </is>
      </c>
      <c r="C8" s="9" t="inlineStr">
        <is>
          <t>Classrooms &amp; Corridors</t>
        </is>
      </c>
      <c r="D8" s="10" t="inlineStr">
        <is>
          <t>Ants</t>
        </is>
      </c>
      <c r="E8" s="10" t="inlineStr">
        <is>
          <t>Fogging</t>
        </is>
      </c>
      <c r="F8" s="10" t="inlineStr"/>
      <c r="G8" s="9" t="inlineStr"/>
      <c r="H8" s="10" t="inlineStr"/>
      <c r="I8" s="10" t="inlineStr"/>
      <c r="J8" s="10" t="inlineStr">
        <is>
          <t>Y</t>
        </is>
      </c>
    </row>
    <row r="9" ht="22" customHeight="1">
      <c r="B9" s="75" t="inlineStr">
        <is>
          <t>PC/2024/005</t>
        </is>
      </c>
      <c r="C9" s="65" t="inlineStr">
        <is>
          <t>Laboratories</t>
        </is>
      </c>
      <c r="D9" s="63" t="inlineStr">
        <is>
          <t>Termites (White Ants)</t>
        </is>
      </c>
      <c r="E9" s="63" t="inlineStr">
        <is>
          <t>Baiting Stations</t>
        </is>
      </c>
      <c r="F9" s="63" t="inlineStr"/>
      <c r="G9" s="65" t="inlineStr"/>
      <c r="H9" s="63" t="inlineStr"/>
      <c r="I9" s="63" t="inlineStr"/>
      <c r="J9" s="63" t="inlineStr">
        <is>
          <t>Y</t>
        </is>
      </c>
    </row>
    <row r="10" ht="22" customHeight="1">
      <c r="B10" s="8" t="inlineStr">
        <is>
          <t>PC/2024/006</t>
        </is>
      </c>
      <c r="C10" s="9" t="inlineStr">
        <is>
          <t>Library</t>
        </is>
      </c>
      <c r="D10" s="10" t="inlineStr">
        <is>
          <t>Bedbugs</t>
        </is>
      </c>
      <c r="E10" s="10" t="inlineStr">
        <is>
          <t>ULV Treatment</t>
        </is>
      </c>
      <c r="F10" s="10" t="inlineStr"/>
      <c r="G10" s="9" t="inlineStr"/>
      <c r="H10" s="10" t="inlineStr"/>
      <c r="I10" s="10" t="inlineStr"/>
      <c r="J10" s="10" t="inlineStr">
        <is>
          <t>Y</t>
        </is>
      </c>
    </row>
    <row r="11" ht="22" customHeight="1">
      <c r="B11" s="75" t="inlineStr">
        <is>
          <t>PC/2024/007</t>
        </is>
      </c>
      <c r="C11" s="65" t="inlineStr">
        <is>
          <t>Hostel — Common Areas</t>
        </is>
      </c>
      <c r="D11" s="63" t="inlineStr">
        <is>
          <t>Lizards</t>
        </is>
      </c>
      <c r="E11" s="63" t="inlineStr">
        <is>
          <t>Termite Proofing</t>
        </is>
      </c>
      <c r="F11" s="63" t="inlineStr"/>
      <c r="G11" s="65" t="inlineStr"/>
      <c r="H11" s="63" t="inlineStr"/>
      <c r="I11" s="63" t="inlineStr"/>
      <c r="J11" s="63" t="inlineStr">
        <is>
          <t>Y</t>
        </is>
      </c>
    </row>
    <row r="12" ht="22" customHeight="1">
      <c r="B12" s="8" t="inlineStr">
        <is>
          <t>PC/2024/008</t>
        </is>
      </c>
      <c r="C12" s="9" t="inlineStr">
        <is>
          <t>Hostel — Rooms</t>
        </is>
      </c>
      <c r="D12" s="10" t="inlineStr">
        <is>
          <t>General Pest Control</t>
        </is>
      </c>
      <c r="E12" s="10" t="inlineStr">
        <is>
          <t>Spraying (Residual)</t>
        </is>
      </c>
      <c r="F12" s="10" t="inlineStr"/>
      <c r="G12" s="9" t="inlineStr"/>
      <c r="H12" s="10" t="inlineStr"/>
      <c r="I12" s="10" t="inlineStr"/>
      <c r="J12" s="10" t="inlineStr">
        <is>
          <t>Y</t>
        </is>
      </c>
    </row>
    <row r="13" ht="22" customHeight="1">
      <c r="B13" s="75" t="inlineStr">
        <is>
          <t>PC/2024/009</t>
        </is>
      </c>
      <c r="C13" s="65" t="inlineStr">
        <is>
          <t>Administrative Block</t>
        </is>
      </c>
      <c r="D13" s="63" t="inlineStr">
        <is>
          <t>Cockroaches</t>
        </is>
      </c>
      <c r="E13" s="63" t="inlineStr">
        <is>
          <t>Gel Treatment</t>
        </is>
      </c>
      <c r="F13" s="63" t="inlineStr"/>
      <c r="G13" s="65" t="inlineStr"/>
      <c r="H13" s="63" t="inlineStr"/>
      <c r="I13" s="63" t="inlineStr"/>
      <c r="J13" s="63" t="inlineStr">
        <is>
          <t>Y</t>
        </is>
      </c>
    </row>
    <row r="14" ht="22" customHeight="1">
      <c r="B14" s="8" t="inlineStr">
        <is>
          <t>PC/2025/010</t>
        </is>
      </c>
      <c r="C14" s="9" t="inlineStr">
        <is>
          <t>Underground / Overhead Tanks</t>
        </is>
      </c>
      <c r="D14" s="10" t="inlineStr">
        <is>
          <t>Rodents (Rats/Mice)</t>
        </is>
      </c>
      <c r="E14" s="10" t="inlineStr">
        <is>
          <t>Fumigation</t>
        </is>
      </c>
      <c r="F14" s="10" t="inlineStr"/>
      <c r="G14" s="9" t="inlineStr"/>
      <c r="H14" s="10" t="inlineStr"/>
      <c r="I14" s="10" t="inlineStr"/>
      <c r="J14" s="10" t="inlineStr">
        <is>
          <t>Y</t>
        </is>
      </c>
    </row>
    <row r="15" ht="22" customHeight="1">
      <c r="B15" s="75" t="inlineStr">
        <is>
          <t>PC/2025/011</t>
        </is>
      </c>
      <c r="C15" s="65" t="inlineStr">
        <is>
          <t>Drainage &amp; Sewer Points</t>
        </is>
      </c>
      <c r="D15" s="63" t="inlineStr">
        <is>
          <t>Flies &amp; Mosquitoes</t>
        </is>
      </c>
      <c r="E15" s="63" t="inlineStr">
        <is>
          <t>Fogging</t>
        </is>
      </c>
      <c r="F15" s="63" t="inlineStr"/>
      <c r="G15" s="65" t="inlineStr"/>
      <c r="H15" s="63" t="inlineStr"/>
      <c r="I15" s="63" t="inlineStr"/>
      <c r="J15" s="63" t="inlineStr">
        <is>
          <t>Y</t>
        </is>
      </c>
    </row>
    <row r="16" ht="22" customHeight="1">
      <c r="B16" s="8" t="inlineStr">
        <is>
          <t>PC/2025/012</t>
        </is>
      </c>
      <c r="C16" s="9" t="inlineStr">
        <is>
          <t>Campus Outdoors</t>
        </is>
      </c>
      <c r="D16" s="10" t="inlineStr">
        <is>
          <t>Ants</t>
        </is>
      </c>
      <c r="E16" s="10" t="inlineStr">
        <is>
          <t>Baiting Stations</t>
        </is>
      </c>
      <c r="F16" s="10" t="inlineStr"/>
      <c r="G16" s="9" t="inlineStr"/>
      <c r="H16" s="10" t="inlineStr"/>
      <c r="I16" s="10" t="inlineStr"/>
      <c r="J16" s="10" t="inlineStr">
        <is>
          <t>Y</t>
        </is>
      </c>
    </row>
    <row r="17" ht="22" customHeight="1">
      <c r="B17" s="75" t="inlineStr">
        <is>
          <t>PC/2025/013</t>
        </is>
      </c>
      <c r="C17" s="65" t="inlineStr">
        <is>
          <t>Canteen — Kitchen &amp; Storage</t>
        </is>
      </c>
      <c r="D17" s="63" t="inlineStr">
        <is>
          <t>Termites (White Ants)</t>
        </is>
      </c>
      <c r="E17" s="63" t="inlineStr">
        <is>
          <t>ULV Treatment</t>
        </is>
      </c>
      <c r="F17" s="63" t="inlineStr"/>
      <c r="G17" s="65" t="inlineStr"/>
      <c r="H17" s="63" t="inlineStr"/>
      <c r="I17" s="63" t="inlineStr"/>
      <c r="J17" s="63" t="inlineStr">
        <is>
          <t>Y</t>
        </is>
      </c>
    </row>
    <row r="18" ht="22" customHeight="1">
      <c r="B18" s="8" t="inlineStr">
        <is>
          <t>PC/2025/014</t>
        </is>
      </c>
      <c r="C18" s="9" t="inlineStr">
        <is>
          <t>Canteen — Dining Area</t>
        </is>
      </c>
      <c r="D18" s="10" t="inlineStr">
        <is>
          <t>Bedbugs</t>
        </is>
      </c>
      <c r="E18" s="10" t="inlineStr">
        <is>
          <t>Termite Proofing</t>
        </is>
      </c>
      <c r="F18" s="10" t="inlineStr"/>
      <c r="G18" s="9" t="inlineStr"/>
      <c r="H18" s="10" t="inlineStr"/>
      <c r="I18" s="10" t="inlineStr"/>
      <c r="J18" s="10" t="inlineStr">
        <is>
          <t>Y</t>
        </is>
      </c>
    </row>
    <row r="19" ht="22" customHeight="1">
      <c r="B19" s="75" t="inlineStr">
        <is>
          <t>PC/2025/015</t>
        </is>
      </c>
      <c r="C19" s="65" t="inlineStr">
        <is>
          <t>All Toilet Blocks</t>
        </is>
      </c>
      <c r="D19" s="63" t="inlineStr">
        <is>
          <t>Lizards</t>
        </is>
      </c>
      <c r="E19" s="63" t="inlineStr">
        <is>
          <t>Spraying (Residual)</t>
        </is>
      </c>
      <c r="F19" s="63" t="inlineStr"/>
      <c r="G19" s="65" t="inlineStr"/>
      <c r="H19" s="63" t="inlineStr"/>
      <c r="I19" s="63" t="inlineStr"/>
      <c r="J19" s="63" t="inlineStr">
        <is>
          <t>Y</t>
        </is>
      </c>
    </row>
    <row r="20" ht="22" customHeight="1">
      <c r="B20" s="8" t="inlineStr">
        <is>
          <t>PC/2025/016</t>
        </is>
      </c>
      <c r="C20" s="9" t="inlineStr">
        <is>
          <t>Classrooms &amp; Corridors</t>
        </is>
      </c>
      <c r="D20" s="10" t="inlineStr">
        <is>
          <t>General Pest Control</t>
        </is>
      </c>
      <c r="E20" s="10" t="inlineStr">
        <is>
          <t>Gel Treatment</t>
        </is>
      </c>
      <c r="F20" s="10" t="inlineStr"/>
      <c r="G20" s="9" t="inlineStr"/>
      <c r="H20" s="10" t="inlineStr"/>
      <c r="I20" s="10" t="inlineStr"/>
      <c r="J20" s="10" t="inlineStr">
        <is>
          <t>Y</t>
        </is>
      </c>
    </row>
    <row r="21" ht="22" customHeight="1">
      <c r="B21" s="75" t="inlineStr">
        <is>
          <t>PC/2025/017</t>
        </is>
      </c>
      <c r="C21" s="65" t="inlineStr">
        <is>
          <t>Laboratories</t>
        </is>
      </c>
      <c r="D21" s="63" t="inlineStr">
        <is>
          <t>Cockroaches</t>
        </is>
      </c>
      <c r="E21" s="63" t="inlineStr">
        <is>
          <t>Fumigation</t>
        </is>
      </c>
      <c r="F21" s="63" t="inlineStr"/>
      <c r="G21" s="65" t="inlineStr"/>
      <c r="H21" s="63" t="inlineStr"/>
      <c r="I21" s="63" t="inlineStr"/>
      <c r="J21" s="63" t="inlineStr">
        <is>
          <t>Y</t>
        </is>
      </c>
    </row>
    <row r="22" ht="22" customHeight="1">
      <c r="B22" s="8" t="inlineStr">
        <is>
          <t>PC/2025/018</t>
        </is>
      </c>
      <c r="C22" s="9" t="inlineStr">
        <is>
          <t>Library</t>
        </is>
      </c>
      <c r="D22" s="10" t="inlineStr">
        <is>
          <t>Rodents (Rats/Mice)</t>
        </is>
      </c>
      <c r="E22" s="10" t="inlineStr">
        <is>
          <t>Fogging</t>
        </is>
      </c>
      <c r="F22" s="10" t="inlineStr"/>
      <c r="G22" s="9" t="inlineStr"/>
      <c r="H22" s="10" t="inlineStr"/>
      <c r="I22" s="10" t="inlineStr"/>
      <c r="J22" s="10" t="inlineStr">
        <is>
          <t>Y</t>
        </is>
      </c>
    </row>
    <row r="23" ht="22" customHeight="1"/>
    <row r="24" ht="24" customHeight="1">
      <c r="B24" s="35" t="inlineStr">
        <is>
          <t>PEST CONTROL SUMMARY</t>
        </is>
      </c>
    </row>
    <row r="25" ht="22" customHeight="1">
      <c r="B25" s="64" t="inlineStr">
        <is>
          <t>Total Treatments Done (Year)</t>
        </is>
      </c>
      <c r="F25" s="27">
        <f>COUNTA(B5:B22)</f>
        <v/>
      </c>
    </row>
    <row r="26" ht="22" customHeight="1">
      <c r="B26" s="26" t="inlineStr">
        <is>
          <t>Areas Treated Quarterly+</t>
        </is>
      </c>
      <c r="F26" s="37" t="inlineStr"/>
    </row>
    <row r="27" ht="22" customHeight="1">
      <c r="B27" s="64" t="inlineStr">
        <is>
          <t>Cockroach Treatments</t>
        </is>
      </c>
      <c r="F27" s="27">
        <f>COUNTIF(D5:D22,"Cockroaches")</f>
        <v/>
      </c>
    </row>
    <row r="28">
      <c r="B28" s="26" t="inlineStr">
        <is>
          <t>Rodent Control</t>
        </is>
      </c>
      <c r="F28" s="37">
        <f>COUNTIF(D5:D22,"Rodents (Rats/Mice)")</f>
        <v/>
      </c>
    </row>
    <row r="29">
      <c r="B29" s="64" t="inlineStr">
        <is>
          <t>Treatments with Certificate</t>
        </is>
      </c>
      <c r="F29" s="27">
        <f>COUNTIF(J5:J22,"Y")</f>
        <v/>
      </c>
    </row>
    <row r="30">
      <c r="B30" s="26" t="inlineStr">
        <is>
          <t>% with PCO Certificate</t>
        </is>
      </c>
      <c r="F30" s="37">
        <f>IFERROR(ROUND(C30/C25*100,1),"")</f>
        <v/>
      </c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CHHS-21: STUDENT SATISFACTION SURVEY — CANTEEN, HYGIENE &amp; CAMPUS CLEANLINESS</t>
        </is>
      </c>
    </row>
    <row r="3" ht="25" customHeight="1">
      <c r="B3" s="2" t="inlineStr">
        <is>
          <t>A.Y.: _______  Respondents: _______  Date: _______  CHHS Coordinator: ___________________</t>
        </is>
      </c>
    </row>
    <row r="4" ht="22" customHeight="1">
      <c r="B4" s="76" t="inlineStr">
        <is>
          <t>Scale: 1 = Very Dissatisfied  |  2 = Dissatisfied  |  3 = Neutral  |  4 = Satisfied  |  5 = Very Satisfied</t>
        </is>
      </c>
    </row>
    <row r="5" ht="24" customHeight="1">
      <c r="B5" s="20" t="inlineStr">
        <is>
          <t>A. CANTEEN &amp; FOOD SERVICES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Very
Satisfied (5)</t>
        </is>
      </c>
      <c r="E6" s="13" t="inlineStr">
        <is>
          <t>Satisfied
(4)</t>
        </is>
      </c>
      <c r="F6" s="13" t="inlineStr">
        <is>
          <t>Neutral
(3)</t>
        </is>
      </c>
      <c r="G6" s="13" t="inlineStr">
        <is>
          <t>Dissatisfied
(2)</t>
        </is>
      </c>
      <c r="H6" s="13" t="inlineStr">
        <is>
          <t>Very
Dissatisfied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Quality and taste of food served in the canteen</t>
        </is>
      </c>
      <c r="D7" s="16" t="inlineStr"/>
      <c r="E7" s="16" t="inlineStr"/>
      <c r="F7" s="16" t="inlineStr"/>
      <c r="G7" s="16" t="inlineStr"/>
      <c r="H7" s="16" t="inlineStr"/>
      <c r="I7" s="27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Freshness and hygiene of food items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Variety and adequacy of menu options</t>
        </is>
      </c>
      <c r="D9" s="16" t="inlineStr"/>
      <c r="E9" s="16" t="inlineStr"/>
      <c r="F9" s="16" t="inlineStr"/>
      <c r="G9" s="16" t="inlineStr"/>
      <c r="H9" s="16" t="inlineStr"/>
      <c r="I9" s="27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Pricing — affordability and value for money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Cleanliness of canteen area and dining tables</t>
        </is>
      </c>
      <c r="D11" s="16" t="inlineStr"/>
      <c r="E11" s="16" t="inlineStr"/>
      <c r="F11" s="16" t="inlineStr"/>
      <c r="G11" s="16" t="inlineStr"/>
      <c r="H11" s="16" t="inlineStr"/>
      <c r="I11" s="27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Hygiene and cleanliness of canteen staff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>
      <c r="B13" s="14" t="inlineStr">
        <is>
          <t>Q7</t>
        </is>
      </c>
      <c r="C13" s="15" t="inlineStr">
        <is>
          <t>Speed and efficiency of canteen service</t>
        </is>
      </c>
      <c r="D13" s="16" t="inlineStr"/>
      <c r="E13" s="16" t="inlineStr"/>
      <c r="F13" s="16" t="inlineStr"/>
      <c r="G13" s="16" t="inlineStr"/>
      <c r="H13" s="16" t="inlineStr"/>
      <c r="I13" s="27">
        <f>IFERROR(ROUND((D13*5+E13*4+F13*3+G13*2+H13)/SUM(D13:H13),2),"")</f>
        <v/>
      </c>
    </row>
    <row r="14" ht="22" customHeight="1">
      <c r="B14" s="8" t="inlineStr">
        <is>
          <t>Q8</t>
        </is>
      </c>
      <c r="C14" s="9" t="inlineStr">
        <is>
          <t>Availability of drinking water in canteen area</t>
        </is>
      </c>
      <c r="D14" s="10" t="inlineStr"/>
      <c r="E14" s="10" t="inlineStr"/>
      <c r="F14" s="10" t="inlineStr"/>
      <c r="G14" s="10" t="inlineStr"/>
      <c r="H14" s="10" t="inlineStr"/>
      <c r="I14" s="37">
        <f>IFERROR(ROUND((D14*5+E14*4+F14*3+G14*2+H14)/SUM(D14:H14),2),"")</f>
        <v/>
      </c>
    </row>
    <row r="15" ht="22" customHeight="1"/>
    <row r="16" ht="24" customHeight="1">
      <c r="B16" s="44" t="inlineStr">
        <is>
          <t>B. CAMPUS CLEANLINESS &amp; HOUSEKEEPING</t>
        </is>
      </c>
    </row>
    <row r="17" ht="22" customHeight="1">
      <c r="B17" s="45" t="inlineStr">
        <is>
          <t>Q.</t>
        </is>
      </c>
      <c r="C17" s="45" t="inlineStr">
        <is>
          <t>Survey Statement</t>
        </is>
      </c>
      <c r="D17" s="45" t="inlineStr">
        <is>
          <t>Very
Satisfied (5)</t>
        </is>
      </c>
      <c r="E17" s="45" t="inlineStr">
        <is>
          <t>Satisfied
(4)</t>
        </is>
      </c>
      <c r="F17" s="45" t="inlineStr">
        <is>
          <t>Neutral
(3)</t>
        </is>
      </c>
      <c r="G17" s="45" t="inlineStr">
        <is>
          <t>Dissatisfied
(2)</t>
        </is>
      </c>
      <c r="H17" s="45" t="inlineStr">
        <is>
          <t>Very
Dissatisfied (1)</t>
        </is>
      </c>
      <c r="I17" s="45" t="inlineStr">
        <is>
          <t>Avg Score</t>
        </is>
      </c>
    </row>
    <row r="18" ht="22" customHeight="1">
      <c r="B18" s="58" t="inlineStr">
        <is>
          <t>Q9</t>
        </is>
      </c>
      <c r="C18" s="60" t="inlineStr">
        <is>
          <t>Cleanliness of classrooms and lecture halls</t>
        </is>
      </c>
      <c r="D18" s="59" t="inlineStr"/>
      <c r="E18" s="59" t="inlineStr"/>
      <c r="F18" s="59" t="inlineStr"/>
      <c r="G18" s="59" t="inlineStr"/>
      <c r="H18" s="59" t="inlineStr"/>
      <c r="I18" s="77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Cleanliness of corridors and staircases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58" t="inlineStr">
        <is>
          <t>Q11</t>
        </is>
      </c>
      <c r="C20" s="60" t="inlineStr">
        <is>
          <t>Cleanliness of library and reading room</t>
        </is>
      </c>
      <c r="D20" s="59" t="inlineStr"/>
      <c r="E20" s="59" t="inlineStr"/>
      <c r="F20" s="59" t="inlineStr"/>
      <c r="G20" s="59" t="inlineStr"/>
      <c r="H20" s="59" t="inlineStr"/>
      <c r="I20" s="77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Cleanliness of laboratories and workshops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>
      <c r="B22" s="58" t="inlineStr">
        <is>
          <t>Q13</t>
        </is>
      </c>
      <c r="C22" s="60" t="inlineStr">
        <is>
          <t>Garbage collection and bin maintenance on campus</t>
        </is>
      </c>
      <c r="D22" s="59" t="inlineStr"/>
      <c r="E22" s="59" t="inlineStr"/>
      <c r="F22" s="59" t="inlineStr"/>
      <c r="G22" s="59" t="inlineStr"/>
      <c r="H22" s="59" t="inlineStr"/>
      <c r="I22" s="77">
        <f>IFERROR(ROUND((D22*5+E22*4+F22*3+G22*2+H22)/SUM(D22:H22),2),"")</f>
        <v/>
      </c>
    </row>
    <row r="23" ht="22" customHeight="1">
      <c r="B23" s="8" t="inlineStr">
        <is>
          <t>Q14</t>
        </is>
      </c>
      <c r="C23" s="9" t="inlineStr">
        <is>
          <t>Waste segregation practices (dry / wet)</t>
        </is>
      </c>
      <c r="D23" s="10" t="inlineStr"/>
      <c r="E23" s="10" t="inlineStr"/>
      <c r="F23" s="10" t="inlineStr"/>
      <c r="G23" s="10" t="inlineStr"/>
      <c r="H23" s="10" t="inlineStr"/>
      <c r="I23" s="37">
        <f>IFERROR(ROUND((D23*5+E23*4+F23*3+G23*2+H23)/SUM(D23:H23),2),"")</f>
        <v/>
      </c>
    </row>
    <row r="24" ht="22" customHeight="1">
      <c r="B24" s="58" t="inlineStr">
        <is>
          <t>Q15</t>
        </is>
      </c>
      <c r="C24" s="60" t="inlineStr">
        <is>
          <t>Overall appearance and cleanliness of campus</t>
        </is>
      </c>
      <c r="D24" s="59" t="inlineStr"/>
      <c r="E24" s="59" t="inlineStr"/>
      <c r="F24" s="59" t="inlineStr"/>
      <c r="G24" s="59" t="inlineStr"/>
      <c r="H24" s="59" t="inlineStr"/>
      <c r="I24" s="77">
        <f>IFERROR(ROUND((D24*5+E24*4+F24*3+G24*2+H24)/SUM(D24:H24),2),"")</f>
        <v/>
      </c>
    </row>
    <row r="25" ht="22" customHeight="1"/>
    <row r="26" ht="24" customHeight="1">
      <c r="B26" s="35" t="inlineStr">
        <is>
          <t>C. TOILETS &amp; WASHROOM FACILITIES</t>
        </is>
      </c>
    </row>
    <row r="27" ht="22" customHeight="1">
      <c r="B27" s="31" t="inlineStr">
        <is>
          <t>Q.</t>
        </is>
      </c>
      <c r="C27" s="31" t="inlineStr">
        <is>
          <t>Survey Statement</t>
        </is>
      </c>
      <c r="D27" s="31" t="inlineStr">
        <is>
          <t>Very
Satisfied (5)</t>
        </is>
      </c>
      <c r="E27" s="31" t="inlineStr">
        <is>
          <t>Satisfied
(4)</t>
        </is>
      </c>
      <c r="F27" s="31" t="inlineStr">
        <is>
          <t>Neutral
(3)</t>
        </is>
      </c>
      <c r="G27" s="31" t="inlineStr">
        <is>
          <t>Dissatisfied
(2)</t>
        </is>
      </c>
      <c r="H27" s="31" t="inlineStr">
        <is>
          <t>Very
Dissatisfied (1)</t>
        </is>
      </c>
      <c r="I27" s="31" t="inlineStr">
        <is>
          <t>Avg Score</t>
        </is>
      </c>
    </row>
    <row r="28" ht="22" customHeight="1">
      <c r="B28" s="32" t="inlineStr">
        <is>
          <t>Q16</t>
        </is>
      </c>
      <c r="C28" s="33" t="inlineStr">
        <is>
          <t>Number of toilets — adequate for student strength</t>
        </is>
      </c>
      <c r="D28" s="34" t="inlineStr"/>
      <c r="E28" s="34" t="inlineStr"/>
      <c r="F28" s="34" t="inlineStr"/>
      <c r="G28" s="34" t="inlineStr"/>
      <c r="H28" s="34" t="inlineStr"/>
      <c r="I28" s="78">
        <f>IFERROR(ROUND((D28*5+E28*4+F28*3+G28*2+H28)/SUM(D28:H28),2),"")</f>
        <v/>
      </c>
    </row>
    <row r="29" ht="22" customHeight="1">
      <c r="B29" s="8" t="inlineStr">
        <is>
          <t>Q17</t>
        </is>
      </c>
      <c r="C29" s="9" t="inlineStr">
        <is>
          <t>Cleanliness of toilet blocks throughout the day</t>
        </is>
      </c>
      <c r="D29" s="10" t="inlineStr"/>
      <c r="E29" s="10" t="inlineStr"/>
      <c r="F29" s="10" t="inlineStr"/>
      <c r="G29" s="10" t="inlineStr"/>
      <c r="H29" s="10" t="inlineStr"/>
      <c r="I29" s="37">
        <f>IFERROR(ROUND((D29*5+E29*4+F29*3+G29*2+H29)/SUM(D29:H29),2),"")</f>
        <v/>
      </c>
    </row>
    <row r="30" ht="22" customHeight="1">
      <c r="B30" s="32" t="inlineStr">
        <is>
          <t>Q18</t>
        </is>
      </c>
      <c r="C30" s="33" t="inlineStr">
        <is>
          <t>Availability of water supply in toilets</t>
        </is>
      </c>
      <c r="D30" s="34" t="inlineStr"/>
      <c r="E30" s="34" t="inlineStr"/>
      <c r="F30" s="34" t="inlineStr"/>
      <c r="G30" s="34" t="inlineStr"/>
      <c r="H30" s="34" t="inlineStr"/>
      <c r="I30" s="78">
        <f>IFERROR(ROUND((D30*5+E30*4+F30*3+G30*2+H30)/SUM(D30:H30),2),"")</f>
        <v/>
      </c>
    </row>
    <row r="31" ht="22" customHeight="1">
      <c r="B31" s="8" t="inlineStr">
        <is>
          <t>Q19</t>
        </is>
      </c>
      <c r="C31" s="9" t="inlineStr">
        <is>
          <t>Availability of soap and hand sanitizer</t>
        </is>
      </c>
      <c r="D31" s="10" t="inlineStr"/>
      <c r="E31" s="10" t="inlineStr"/>
      <c r="F31" s="10" t="inlineStr"/>
      <c r="G31" s="10" t="inlineStr"/>
      <c r="H31" s="10" t="inlineStr"/>
      <c r="I31" s="37">
        <f>IFERROR(ROUND((D31*5+E31*4+F31*3+G31*2+H31)/SUM(D31:H31),2),"")</f>
        <v/>
      </c>
    </row>
    <row r="32" ht="22" customHeight="1">
      <c r="B32" s="32" t="inlineStr">
        <is>
          <t>Q20</t>
        </is>
      </c>
      <c r="C32" s="33" t="inlineStr">
        <is>
          <t>Smell and ventilation in toilet blocks</t>
        </is>
      </c>
      <c r="D32" s="34" t="inlineStr"/>
      <c r="E32" s="34" t="inlineStr"/>
      <c r="F32" s="34" t="inlineStr"/>
      <c r="G32" s="34" t="inlineStr"/>
      <c r="H32" s="34" t="inlineStr"/>
      <c r="I32" s="78">
        <f>IFERROR(ROUND((D32*5+E32*4+F32*3+G32*2+H32)/SUM(D32:H32),2),"")</f>
        <v/>
      </c>
    </row>
    <row r="33" ht="22" customHeight="1">
      <c r="B33" s="8" t="inlineStr">
        <is>
          <t>Q21</t>
        </is>
      </c>
      <c r="C33" s="9" t="inlineStr">
        <is>
          <t>Toilet hygiene — frequency of cleaning</t>
        </is>
      </c>
      <c r="D33" s="10" t="inlineStr"/>
      <c r="E33" s="10" t="inlineStr"/>
      <c r="F33" s="10" t="inlineStr"/>
      <c r="G33" s="10" t="inlineStr"/>
      <c r="H33" s="10" t="inlineStr"/>
      <c r="I33" s="37">
        <f>IFERROR(ROUND((D33*5+E33*4+F33*3+G33*2+H33)/SUM(D33:H33),2),"")</f>
        <v/>
      </c>
    </row>
    <row r="34" ht="22" customHeight="1">
      <c r="B34" s="32" t="inlineStr">
        <is>
          <t>Q22</t>
        </is>
      </c>
      <c r="C34" s="33" t="inlineStr">
        <is>
          <t>Safety and privacy in toilet areas</t>
        </is>
      </c>
      <c r="D34" s="34" t="inlineStr"/>
      <c r="E34" s="34" t="inlineStr"/>
      <c r="F34" s="34" t="inlineStr"/>
      <c r="G34" s="34" t="inlineStr"/>
      <c r="H34" s="34" t="inlineStr"/>
      <c r="I34" s="78">
        <f>IFERROR(ROUND((D34*5+E34*4+F34*3+G34*2+H34)/SUM(D34:H34),2),"")</f>
        <v/>
      </c>
    </row>
    <row r="35" ht="22" customHeight="1"/>
    <row r="36" ht="24" customHeight="1">
      <c r="B36" s="79" t="inlineStr">
        <is>
          <t>D. WATER &amp; SANITATION</t>
        </is>
      </c>
    </row>
    <row r="37" ht="22" customHeight="1">
      <c r="B37" s="70" t="inlineStr">
        <is>
          <t>Q.</t>
        </is>
      </c>
      <c r="C37" s="70" t="inlineStr">
        <is>
          <t>Survey Statement</t>
        </is>
      </c>
      <c r="D37" s="70" t="inlineStr">
        <is>
          <t>Very
Satisfied (5)</t>
        </is>
      </c>
      <c r="E37" s="70" t="inlineStr">
        <is>
          <t>Satisfied
(4)</t>
        </is>
      </c>
      <c r="F37" s="70" t="inlineStr">
        <is>
          <t>Neutral
(3)</t>
        </is>
      </c>
      <c r="G37" s="70" t="inlineStr">
        <is>
          <t>Dissatisfied
(2)</t>
        </is>
      </c>
      <c r="H37" s="70" t="inlineStr">
        <is>
          <t>Very
Dissatisfied (1)</t>
        </is>
      </c>
      <c r="I37" s="70" t="inlineStr">
        <is>
          <t>Avg Score</t>
        </is>
      </c>
    </row>
    <row r="38" ht="22" customHeight="1">
      <c r="B38" s="71" t="inlineStr">
        <is>
          <t>Q23</t>
        </is>
      </c>
      <c r="C38" s="72" t="inlineStr">
        <is>
          <t>Quality of drinking water (taste, clarity)</t>
        </is>
      </c>
      <c r="D38" s="73" t="inlineStr"/>
      <c r="E38" s="73" t="inlineStr"/>
      <c r="F38" s="73" t="inlineStr"/>
      <c r="G38" s="73" t="inlineStr"/>
      <c r="H38" s="73" t="inlineStr"/>
      <c r="I38" s="80">
        <f>IFERROR(ROUND((D38*5+E38*4+F38*3+G38*2+H38)/SUM(D38:H38),2),"")</f>
        <v/>
      </c>
    </row>
    <row r="39" ht="22" customHeight="1">
      <c r="B39" s="8" t="inlineStr">
        <is>
          <t>Q24</t>
        </is>
      </c>
      <c r="C39" s="9" t="inlineStr">
        <is>
          <t>Adequate number of water coolers / dispensers</t>
        </is>
      </c>
      <c r="D39" s="10" t="inlineStr"/>
      <c r="E39" s="10" t="inlineStr"/>
      <c r="F39" s="10" t="inlineStr"/>
      <c r="G39" s="10" t="inlineStr"/>
      <c r="H39" s="10" t="inlineStr"/>
      <c r="I39" s="37">
        <f>IFERROR(ROUND((D39*5+E39*4+F39*3+G39*2+H39)/SUM(D39:H39),2),"")</f>
        <v/>
      </c>
    </row>
    <row r="40" ht="22" customHeight="1">
      <c r="B40" s="71" t="inlineStr">
        <is>
          <t>Q25</t>
        </is>
      </c>
      <c r="C40" s="72" t="inlineStr">
        <is>
          <t>Maintenance and cleanliness of water points</t>
        </is>
      </c>
      <c r="D40" s="73" t="inlineStr"/>
      <c r="E40" s="73" t="inlineStr"/>
      <c r="F40" s="73" t="inlineStr"/>
      <c r="G40" s="73" t="inlineStr"/>
      <c r="H40" s="73" t="inlineStr"/>
      <c r="I40" s="80">
        <f>IFERROR(ROUND((D40*5+E40*4+F40*3+G40*2+H40)/SUM(D40:H40),2),"")</f>
        <v/>
      </c>
    </row>
    <row r="41" ht="22" customHeight="1">
      <c r="B41" s="8" t="inlineStr">
        <is>
          <t>Q26</t>
        </is>
      </c>
      <c r="C41" s="9" t="inlineStr">
        <is>
          <t>Drainage and absence of waterlogging on campus</t>
        </is>
      </c>
      <c r="D41" s="10" t="inlineStr"/>
      <c r="E41" s="10" t="inlineStr"/>
      <c r="F41" s="10" t="inlineStr"/>
      <c r="G41" s="10" t="inlineStr"/>
      <c r="H41" s="10" t="inlineStr"/>
      <c r="I41" s="37">
        <f>IFERROR(ROUND((D41*5+E41*4+F41*3+G41*2+H41)/SUM(D41:H41),2),"")</f>
        <v/>
      </c>
    </row>
    <row r="42" ht="22" customHeight="1">
      <c r="B42" s="71" t="inlineStr">
        <is>
          <t>Q27</t>
        </is>
      </c>
      <c r="C42" s="72" t="inlineStr">
        <is>
          <t>Overall sanitation on campus</t>
        </is>
      </c>
      <c r="D42" s="73" t="inlineStr"/>
      <c r="E42" s="73" t="inlineStr"/>
      <c r="F42" s="73" t="inlineStr"/>
      <c r="G42" s="73" t="inlineStr"/>
      <c r="H42" s="73" t="inlineStr"/>
      <c r="I42" s="80">
        <f>IFERROR(ROUND((D42*5+E42*4+F42*3+G42*2+H42)/SUM(D42:H42),2),"")</f>
        <v/>
      </c>
    </row>
    <row r="43" ht="22" customHeight="1"/>
    <row r="44" ht="24" customHeight="1">
      <c r="B44" s="81" t="inlineStr">
        <is>
          <t>E. GREEN CAMPUS &amp; ENVIRONMENT</t>
        </is>
      </c>
    </row>
    <row r="45" ht="22" customHeight="1">
      <c r="B45" s="62" t="inlineStr">
        <is>
          <t>Q.</t>
        </is>
      </c>
      <c r="C45" s="62" t="inlineStr">
        <is>
          <t>Survey Statement</t>
        </is>
      </c>
      <c r="D45" s="62" t="inlineStr">
        <is>
          <t>Very
Satisfied (5)</t>
        </is>
      </c>
      <c r="E45" s="62" t="inlineStr">
        <is>
          <t>Satisfied
(4)</t>
        </is>
      </c>
      <c r="F45" s="62" t="inlineStr">
        <is>
          <t>Neutral
(3)</t>
        </is>
      </c>
      <c r="G45" s="62" t="inlineStr">
        <is>
          <t>Dissatisfied
(2)</t>
        </is>
      </c>
      <c r="H45" s="62" t="inlineStr">
        <is>
          <t>Very
Dissatisfied (1)</t>
        </is>
      </c>
      <c r="I45" s="62" t="inlineStr">
        <is>
          <t>Avg Score</t>
        </is>
      </c>
    </row>
    <row r="46" ht="22" customHeight="1">
      <c r="B46" s="75" t="inlineStr">
        <is>
          <t>Q28</t>
        </is>
      </c>
      <c r="C46" s="65" t="inlineStr">
        <is>
          <t>Maintenance of lawns, gardens and green spaces</t>
        </is>
      </c>
      <c r="D46" s="63" t="inlineStr"/>
      <c r="E46" s="63" t="inlineStr"/>
      <c r="F46" s="63" t="inlineStr"/>
      <c r="G46" s="63" t="inlineStr"/>
      <c r="H46" s="63" t="inlineStr"/>
      <c r="I46" s="82">
        <f>IFERROR(ROUND((D46*5+E46*4+F46*3+G46*2+H46)/SUM(D46:H46),2),"")</f>
        <v/>
      </c>
    </row>
    <row r="47" ht="22" customHeight="1">
      <c r="B47" s="8" t="inlineStr">
        <is>
          <t>Q29</t>
        </is>
      </c>
      <c r="C47" s="9" t="inlineStr">
        <is>
          <t>Pest-free environment on campus</t>
        </is>
      </c>
      <c r="D47" s="10" t="inlineStr"/>
      <c r="E47" s="10" t="inlineStr"/>
      <c r="F47" s="10" t="inlineStr"/>
      <c r="G47" s="10" t="inlineStr"/>
      <c r="H47" s="10" t="inlineStr"/>
      <c r="I47" s="37">
        <f>IFERROR(ROUND((D47*5+E47*4+F47*3+G47*2+H47)/SUM(D47:H47),2),"")</f>
        <v/>
      </c>
    </row>
    <row r="48" ht="22" customHeight="1">
      <c r="B48" s="75" t="inlineStr">
        <is>
          <t>Q30</t>
        </is>
      </c>
      <c r="C48" s="65" t="inlineStr">
        <is>
          <t>Environmental cleanliness — no open burning of waste</t>
        </is>
      </c>
      <c r="D48" s="63" t="inlineStr"/>
      <c r="E48" s="63" t="inlineStr"/>
      <c r="F48" s="63" t="inlineStr"/>
      <c r="G48" s="63" t="inlineStr"/>
      <c r="H48" s="63" t="inlineStr"/>
      <c r="I48" s="82">
        <f>IFERROR(ROUND((D48*5+E48*4+F48*3+G48*2+H48)/SUM(D48:H48),2),"")</f>
        <v/>
      </c>
    </row>
    <row r="49" ht="22" customHeight="1">
      <c r="B49" s="8" t="inlineStr">
        <is>
          <t>Q31</t>
        </is>
      </c>
      <c r="C49" s="9" t="inlineStr">
        <is>
          <t>Overall environmental ambience of campus</t>
        </is>
      </c>
      <c r="D49" s="10" t="inlineStr"/>
      <c r="E49" s="10" t="inlineStr"/>
      <c r="F49" s="10" t="inlineStr"/>
      <c r="G49" s="10" t="inlineStr"/>
      <c r="H49" s="10" t="inlineStr"/>
      <c r="I49" s="37">
        <f>IFERROR(ROUND((D49*5+E49*4+F49*3+G49*2+H49)/SUM(D49:H49),2),"")</f>
        <v/>
      </c>
    </row>
    <row r="50" ht="22" customHeight="1"/>
    <row r="51" ht="24" customHeight="1">
      <c r="B51" s="28" t="inlineStr">
        <is>
          <t>SURVEY SUMMARY &amp; ACTION PLAN</t>
        </is>
      </c>
    </row>
    <row r="52" ht="22" customHeight="1">
      <c r="B52" s="29" t="inlineStr">
        <is>
          <t>Section</t>
        </is>
      </c>
      <c r="C52" s="29" t="inlineStr">
        <is>
          <t>Avg Score (/5)</t>
        </is>
      </c>
      <c r="D52" s="29" t="inlineStr">
        <is>
          <t>Satisfaction %</t>
        </is>
      </c>
      <c r="E52" s="29" t="inlineStr">
        <is>
          <t>Benchmark
(≥3.5)</t>
        </is>
      </c>
      <c r="F52" s="29" t="inlineStr">
        <is>
          <t>Gap</t>
        </is>
      </c>
      <c r="G52" s="29" t="inlineStr">
        <is>
          <t>Status</t>
        </is>
      </c>
      <c r="H52" s="29" t="inlineStr">
        <is>
          <t>Priority Action</t>
        </is>
      </c>
    </row>
    <row r="53" ht="22" customHeight="1">
      <c r="B53" s="57" t="inlineStr">
        <is>
          <t>CANTEEN &amp; FOOD SERVICES</t>
        </is>
      </c>
      <c r="C53" s="16" t="inlineStr"/>
      <c r="D53" s="16">
        <f>IFERROR(ROUND(C53/5*100,1),"")</f>
        <v/>
      </c>
      <c r="E53" s="16" t="n">
        <v>3.5</v>
      </c>
      <c r="F53" s="16">
        <f>IFERROR(ROUND(C53-E53,2),"")</f>
        <v/>
      </c>
      <c r="G53" s="16">
        <f>IFERROR(IF(C53&gt;=3.5,"Satisfactory","Needs Attention"),"")</f>
        <v/>
      </c>
      <c r="H53" s="15" t="inlineStr"/>
      <c r="I53" s="83" t="n"/>
    </row>
    <row r="54">
      <c r="B54" s="26" t="inlineStr">
        <is>
          <t>CAMPUS CLEANLINESS &amp; HOUSEKEEPING</t>
        </is>
      </c>
      <c r="C54" s="10" t="inlineStr"/>
      <c r="D54" s="10">
        <f>IFERROR(ROUND(C54/5*100,1),"")</f>
        <v/>
      </c>
      <c r="E54" s="10" t="n">
        <v>3.5</v>
      </c>
      <c r="F54" s="10">
        <f>IFERROR(ROUND(C54-E54,2),"")</f>
        <v/>
      </c>
      <c r="G54" s="10">
        <f>IFERROR(IF(C54&gt;=3.5,"Satisfactory","Needs Attention"),"")</f>
        <v/>
      </c>
      <c r="H54" s="9" t="inlineStr"/>
      <c r="I54" s="67" t="n"/>
    </row>
    <row r="55">
      <c r="B55" s="57" t="inlineStr">
        <is>
          <t>TOILETS &amp; WASHROOM FACILITIES</t>
        </is>
      </c>
      <c r="C55" s="16" t="inlineStr"/>
      <c r="D55" s="16">
        <f>IFERROR(ROUND(C55/5*100,1),"")</f>
        <v/>
      </c>
      <c r="E55" s="16" t="n">
        <v>3.5</v>
      </c>
      <c r="F55" s="16">
        <f>IFERROR(ROUND(C55-E55,2),"")</f>
        <v/>
      </c>
      <c r="G55" s="16">
        <f>IFERROR(IF(C55&gt;=3.5,"Satisfactory","Needs Attention"),"")</f>
        <v/>
      </c>
      <c r="H55" s="15" t="inlineStr"/>
      <c r="I55" s="83" t="n"/>
    </row>
    <row r="56">
      <c r="B56" s="26" t="inlineStr">
        <is>
          <t>WATER &amp; SANITATION</t>
        </is>
      </c>
      <c r="C56" s="10" t="inlineStr"/>
      <c r="D56" s="10">
        <f>IFERROR(ROUND(C56/5*100,1),"")</f>
        <v/>
      </c>
      <c r="E56" s="10" t="n">
        <v>3.5</v>
      </c>
      <c r="F56" s="10">
        <f>IFERROR(ROUND(C56-E56,2),"")</f>
        <v/>
      </c>
      <c r="G56" s="10">
        <f>IFERROR(IF(C56&gt;=3.5,"Satisfactory","Needs Attention"),"")</f>
        <v/>
      </c>
      <c r="H56" s="9" t="inlineStr"/>
      <c r="I56" s="67" t="n"/>
    </row>
    <row r="57">
      <c r="B57" s="57" t="inlineStr">
        <is>
          <t>GREEN CAMPUS &amp; ENVIRONMENT</t>
        </is>
      </c>
      <c r="C57" s="16" t="inlineStr"/>
      <c r="D57" s="16">
        <f>IFERROR(ROUND(C57/5*100,1),"")</f>
        <v/>
      </c>
      <c r="E57" s="16" t="n">
        <v>3.5</v>
      </c>
      <c r="F57" s="16">
        <f>IFERROR(ROUND(C57-E57,2),"")</f>
        <v/>
      </c>
      <c r="G57" s="16">
        <f>IFERROR(IF(C57&gt;=3.5,"Satisfactory","Needs Attention"),"")</f>
        <v/>
      </c>
      <c r="H57" s="15" t="inlineStr"/>
      <c r="I57" s="83" t="n"/>
    </row>
  </sheetData>
  <mergeCells count="9">
    <mergeCell ref="B44:I44"/>
    <mergeCell ref="B16:I16"/>
    <mergeCell ref="B2:I2"/>
    <mergeCell ref="B51:I51"/>
    <mergeCell ref="B3:I3"/>
    <mergeCell ref="B5:I5"/>
    <mergeCell ref="B36:I36"/>
    <mergeCell ref="B4:I4"/>
    <mergeCell ref="B26:I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CHHS-30: CANTEEN, HOUSEKEEPING, HYGIENE &amp; SANITATION KPI DASHBOARD</t>
        </is>
      </c>
    </row>
    <row r="3" ht="25" customHeight="1">
      <c r="B3" s="2" t="inlineStr">
        <is>
          <t>Month: _______  A.Y.: _______  CHHS Coordinator: ___________________  Date: _______</t>
        </is>
      </c>
    </row>
    <row r="4" ht="24" customHeight="1">
      <c r="B4" s="20" t="inlineStr">
        <is>
          <t>CANTEEN &amp; FOOD SAFETY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Month
Actual</t>
        </is>
      </c>
      <c r="G5" s="13" t="inlineStr">
        <is>
          <t>Current Month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Daily canteen hygiene inspection compliance</t>
        </is>
      </c>
      <c r="D6" s="16" t="inlineStr">
        <is>
          <t>% days inspected</t>
        </is>
      </c>
      <c r="E6" s="16" t="inlineStr">
        <is>
          <t>100%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Food sample retention compliance (FSSAI)</t>
        </is>
      </c>
      <c r="D7" s="10" t="inlineStr">
        <is>
          <t>% days compliant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Canteen staff with valid health certificates</t>
        </is>
      </c>
      <c r="D8" s="16" t="inlineStr">
        <is>
          <t>% of staff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FSSAI licence valid and displayed</t>
        </is>
      </c>
      <c r="D9" s="10" t="inlineStr">
        <is>
          <t>Y/N</t>
        </is>
      </c>
      <c r="E9" s="10" t="inlineStr">
        <is>
          <t>Yes — renewed annually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Food quality inspection score (weekly avg)</t>
        </is>
      </c>
      <c r="D10" s="16" t="inlineStr">
        <is>
          <t>Score /5</t>
        </is>
      </c>
      <c r="E10" s="16" t="inlineStr">
        <is>
          <t>≥4.0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Canteen complaints resolved within 48 hrs</t>
        </is>
      </c>
      <c r="D11" s="10" t="inlineStr">
        <is>
          <t>% resolved</t>
        </is>
      </c>
      <c r="E11" s="10" t="inlineStr">
        <is>
          <t>≥90%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Food poisoning incidents</t>
        </is>
      </c>
      <c r="D12" s="16" t="inlineStr">
        <is>
          <t>No. per year</t>
        </is>
      </c>
      <c r="E12" s="16" t="inlineStr">
        <is>
          <t>0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>
      <c r="B13" s="8" t="n">
        <v>8</v>
      </c>
      <c r="C13" s="9" t="inlineStr">
        <is>
          <t>Average student satisfaction — canteen (/5)</t>
        </is>
      </c>
      <c r="D13" s="10" t="inlineStr">
        <is>
          <t>Score</t>
        </is>
      </c>
      <c r="E13" s="10" t="inlineStr">
        <is>
          <t>≥3.5</t>
        </is>
      </c>
      <c r="F13" s="10" t="inlineStr"/>
      <c r="G13" s="10" t="inlineStr"/>
      <c r="H13" s="10" t="inlineStr">
        <is>
          <t>On Track</t>
        </is>
      </c>
      <c r="I13" s="9" t="inlineStr"/>
    </row>
    <row r="14" ht="22" customHeight="1"/>
    <row r="15" ht="24" customHeight="1">
      <c r="B15" s="44" t="inlineStr">
        <is>
          <t>HOUSEKEEPING &amp; CLEANLINESS KPIs</t>
        </is>
      </c>
    </row>
    <row r="16" ht="22" customHeight="1">
      <c r="B16" s="45" t="inlineStr">
        <is>
          <t>Sl.</t>
        </is>
      </c>
      <c r="C16" s="45" t="inlineStr">
        <is>
          <t>Key Performance Indicator</t>
        </is>
      </c>
      <c r="D16" s="45" t="inlineStr">
        <is>
          <t>Unit</t>
        </is>
      </c>
      <c r="E16" s="45" t="inlineStr">
        <is>
          <t>Target</t>
        </is>
      </c>
      <c r="F16" s="45" t="inlineStr">
        <is>
          <t>Prev. Month
Actual</t>
        </is>
      </c>
      <c r="G16" s="45" t="inlineStr">
        <is>
          <t>Current Month
Actual</t>
        </is>
      </c>
      <c r="H16" s="45" t="inlineStr">
        <is>
          <t>Status</t>
        </is>
      </c>
      <c r="I16" s="45" t="inlineStr">
        <is>
          <t>Action Required</t>
        </is>
      </c>
    </row>
    <row r="17" ht="22" customHeight="1">
      <c r="B17" s="58" t="n">
        <v>1</v>
      </c>
      <c r="C17" s="60" t="inlineStr">
        <is>
          <t>Daily cleaning checklist completion rate</t>
        </is>
      </c>
      <c r="D17" s="59" t="inlineStr">
        <is>
          <t>% completed</t>
        </is>
      </c>
      <c r="E17" s="59" t="inlineStr">
        <is>
          <t>100%</t>
        </is>
      </c>
      <c r="F17" s="59" t="inlineStr"/>
      <c r="G17" s="59" t="inlineStr"/>
      <c r="H17" s="59" t="inlineStr">
        <is>
          <t>On Track</t>
        </is>
      </c>
      <c r="I17" s="60" t="inlineStr"/>
    </row>
    <row r="18" ht="22" customHeight="1">
      <c r="B18" s="8" t="n">
        <v>2</v>
      </c>
      <c r="C18" s="9" t="inlineStr">
        <is>
          <t>Monthly campus cleanliness audit score (/5)</t>
        </is>
      </c>
      <c r="D18" s="10" t="inlineStr">
        <is>
          <t>Score</t>
        </is>
      </c>
      <c r="E18" s="10" t="inlineStr">
        <is>
          <t>≥3.5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58" t="n">
        <v>3</v>
      </c>
      <c r="C19" s="60" t="inlineStr">
        <is>
          <t>Classrooms cleanliness score (monthly audit)</t>
        </is>
      </c>
      <c r="D19" s="59" t="inlineStr">
        <is>
          <t>Score /5</t>
        </is>
      </c>
      <c r="E19" s="59" t="inlineStr">
        <is>
          <t>≥4.0</t>
        </is>
      </c>
      <c r="F19" s="59" t="inlineStr"/>
      <c r="G19" s="59" t="inlineStr"/>
      <c r="H19" s="59" t="inlineStr">
        <is>
          <t>On Track</t>
        </is>
      </c>
      <c r="I19" s="60" t="inlineStr"/>
    </row>
    <row r="20" ht="22" customHeight="1">
      <c r="B20" s="8" t="n">
        <v>4</v>
      </c>
      <c r="C20" s="9" t="inlineStr">
        <is>
          <t>Corridor / common area score (monthly)</t>
        </is>
      </c>
      <c r="D20" s="10" t="inlineStr">
        <is>
          <t>Score /5</t>
        </is>
      </c>
      <c r="E20" s="10" t="inlineStr">
        <is>
          <t>≥4.0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58" t="n">
        <v>5</v>
      </c>
      <c r="C21" s="60" t="inlineStr">
        <is>
          <t>Housekeeping supplies stock adequacy</t>
        </is>
      </c>
      <c r="D21" s="59" t="inlineStr">
        <is>
          <t>% items adequate</t>
        </is>
      </c>
      <c r="E21" s="59" t="inlineStr">
        <is>
          <t>≥95%</t>
        </is>
      </c>
      <c r="F21" s="59" t="inlineStr"/>
      <c r="G21" s="59" t="inlineStr"/>
      <c r="H21" s="59" t="inlineStr">
        <is>
          <t>On Track</t>
        </is>
      </c>
      <c r="I21" s="60" t="inlineStr"/>
    </row>
    <row r="22" ht="22" customHeight="1">
      <c r="B22" s="8" t="n">
        <v>6</v>
      </c>
      <c r="C22" s="9" t="inlineStr">
        <is>
          <t>Student satisfaction — cleanliness (/5)</t>
        </is>
      </c>
      <c r="D22" s="10" t="inlineStr">
        <is>
          <t>Score</t>
        </is>
      </c>
      <c r="E22" s="10" t="inlineStr">
        <is>
          <t>≥3.5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/>
    <row r="24" ht="24" customHeight="1">
      <c r="B24" s="35" t="inlineStr">
        <is>
          <t>TOILET &amp; SANITATION KPIs</t>
        </is>
      </c>
    </row>
    <row r="25" ht="22" customHeight="1">
      <c r="B25" s="31" t="inlineStr">
        <is>
          <t>Sl.</t>
        </is>
      </c>
      <c r="C25" s="31" t="inlineStr">
        <is>
          <t>Key Performance Indicator</t>
        </is>
      </c>
      <c r="D25" s="31" t="inlineStr">
        <is>
          <t>Unit</t>
        </is>
      </c>
      <c r="E25" s="31" t="inlineStr">
        <is>
          <t>Target</t>
        </is>
      </c>
      <c r="F25" s="31" t="inlineStr">
        <is>
          <t>Prev. Month
Actual</t>
        </is>
      </c>
      <c r="G25" s="31" t="inlineStr">
        <is>
          <t>Current Month
Actual</t>
        </is>
      </c>
      <c r="H25" s="31" t="inlineStr">
        <is>
          <t>Status</t>
        </is>
      </c>
      <c r="I25" s="31" t="inlineStr">
        <is>
          <t>Action Required</t>
        </is>
      </c>
    </row>
    <row r="26" ht="22" customHeight="1">
      <c r="B26" s="32" t="n">
        <v>1</v>
      </c>
      <c r="C26" s="33" t="inlineStr">
        <is>
          <t>Toilet inspection frequency (per day)</t>
        </is>
      </c>
      <c r="D26" s="34" t="inlineStr">
        <is>
          <t>Times/day</t>
        </is>
      </c>
      <c r="E26" s="34" t="inlineStr">
        <is>
          <t>≥3 times</t>
        </is>
      </c>
      <c r="F26" s="34" t="inlineStr"/>
      <c r="G26" s="34" t="inlineStr"/>
      <c r="H26" s="34" t="inlineStr">
        <is>
          <t>On Track</t>
        </is>
      </c>
      <c r="I26" s="33" t="inlineStr"/>
    </row>
    <row r="27" ht="22" customHeight="1">
      <c r="B27" s="8" t="n">
        <v>2</v>
      </c>
      <c r="C27" s="9" t="inlineStr">
        <is>
          <t>Toilet cleanliness score (daily avg)</t>
        </is>
      </c>
      <c r="D27" s="10" t="inlineStr">
        <is>
          <t>Score /5</t>
        </is>
      </c>
      <c r="E27" s="10" t="inlineStr">
        <is>
          <t>≥4.0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2" t="n">
        <v>3</v>
      </c>
      <c r="C28" s="33" t="inlineStr">
        <is>
          <t>Toilet smell score (daily avg)</t>
        </is>
      </c>
      <c r="D28" s="34" t="inlineStr">
        <is>
          <t>Score /5</t>
        </is>
      </c>
      <c r="E28" s="34" t="inlineStr">
        <is>
          <t>≥4.0</t>
        </is>
      </c>
      <c r="F28" s="34" t="inlineStr"/>
      <c r="G28" s="34" t="inlineStr"/>
      <c r="H28" s="34" t="inlineStr">
        <is>
          <t>On Track</t>
        </is>
      </c>
      <c r="I28" s="33" t="inlineStr"/>
    </row>
    <row r="29" ht="22" customHeight="1">
      <c r="B29" s="8" t="n">
        <v>4</v>
      </c>
      <c r="C29" s="9" t="inlineStr">
        <is>
          <t>Soap / sanitizer availability (% of checks)</t>
        </is>
      </c>
      <c r="D29" s="10" t="inlineStr">
        <is>
          <t>% available</t>
        </is>
      </c>
      <c r="E29" s="10" t="inlineStr">
        <is>
          <t>≥95%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32" t="n">
        <v>5</v>
      </c>
      <c r="C30" s="33" t="inlineStr">
        <is>
          <t>Water supply continuity (% of inspection)</t>
        </is>
      </c>
      <c r="D30" s="34" t="inlineStr">
        <is>
          <t>% with water</t>
        </is>
      </c>
      <c r="E30" s="34" t="inlineStr">
        <is>
          <t>100%</t>
        </is>
      </c>
      <c r="F30" s="34" t="inlineStr"/>
      <c r="G30" s="34" t="inlineStr"/>
      <c r="H30" s="34" t="inlineStr">
        <is>
          <t>On Track</t>
        </is>
      </c>
      <c r="I30" s="33" t="inlineStr"/>
    </row>
    <row r="31" ht="22" customHeight="1">
      <c r="B31" s="8" t="n">
        <v>6</v>
      </c>
      <c r="C31" s="9" t="inlineStr">
        <is>
          <t>Drain clearance / no blockage (% of checks)</t>
        </is>
      </c>
      <c r="D31" s="10" t="inlineStr">
        <is>
          <t>% clear</t>
        </is>
      </c>
      <c r="E31" s="10" t="inlineStr">
        <is>
          <t>≥95%</t>
        </is>
      </c>
      <c r="F31" s="10" t="inlineStr"/>
      <c r="G31" s="10" t="inlineStr"/>
      <c r="H31" s="10" t="inlineStr">
        <is>
          <t>On Track</t>
        </is>
      </c>
      <c r="I31" s="9" t="inlineStr"/>
    </row>
    <row r="32" ht="22" customHeight="1">
      <c r="B32" s="32" t="n">
        <v>7</v>
      </c>
      <c r="C32" s="33" t="inlineStr">
        <is>
          <t>Student satisfaction — toilets (/5)</t>
        </is>
      </c>
      <c r="D32" s="34" t="inlineStr">
        <is>
          <t>Score</t>
        </is>
      </c>
      <c r="E32" s="34" t="inlineStr">
        <is>
          <t>≥3.5</t>
        </is>
      </c>
      <c r="F32" s="34" t="inlineStr"/>
      <c r="G32" s="34" t="inlineStr"/>
      <c r="H32" s="34" t="inlineStr">
        <is>
          <t>On Track</t>
        </is>
      </c>
      <c r="I32" s="33" t="inlineStr"/>
    </row>
    <row r="33" ht="22" customHeight="1">
      <c r="B33" s="8" t="n">
        <v>8</v>
      </c>
      <c r="C33" s="9" t="inlineStr">
        <is>
          <t>Toilet-to-student ratio — within norms</t>
        </is>
      </c>
      <c r="D33" s="10" t="inlineStr">
        <is>
          <t>Y/N</t>
        </is>
      </c>
      <c r="E33" s="10" t="inlineStr">
        <is>
          <t>≥1:50 boys; 1:25 girls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/>
    <row r="35" ht="24" customHeight="1">
      <c r="B35" s="79" t="inlineStr">
        <is>
          <t>WATER QUALITY KPIs</t>
        </is>
      </c>
    </row>
    <row r="36" ht="22" customHeight="1">
      <c r="B36" s="70" t="inlineStr">
        <is>
          <t>Sl.</t>
        </is>
      </c>
      <c r="C36" s="70" t="inlineStr">
        <is>
          <t>Key Performance Indicator</t>
        </is>
      </c>
      <c r="D36" s="70" t="inlineStr">
        <is>
          <t>Unit</t>
        </is>
      </c>
      <c r="E36" s="70" t="inlineStr">
        <is>
          <t>Target</t>
        </is>
      </c>
      <c r="F36" s="70" t="inlineStr">
        <is>
          <t>Prev. Month
Actual</t>
        </is>
      </c>
      <c r="G36" s="70" t="inlineStr">
        <is>
          <t>Current Month
Actual</t>
        </is>
      </c>
      <c r="H36" s="70" t="inlineStr">
        <is>
          <t>Status</t>
        </is>
      </c>
      <c r="I36" s="70" t="inlineStr">
        <is>
          <t>Action Required</t>
        </is>
      </c>
    </row>
    <row r="37" ht="22" customHeight="1">
      <c r="B37" s="71" t="n">
        <v>1</v>
      </c>
      <c r="C37" s="72" t="inlineStr">
        <is>
          <t>Monthly water quality testing done</t>
        </is>
      </c>
      <c r="D37" s="73" t="inlineStr">
        <is>
          <t>Y/N</t>
        </is>
      </c>
      <c r="E37" s="73" t="inlineStr">
        <is>
          <t>Yes every month</t>
        </is>
      </c>
      <c r="F37" s="73" t="inlineStr"/>
      <c r="G37" s="73" t="inlineStr"/>
      <c r="H37" s="73" t="inlineStr">
        <is>
          <t>On Track</t>
        </is>
      </c>
      <c r="I37" s="72" t="inlineStr"/>
    </row>
    <row r="38" ht="22" customHeight="1">
      <c r="B38" s="8" t="n">
        <v>2</v>
      </c>
      <c r="C38" s="9" t="inlineStr">
        <is>
          <t>Water test pass rate (all parameters)</t>
        </is>
      </c>
      <c r="D38" s="10" t="inlineStr">
        <is>
          <t>% tests passed</t>
        </is>
      </c>
      <c r="E38" s="10" t="inlineStr">
        <is>
          <t>100%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>
      <c r="B39" s="71" t="n">
        <v>3</v>
      </c>
      <c r="C39" s="72" t="inlineStr">
        <is>
          <t>Coliform / E.coli free (% sources)</t>
        </is>
      </c>
      <c r="D39" s="73" t="inlineStr">
        <is>
          <t>% sources clean</t>
        </is>
      </c>
      <c r="E39" s="73" t="inlineStr">
        <is>
          <t>100%</t>
        </is>
      </c>
      <c r="F39" s="73" t="inlineStr"/>
      <c r="G39" s="73" t="inlineStr"/>
      <c r="H39" s="73" t="inlineStr">
        <is>
          <t>On Track</t>
        </is>
      </c>
      <c r="I39" s="72" t="inlineStr"/>
    </row>
    <row r="40" ht="22" customHeight="1">
      <c r="B40" s="8" t="n">
        <v>4</v>
      </c>
      <c r="C40" s="9" t="inlineStr">
        <is>
          <t>TDS within permissible limits (% sources)</t>
        </is>
      </c>
      <c r="D40" s="10" t="inlineStr">
        <is>
          <t>% within limits</t>
        </is>
      </c>
      <c r="E40" s="10" t="inlineStr">
        <is>
          <t>100%</t>
        </is>
      </c>
      <c r="F40" s="10" t="inlineStr"/>
      <c r="G40" s="10" t="inlineStr"/>
      <c r="H40" s="10" t="inlineStr">
        <is>
          <t>On Track</t>
        </is>
      </c>
      <c r="I40" s="9" t="inlineStr"/>
    </row>
    <row r="41" ht="22" customHeight="1">
      <c r="B41" s="71" t="n">
        <v>5</v>
      </c>
      <c r="C41" s="72" t="inlineStr">
        <is>
          <t>Drinking water points functional</t>
        </is>
      </c>
      <c r="D41" s="73" t="inlineStr">
        <is>
          <t>% functional</t>
        </is>
      </c>
      <c r="E41" s="73" t="inlineStr">
        <is>
          <t>100%</t>
        </is>
      </c>
      <c r="F41" s="73" t="inlineStr"/>
      <c r="G41" s="73" t="inlineStr"/>
      <c r="H41" s="73" t="inlineStr">
        <is>
          <t>On Track</t>
        </is>
      </c>
      <c r="I41" s="72" t="inlineStr"/>
    </row>
    <row r="42" ht="22" customHeight="1"/>
    <row r="43" ht="24" customHeight="1">
      <c r="B43" s="81" t="inlineStr">
        <is>
          <t>PEST CONTROL &amp; WASTE KPIs</t>
        </is>
      </c>
    </row>
    <row r="44" ht="22" customHeight="1">
      <c r="B44" s="62" t="inlineStr">
        <is>
          <t>Sl.</t>
        </is>
      </c>
      <c r="C44" s="62" t="inlineStr">
        <is>
          <t>Key Performance Indicator</t>
        </is>
      </c>
      <c r="D44" s="62" t="inlineStr">
        <is>
          <t>Unit</t>
        </is>
      </c>
      <c r="E44" s="62" t="inlineStr">
        <is>
          <t>Target</t>
        </is>
      </c>
      <c r="F44" s="62" t="inlineStr">
        <is>
          <t>Prev. Month
Actual</t>
        </is>
      </c>
      <c r="G44" s="62" t="inlineStr">
        <is>
          <t>Current Month
Actual</t>
        </is>
      </c>
      <c r="H44" s="62" t="inlineStr">
        <is>
          <t>Status</t>
        </is>
      </c>
      <c r="I44" s="62" t="inlineStr">
        <is>
          <t>Action Required</t>
        </is>
      </c>
    </row>
    <row r="45" ht="22" customHeight="1">
      <c r="B45" s="75" t="n">
        <v>1</v>
      </c>
      <c r="C45" s="65" t="inlineStr">
        <is>
          <t>Quarterly pest control completed on schedule</t>
        </is>
      </c>
      <c r="D45" s="63" t="inlineStr">
        <is>
          <t>% areas treated</t>
        </is>
      </c>
      <c r="E45" s="63" t="inlineStr">
        <is>
          <t>100%</t>
        </is>
      </c>
      <c r="F45" s="63" t="inlineStr"/>
      <c r="G45" s="63" t="inlineStr"/>
      <c r="H45" s="63" t="inlineStr">
        <is>
          <t>On Track</t>
        </is>
      </c>
      <c r="I45" s="65" t="inlineStr"/>
    </row>
    <row r="46" ht="22" customHeight="1">
      <c r="B46" s="8" t="n">
        <v>2</v>
      </c>
      <c r="C46" s="9" t="inlineStr">
        <is>
          <t>Pest control with certified PCO (%)</t>
        </is>
      </c>
      <c r="D46" s="10" t="inlineStr">
        <is>
          <t>% with cert.</t>
        </is>
      </c>
      <c r="E46" s="10" t="inlineStr">
        <is>
          <t>100%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75" t="n">
        <v>3</v>
      </c>
      <c r="C47" s="65" t="inlineStr">
        <is>
          <t>Waste segregation compliance</t>
        </is>
      </c>
      <c r="D47" s="63" t="inlineStr">
        <is>
          <t>% bins correct</t>
        </is>
      </c>
      <c r="E47" s="63" t="inlineStr">
        <is>
          <t>≥90%</t>
        </is>
      </c>
      <c r="F47" s="63" t="inlineStr"/>
      <c r="G47" s="63" t="inlineStr"/>
      <c r="H47" s="63" t="inlineStr">
        <is>
          <t>On Track</t>
        </is>
      </c>
      <c r="I47" s="65" t="inlineStr"/>
    </row>
    <row r="48" ht="22" customHeight="1">
      <c r="B48" s="8" t="n">
        <v>4</v>
      </c>
      <c r="C48" s="9" t="inlineStr">
        <is>
          <t>Campus waste recycling rate</t>
        </is>
      </c>
      <c r="D48" s="10" t="inlineStr">
        <is>
          <t>% recycled</t>
        </is>
      </c>
      <c r="E48" s="10" t="inlineStr">
        <is>
          <t>Increasing</t>
        </is>
      </c>
      <c r="F48" s="10" t="inlineStr"/>
      <c r="G48" s="10" t="inlineStr"/>
      <c r="H48" s="10" t="inlineStr">
        <is>
          <t>On Track</t>
        </is>
      </c>
      <c r="I48" s="9" t="inlineStr"/>
    </row>
    <row r="49" ht="22" customHeight="1">
      <c r="B49" s="75" t="n">
        <v>5</v>
      </c>
      <c r="C49" s="65" t="inlineStr">
        <is>
          <t>e-Waste / biomedical waste disposal certificate</t>
        </is>
      </c>
      <c r="D49" s="63" t="inlineStr">
        <is>
          <t>Y/N</t>
        </is>
      </c>
      <c r="E49" s="63" t="inlineStr">
        <is>
          <t>Yes — annually</t>
        </is>
      </c>
      <c r="F49" s="63" t="inlineStr"/>
      <c r="G49" s="63" t="inlineStr"/>
      <c r="H49" s="63" t="inlineStr">
        <is>
          <t>On Track</t>
        </is>
      </c>
      <c r="I49" s="65" t="inlineStr"/>
    </row>
    <row r="50" ht="22" customHeight="1">
      <c r="B50" s="8" t="n">
        <v>6</v>
      </c>
      <c r="C50" s="9" t="inlineStr">
        <is>
          <t>Green campus activities conducted</t>
        </is>
      </c>
      <c r="D50" s="10" t="inlineStr">
        <is>
          <t>No. per year</t>
        </is>
      </c>
      <c r="E50" s="10" t="inlineStr">
        <is>
          <t>≥4</t>
        </is>
      </c>
      <c r="F50" s="10" t="inlineStr"/>
      <c r="G50" s="10" t="inlineStr"/>
      <c r="H50" s="10" t="inlineStr">
        <is>
          <t>On Track</t>
        </is>
      </c>
      <c r="I50" s="9" t="inlineStr"/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5:I15"/>
    <mergeCell ref="B24:I24"/>
    <mergeCell ref="B2:I2"/>
    <mergeCell ref="B3:I3"/>
    <mergeCell ref="B35:I35"/>
    <mergeCell ref="B4:I4"/>
    <mergeCell ref="B43:I4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CHHS-31: ANNUAL REPORT COMPILATION FORM</t>
        </is>
      </c>
    </row>
    <row r="3" ht="25" customHeight="1">
      <c r="B3" s="2" t="inlineStr">
        <is>
          <t>A.Y.: _______  CHHS Coordinator: ___________________  Submitted to: Management / IQAC / NAAC  Date: _______</t>
        </is>
      </c>
    </row>
    <row r="4" ht="24" customHeight="1">
      <c r="B4" s="20" t="inlineStr">
        <is>
          <t>SECTION 1 — CANTEEN &amp; FOOD SAFETY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Daily canteen inspections conducted</t>
        </is>
      </c>
      <c r="D6" s="16" t="inlineStr">
        <is>
          <t>No. / % compliance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FSSAI licence renewed on time</t>
        </is>
      </c>
      <c r="D7" s="10" t="inlineStr">
        <is>
          <t>Y/N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Food quality inspection score (avg annual)</t>
        </is>
      </c>
      <c r="D8" s="16" t="inlineStr">
        <is>
          <t>Score /5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Canteen complaints received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Canteen complaints resolved</t>
        </is>
      </c>
      <c r="D10" s="16" t="inlineStr">
        <is>
          <t>% resolved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Food poisoning incidents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44" t="inlineStr">
        <is>
          <t>SECTION 2 — HOUSEKEEPING &amp; CLEANLINESS</t>
        </is>
      </c>
    </row>
    <row r="14" ht="22" customHeight="1">
      <c r="B14" s="45" t="inlineStr">
        <is>
          <t>Sl.</t>
        </is>
      </c>
      <c r="C14" s="45" t="inlineStr">
        <is>
          <t>Performance Metric</t>
        </is>
      </c>
      <c r="D14" s="45" t="inlineStr">
        <is>
          <t>Unit</t>
        </is>
      </c>
      <c r="E14" s="45" t="inlineStr">
        <is>
          <t>Current A.Y.</t>
        </is>
      </c>
      <c r="F14" s="45" t="inlineStr">
        <is>
          <t>Previous A.Y.</t>
        </is>
      </c>
      <c r="G14" s="45" t="inlineStr">
        <is>
          <t>Growth %</t>
        </is>
      </c>
      <c r="H14" s="45" t="inlineStr">
        <is>
          <t>Target Next Year</t>
        </is>
      </c>
    </row>
    <row r="15" ht="22" customHeight="1">
      <c r="B15" s="58" t="n">
        <v>1</v>
      </c>
      <c r="C15" s="60" t="inlineStr">
        <is>
          <t>Monthly cleanliness audits conducted</t>
        </is>
      </c>
      <c r="D15" s="59" t="inlineStr">
        <is>
          <t>No. of audits</t>
        </is>
      </c>
      <c r="E15" s="59" t="inlineStr"/>
      <c r="F15" s="59" t="inlineStr"/>
      <c r="G15" s="59">
        <f>IFERROR(ROUND((E15-F15)/IF(F15=0,1,F15)*100,1),"")</f>
        <v/>
      </c>
      <c r="H15" s="59" t="inlineStr"/>
    </row>
    <row r="16" ht="22" customHeight="1">
      <c r="B16" s="8" t="n">
        <v>2</v>
      </c>
      <c r="C16" s="9" t="inlineStr">
        <is>
          <t>Campus average cleanliness score</t>
        </is>
      </c>
      <c r="D16" s="10" t="inlineStr">
        <is>
          <t>Score /5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58" t="n">
        <v>3</v>
      </c>
      <c r="C17" s="60" t="inlineStr">
        <is>
          <t>Housekeeping staff strength</t>
        </is>
      </c>
      <c r="D17" s="59" t="inlineStr">
        <is>
          <t>No.</t>
        </is>
      </c>
      <c r="E17" s="59" t="inlineStr"/>
      <c r="F17" s="59" t="inlineStr"/>
      <c r="G17" s="59">
        <f>IFERROR(ROUND((E17-F17)/IF(F17=0,1,F17)*100,1),"")</f>
        <v/>
      </c>
      <c r="H17" s="59" t="inlineStr"/>
    </row>
    <row r="18" ht="22" customHeight="1">
      <c r="B18" s="8" t="n">
        <v>4</v>
      </c>
      <c r="C18" s="9" t="inlineStr">
        <is>
          <t>Deep cleaning cycles completed</t>
        </is>
      </c>
      <c r="D18" s="10" t="inlineStr">
        <is>
          <t>No. per year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58" t="n">
        <v>5</v>
      </c>
      <c r="C19" s="60" t="inlineStr">
        <is>
          <t>Student satisfaction — cleanliness (/5)</t>
        </is>
      </c>
      <c r="D19" s="59" t="inlineStr">
        <is>
          <t>Score</t>
        </is>
      </c>
      <c r="E19" s="59" t="inlineStr"/>
      <c r="F19" s="59" t="inlineStr"/>
      <c r="G19" s="59">
        <f>IFERROR(ROUND((E19-F19)/IF(F19=0,1,F19)*100,1),"")</f>
        <v/>
      </c>
      <c r="H19" s="59" t="inlineStr"/>
    </row>
    <row r="20" ht="22" customHeight="1">
      <c r="B20" s="8" t="n">
        <v>6</v>
      </c>
      <c r="C20" s="9" t="inlineStr">
        <is>
          <t>Complaints on cleanliness resolved (%)</t>
        </is>
      </c>
      <c r="D20" s="10" t="inlineStr">
        <is>
          <t>% resolved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5" t="inlineStr">
        <is>
          <t>SECTION 3 — SANITATION &amp; TOILETS</t>
        </is>
      </c>
    </row>
    <row r="23" ht="22" customHeight="1">
      <c r="B23" s="31" t="inlineStr">
        <is>
          <t>Sl.</t>
        </is>
      </c>
      <c r="C23" s="31" t="inlineStr">
        <is>
          <t>Performance Metric</t>
        </is>
      </c>
      <c r="D23" s="31" t="inlineStr">
        <is>
          <t>Unit</t>
        </is>
      </c>
      <c r="E23" s="31" t="inlineStr">
        <is>
          <t>Current A.Y.</t>
        </is>
      </c>
      <c r="F23" s="31" t="inlineStr">
        <is>
          <t>Previous A.Y.</t>
        </is>
      </c>
      <c r="G23" s="31" t="inlineStr">
        <is>
          <t>Growth %</t>
        </is>
      </c>
      <c r="H23" s="31" t="inlineStr">
        <is>
          <t>Target Next Year</t>
        </is>
      </c>
    </row>
    <row r="24" ht="22" customHeight="1">
      <c r="B24" s="32" t="n">
        <v>1</v>
      </c>
      <c r="C24" s="33" t="inlineStr">
        <is>
          <t>Total toilet blocks on campus</t>
        </is>
      </c>
      <c r="D24" s="34" t="inlineStr">
        <is>
          <t>No.</t>
        </is>
      </c>
      <c r="E24" s="34" t="inlineStr"/>
      <c r="F24" s="34" t="inlineStr"/>
      <c r="G24" s="34">
        <f>IFERROR(ROUND((E24-F24)/IF(F24=0,1,F24)*100,1),"")</f>
        <v/>
      </c>
      <c r="H24" s="34" t="inlineStr"/>
    </row>
    <row r="25" ht="22" customHeight="1">
      <c r="B25" s="8" t="n">
        <v>2</v>
      </c>
      <c r="C25" s="9" t="inlineStr">
        <is>
          <t>Toilet-to-student ratio (Boys)</t>
        </is>
      </c>
      <c r="D25" s="10" t="inlineStr">
        <is>
          <t>Ratio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2" t="n">
        <v>3</v>
      </c>
      <c r="C26" s="33" t="inlineStr">
        <is>
          <t>Toilet-to-student ratio (Girls)</t>
        </is>
      </c>
      <c r="D26" s="34" t="inlineStr">
        <is>
          <t>Ratio</t>
        </is>
      </c>
      <c r="E26" s="34" t="inlineStr"/>
      <c r="F26" s="34" t="inlineStr"/>
      <c r="G26" s="34">
        <f>IFERROR(ROUND((E26-F26)/IF(F26=0,1,F26)*100,1),"")</f>
        <v/>
      </c>
      <c r="H26" s="34" t="inlineStr"/>
    </row>
    <row r="27" ht="22" customHeight="1">
      <c r="B27" s="8" t="n">
        <v>4</v>
      </c>
      <c r="C27" s="9" t="inlineStr">
        <is>
          <t>Daily toilet inspection compliance</t>
        </is>
      </c>
      <c r="D27" s="10" t="inlineStr">
        <is>
          <t>% days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2" t="n">
        <v>5</v>
      </c>
      <c r="C28" s="33" t="inlineStr">
        <is>
          <t>Average toilet cleanliness score (/5)</t>
        </is>
      </c>
      <c r="D28" s="34" t="inlineStr">
        <is>
          <t>Score</t>
        </is>
      </c>
      <c r="E28" s="34" t="inlineStr"/>
      <c r="F28" s="34" t="inlineStr"/>
      <c r="G28" s="34">
        <f>IFERROR(ROUND((E28-F28)/IF(F28=0,1,F28)*100,1),"")</f>
        <v/>
      </c>
      <c r="H28" s="34" t="inlineStr"/>
    </row>
    <row r="29" ht="22" customHeight="1">
      <c r="B29" s="8" t="n">
        <v>6</v>
      </c>
      <c r="C29" s="9" t="inlineStr">
        <is>
          <t>Soap / sanitizer availability compliance (%)</t>
        </is>
      </c>
      <c r="D29" s="10" t="inlineStr">
        <is>
          <t>% of checks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79" t="inlineStr">
        <is>
          <t>SECTION 4 — WATER QUALITY</t>
        </is>
      </c>
    </row>
    <row r="32" ht="22" customHeight="1">
      <c r="B32" s="70" t="inlineStr">
        <is>
          <t>Sl.</t>
        </is>
      </c>
      <c r="C32" s="70" t="inlineStr">
        <is>
          <t>Performance Metric</t>
        </is>
      </c>
      <c r="D32" s="70" t="inlineStr">
        <is>
          <t>Unit</t>
        </is>
      </c>
      <c r="E32" s="70" t="inlineStr">
        <is>
          <t>Current A.Y.</t>
        </is>
      </c>
      <c r="F32" s="70" t="inlineStr">
        <is>
          <t>Previous A.Y.</t>
        </is>
      </c>
      <c r="G32" s="70" t="inlineStr">
        <is>
          <t>Growth %</t>
        </is>
      </c>
      <c r="H32" s="70" t="inlineStr">
        <is>
          <t>Target Next Year</t>
        </is>
      </c>
    </row>
    <row r="33" ht="22" customHeight="1">
      <c r="B33" s="71" t="n">
        <v>1</v>
      </c>
      <c r="C33" s="72" t="inlineStr">
        <is>
          <t>Water quality tests conducted</t>
        </is>
      </c>
      <c r="D33" s="73" t="inlineStr">
        <is>
          <t>No.</t>
        </is>
      </c>
      <c r="E33" s="73" t="inlineStr"/>
      <c r="F33" s="73" t="inlineStr"/>
      <c r="G33" s="73">
        <f>IFERROR(ROUND((E33-F33)/IF(F33=0,1,F33)*100,1),"")</f>
        <v/>
      </c>
      <c r="H33" s="73" t="inlineStr"/>
    </row>
    <row r="34" ht="22" customHeight="1">
      <c r="B34" s="8" t="n">
        <v>2</v>
      </c>
      <c r="C34" s="9" t="inlineStr">
        <is>
          <t>Tests PASSED</t>
        </is>
      </c>
      <c r="D34" s="10" t="inlineStr">
        <is>
          <t>No. / %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71" t="n">
        <v>3</v>
      </c>
      <c r="C35" s="72" t="inlineStr">
        <is>
          <t>Coliform-free sources (%)</t>
        </is>
      </c>
      <c r="D35" s="73" t="inlineStr">
        <is>
          <t>% sources</t>
        </is>
      </c>
      <c r="E35" s="73" t="inlineStr"/>
      <c r="F35" s="73" t="inlineStr"/>
      <c r="G35" s="73">
        <f>IFERROR(ROUND((E35-F35)/IF(F35=0,1,F35)*100,1),"")</f>
        <v/>
      </c>
      <c r="H35" s="73" t="inlineStr"/>
    </row>
    <row r="36" ht="22" customHeight="1">
      <c r="B36" s="8" t="n">
        <v>4</v>
      </c>
      <c r="C36" s="9" t="inlineStr">
        <is>
          <t>TDS within limits (%)</t>
        </is>
      </c>
      <c r="D36" s="10" t="inlineStr">
        <is>
          <t>% sources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71" t="n">
        <v>5</v>
      </c>
      <c r="C37" s="72" t="inlineStr">
        <is>
          <t>Drinking water points operational (%)</t>
        </is>
      </c>
      <c r="D37" s="73" t="inlineStr">
        <is>
          <t>% functional</t>
        </is>
      </c>
      <c r="E37" s="73" t="inlineStr"/>
      <c r="F37" s="73" t="inlineStr"/>
      <c r="G37" s="73">
        <f>IFERROR(ROUND((E37-F37)/IF(F37=0,1,F37)*100,1),"")</f>
        <v/>
      </c>
      <c r="H37" s="73" t="inlineStr"/>
    </row>
    <row r="38" ht="22" customHeight="1">
      <c r="B38" s="8" t="n">
        <v>6</v>
      </c>
      <c r="C38" s="9" t="inlineStr">
        <is>
          <t>Water quality complaints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81" t="inlineStr">
        <is>
          <t>SECTION 5 — PEST CONTROL &amp; WASTE</t>
        </is>
      </c>
    </row>
    <row r="41" ht="22" customHeight="1">
      <c r="B41" s="62" t="inlineStr">
        <is>
          <t>Sl.</t>
        </is>
      </c>
      <c r="C41" s="62" t="inlineStr">
        <is>
          <t>Performance Metric</t>
        </is>
      </c>
      <c r="D41" s="62" t="inlineStr">
        <is>
          <t>Unit</t>
        </is>
      </c>
      <c r="E41" s="62" t="inlineStr">
        <is>
          <t>Current A.Y.</t>
        </is>
      </c>
      <c r="F41" s="62" t="inlineStr">
        <is>
          <t>Previous A.Y.</t>
        </is>
      </c>
      <c r="G41" s="62" t="inlineStr">
        <is>
          <t>Growth %</t>
        </is>
      </c>
      <c r="H41" s="62" t="inlineStr">
        <is>
          <t>Target Next Year</t>
        </is>
      </c>
    </row>
    <row r="42" ht="22" customHeight="1">
      <c r="B42" s="75" t="n">
        <v>1</v>
      </c>
      <c r="C42" s="65" t="inlineStr">
        <is>
          <t>Pest control treatments conducted</t>
        </is>
      </c>
      <c r="D42" s="63" t="inlineStr">
        <is>
          <t>No.</t>
        </is>
      </c>
      <c r="E42" s="63" t="inlineStr"/>
      <c r="F42" s="63" t="inlineStr"/>
      <c r="G42" s="63">
        <f>IFERROR(ROUND((E42-F42)/IF(F42=0,1,F42)*100,1),"")</f>
        <v/>
      </c>
      <c r="H42" s="63" t="inlineStr"/>
    </row>
    <row r="43" ht="22" customHeight="1">
      <c r="B43" s="8" t="n">
        <v>2</v>
      </c>
      <c r="C43" s="9" t="inlineStr">
        <is>
          <t>Areas with certified PCO treatment (%)</t>
        </is>
      </c>
      <c r="D43" s="10" t="inlineStr">
        <is>
          <t>% with cert.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75" t="n">
        <v>3</v>
      </c>
      <c r="C44" s="65" t="inlineStr">
        <is>
          <t>Waste collected — total (tons)</t>
        </is>
      </c>
      <c r="D44" s="63" t="inlineStr">
        <is>
          <t>Tons</t>
        </is>
      </c>
      <c r="E44" s="63" t="inlineStr"/>
      <c r="F44" s="63" t="inlineStr"/>
      <c r="G44" s="63">
        <f>IFERROR(ROUND((E44-F44)/IF(F44=0,1,F44)*100,1),"")</f>
        <v/>
      </c>
      <c r="H44" s="63" t="inlineStr"/>
    </row>
    <row r="45" ht="22" customHeight="1">
      <c r="B45" s="8" t="n">
        <v>4</v>
      </c>
      <c r="C45" s="9" t="inlineStr">
        <is>
          <t>Waste recycled (%)</t>
        </is>
      </c>
      <c r="D45" s="10" t="inlineStr">
        <is>
          <t>% recycled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75" t="n">
        <v>5</v>
      </c>
      <c r="C46" s="65" t="inlineStr">
        <is>
          <t>Biomedical / e-waste disposal certs obtained</t>
        </is>
      </c>
      <c r="D46" s="63" t="inlineStr">
        <is>
          <t>Y/N</t>
        </is>
      </c>
      <c r="E46" s="63" t="inlineStr"/>
      <c r="F46" s="63" t="inlineStr"/>
      <c r="G46" s="63">
        <f>IFERROR(ROUND((E46-F46)/IF(F46=0,1,F46)*100,1),"")</f>
        <v/>
      </c>
      <c r="H46" s="63" t="inlineStr"/>
    </row>
    <row r="47" ht="22" customHeight="1">
      <c r="B47" s="8" t="n">
        <v>6</v>
      </c>
      <c r="C47" s="9" t="inlineStr">
        <is>
          <t>Green campus activities conducted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(NAAC AQAR Criterion IV — Infrastructure, Green Campus), State Health Department (if requested), FSSAI Inspection records, University / AICTE inspection team.</t>
        </is>
      </c>
    </row>
    <row r="50" ht="22" customHeight="1">
      <c r="B50" s="30" t="inlineStr">
        <is>
          <t>CHHS Coordinator: ___________________   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2026-04-24T12:11:42Z</dcterms:created>
  <dcterms:modified xmlns:dcterms="http://purl.org/dc/terms/" xmlns:xsi="http://www.w3.org/2001/XMLSchema-instance" xsi:type="dcterms:W3CDTF">2026-04-24T12:11:42Z</dcterms:modified>
</cp:coreProperties>
</file>