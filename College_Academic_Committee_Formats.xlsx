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AC-00 Composition" sheetId="2" state="visible" r:id="rId2"/>
    <sheet xmlns:r="http://schemas.openxmlformats.org/officeDocument/2006/relationships" name="CAC-NA Notice &amp; Agenda" sheetId="3" state="visible" r:id="rId3"/>
    <sheet xmlns:r="http://schemas.openxmlformats.org/officeDocument/2006/relationships" name="CAC-AT Attendance" sheetId="4" state="visible" r:id="rId4"/>
    <sheet xmlns:r="http://schemas.openxmlformats.org/officeDocument/2006/relationships" name="CAC-MM Minutes" sheetId="5" state="visible" r:id="rId5"/>
    <sheet xmlns:r="http://schemas.openxmlformats.org/officeDocument/2006/relationships" name="CAC-ATR Action Report" sheetId="6" state="visible" r:id="rId6"/>
    <sheet xmlns:r="http://schemas.openxmlformats.org/officeDocument/2006/relationships" name="CAC-02 Academic Calendar" sheetId="7" state="visible" r:id="rId7"/>
    <sheet xmlns:r="http://schemas.openxmlformats.org/officeDocument/2006/relationships" name="CAC-05 Curriculum Review" sheetId="8" state="visible" r:id="rId8"/>
    <sheet xmlns:r="http://schemas.openxmlformats.org/officeDocument/2006/relationships" name="CAC-12 Lesson Plan Register" sheetId="9" state="visible" r:id="rId9"/>
    <sheet xmlns:r="http://schemas.openxmlformats.org/officeDocument/2006/relationships" name="CAC-20 FDP Register" sheetId="10" state="visible" r:id="rId10"/>
    <sheet xmlns:r="http://schemas.openxmlformats.org/officeDocument/2006/relationships" name="CAC-25 Result Analysis" sheetId="11" state="visible" r:id="rId11"/>
    <sheet xmlns:r="http://schemas.openxmlformats.org/officeDocument/2006/relationships" name="CAC-31 Attendance Summary" sheetId="12" state="visible" r:id="rId12"/>
    <sheet xmlns:r="http://schemas.openxmlformats.org/officeDocument/2006/relationships" name="CAC-15 Mentor-Mentee Register" sheetId="13" state="visible" r:id="rId13"/>
    <sheet xmlns:r="http://schemas.openxmlformats.org/officeDocument/2006/relationships" name="CAC-38 Student Feedback" sheetId="14" state="visible" r:id="rId14"/>
    <sheet xmlns:r="http://schemas.openxmlformats.org/officeDocument/2006/relationships" name="CAC-42 Academic Audit" sheetId="15" state="visible" r:id="rId15"/>
    <sheet xmlns:r="http://schemas.openxmlformats.org/officeDocument/2006/relationships" name="CAC-16 Guest Lecture Register" sheetId="16" state="visible" r:id="rId16"/>
    <sheet xmlns:r="http://schemas.openxmlformats.org/officeDocument/2006/relationships" name="CAC-19 Faculty Qualification" sheetId="17" state="visible" r:id="rId17"/>
    <sheet xmlns:r="http://schemas.openxmlformats.org/officeDocument/2006/relationships" name="CAC-46 KPI Dashboard" sheetId="18" state="visible" r:id="rId18"/>
    <sheet xmlns:r="http://schemas.openxmlformats.org/officeDocument/2006/relationships" name="CAC-47 Annual Academic Repor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color rgb="003730A3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0F172A"/>
      <sz val="10"/>
    </font>
    <font>
      <name val="Arial"/>
      <color rgb="0064748B"/>
      <sz val="9"/>
    </font>
    <font>
      <name val="Arial"/>
      <b val="1"/>
      <color rgb="00FFFFFF"/>
      <sz val="14"/>
    </font>
    <font>
      <name val="Arial"/>
      <color rgb="003F2000"/>
      <sz val="9"/>
    </font>
    <font>
      <name val="Arial"/>
      <b val="1"/>
      <color rgb="003730A3"/>
      <sz val="10"/>
    </font>
    <font>
      <name val="Arial"/>
      <b val="1"/>
      <color rgb="00334155"/>
      <sz val="10"/>
    </font>
    <font>
      <name val="Arial"/>
      <b val="1"/>
      <color rgb="00166534"/>
      <sz val="10"/>
    </font>
    <font>
      <name val="Arial"/>
      <color rgb="000F172A"/>
      <sz val="9"/>
    </font>
    <font>
      <name val="Arial"/>
      <b val="1"/>
      <color rgb="003F2000"/>
      <sz val="10"/>
    </font>
    <font>
      <name val="Arial"/>
      <b val="1"/>
      <color rgb="000F172A"/>
      <sz val="9"/>
    </font>
    <font>
      <name val="Arial"/>
      <color rgb="003730A3"/>
      <sz val="10"/>
    </font>
  </fonts>
  <fills count="21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E0E7FF"/>
      </patternFill>
    </fill>
    <fill>
      <patternFill patternType="solid">
        <fgColor rgb="00D97706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3730A3"/>
      </patternFill>
    </fill>
    <fill>
      <patternFill patternType="solid">
        <fgColor rgb="00FEF3C7"/>
      </patternFill>
    </fill>
    <fill>
      <patternFill patternType="solid">
        <fgColor rgb="00B45309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C2410C"/>
      </patternFill>
    </fill>
    <fill>
      <patternFill patternType="solid">
        <fgColor rgb="00FFEDD5"/>
      </patternFill>
    </fill>
    <fill>
      <patternFill patternType="solid">
        <fgColor rgb="007C3AED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3" fillId="12" borderId="0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14" fillId="9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3" fillId="17" borderId="0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left" vertical="center" wrapText="1"/>
    </xf>
    <xf numFmtId="0" fontId="6" fillId="18" borderId="1" applyAlignment="1" pivotButton="0" quotePrefix="0" xfId="0">
      <alignment horizontal="center" vertical="center" wrapText="1"/>
    </xf>
    <xf numFmtId="0" fontId="10" fillId="18" borderId="1" applyAlignment="1" pivotButton="0" quotePrefix="0" xfId="0">
      <alignment horizontal="center" vertical="center" wrapText="1"/>
    </xf>
    <xf numFmtId="0" fontId="3" fillId="19" borderId="0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left" vertical="center" wrapText="1"/>
    </xf>
    <xf numFmtId="0" fontId="6" fillId="20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7" borderId="1" pivotButton="0" quotePrefix="0" xfId="0"/>
    <xf numFmtId="0" fontId="15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0" fontId="15" fillId="16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left" vertical="center" wrapText="1"/>
    </xf>
    <xf numFmtId="0" fontId="13" fillId="16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center" vertical="center" wrapText="1"/>
    </xf>
    <xf numFmtId="0" fontId="15" fillId="20" borderId="1" applyAlignment="1" pivotButton="0" quotePrefix="0" xfId="0">
      <alignment horizontal="center" vertical="center" wrapText="1"/>
    </xf>
    <xf numFmtId="0" fontId="13" fillId="20" borderId="1" applyAlignment="1" pivotButton="0" quotePrefix="0" xfId="0">
      <alignment horizontal="left" vertical="center" wrapText="1"/>
    </xf>
    <xf numFmtId="0" fontId="13" fillId="20" borderId="1" applyAlignment="1" pivotButton="0" quotePrefix="0" xfId="0">
      <alignment horizontal="center" vertical="center" wrapText="1"/>
    </xf>
    <xf numFmtId="0" fontId="15" fillId="18" borderId="1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left" vertical="center" wrapText="1"/>
    </xf>
    <xf numFmtId="0" fontId="13" fillId="18" borderId="1" applyAlignment="1" pivotButton="0" quotePrefix="0" xfId="0">
      <alignment horizontal="center" vertical="center" wrapText="1"/>
    </xf>
    <xf numFmtId="0" fontId="16" fillId="14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6" customWidth="1" min="3" max="3"/>
    <col width="28" customWidth="1" min="4" max="4"/>
    <col width="18" customWidth="1" min="5" max="5"/>
    <col width="3" customWidth="1" min="6" max="6"/>
  </cols>
  <sheetData>
    <row r="1" ht="10" customHeight="1"/>
    <row r="2" ht="80" customHeight="1">
      <c r="B2" s="1" t="inlineStr">
        <is>
          <t>COLLEGE ACADEMIC COMMITTEE (CAC)
Data Collection Formats — Master Workbook</t>
        </is>
      </c>
    </row>
    <row r="3" ht="28" customHeight="1">
      <c r="B3" s="2" t="inlineStr">
        <is>
          <t>Institution: _________________________  CAC Coordinator: _____________  A.Y.: _______  Version: _____</t>
        </is>
      </c>
    </row>
    <row r="4" ht="22" customHeight="1">
      <c r="B4" s="3" t="inlineStr">
        <is>
          <t>Form No.</t>
        </is>
      </c>
      <c r="C4" s="3" t="inlineStr">
        <is>
          <t>Format / Form Title</t>
        </is>
      </c>
      <c r="D4" s="3" t="inlineStr">
        <is>
          <t>Purpose / Usage</t>
        </is>
      </c>
      <c r="E4" s="3" t="inlineStr">
        <is>
          <t>Frequency</t>
        </is>
      </c>
    </row>
    <row r="5" ht="20" customHeight="1">
      <c r="B5" s="4" t="inlineStr">
        <is>
          <t>── GOVERNANCE &amp; ADMINISTRATION ──</t>
        </is>
      </c>
    </row>
    <row r="6" ht="20" customHeight="1">
      <c r="B6" s="5" t="inlineStr">
        <is>
          <t>CAC-00</t>
        </is>
      </c>
      <c r="C6" s="6" t="inlineStr">
        <is>
          <t>Committee Composition &amp; Members Register</t>
        </is>
      </c>
      <c r="D6" s="6" t="inlineStr">
        <is>
          <t>Record CAC members, HoDs, faculty reps &amp; student reps</t>
        </is>
      </c>
      <c r="E6" s="7" t="inlineStr">
        <is>
          <t>Annual</t>
        </is>
      </c>
    </row>
    <row r="7" ht="20" customHeight="1">
      <c r="B7" s="8" t="inlineStr">
        <is>
          <t>CAC-NA</t>
        </is>
      </c>
      <c r="C7" s="9" t="inlineStr">
        <is>
          <t>Meeting Notice, Agenda &amp; Dispatch Record</t>
        </is>
      </c>
      <c r="D7" s="9" t="inlineStr">
        <is>
          <t>Formal notice and agenda for CAC meetings</t>
        </is>
      </c>
      <c r="E7" s="10" t="inlineStr">
        <is>
          <t>Each Meeting</t>
        </is>
      </c>
    </row>
    <row r="8" ht="20" customHeight="1">
      <c r="B8" s="5" t="inlineStr">
        <is>
          <t>CAC-AT</t>
        </is>
      </c>
      <c r="C8" s="6" t="inlineStr">
        <is>
          <t>Attendance &amp; Quorum Register</t>
        </is>
      </c>
      <c r="D8" s="6" t="inlineStr">
        <is>
          <t>Confirm attendance and quorum</t>
        </is>
      </c>
      <c r="E8" s="7" t="inlineStr">
        <is>
          <t>Each Meeting</t>
        </is>
      </c>
    </row>
    <row r="9" ht="20" customHeight="1">
      <c r="B9" s="8" t="inlineStr">
        <is>
          <t>CAC-MM</t>
        </is>
      </c>
      <c r="C9" s="9" t="inlineStr">
        <is>
          <t>Meeting Minutes &amp; Resolutions</t>
        </is>
      </c>
      <c r="D9" s="9" t="inlineStr">
        <is>
          <t>Record decisions, resolutions &amp; directives</t>
        </is>
      </c>
      <c r="E9" s="10" t="inlineStr">
        <is>
          <t>Each Meeting</t>
        </is>
      </c>
    </row>
    <row r="10" ht="20" customHeight="1">
      <c r="B10" s="5" t="inlineStr">
        <is>
          <t>CAC-ATR</t>
        </is>
      </c>
      <c r="C10" s="6" t="inlineStr">
        <is>
          <t>Action Taken Report</t>
        </is>
      </c>
      <c r="D10" s="6" t="inlineStr">
        <is>
          <t>Track implementation of CAC resolutions</t>
        </is>
      </c>
      <c r="E10" s="7" t="inlineStr">
        <is>
          <t>Each Meeting</t>
        </is>
      </c>
    </row>
    <row r="11" ht="20" customHeight="1">
      <c r="B11" s="4" t="inlineStr">
        <is>
          <t>── ACADEMIC PLANNING ──</t>
        </is>
      </c>
    </row>
    <row r="12" ht="20" customHeight="1">
      <c r="B12" s="5" t="inlineStr">
        <is>
          <t>CAC-01</t>
        </is>
      </c>
      <c r="C12" s="6" t="inlineStr">
        <is>
          <t>Academic Policy &amp; Standards Document</t>
        </is>
      </c>
      <c r="D12" s="6" t="inlineStr">
        <is>
          <t>Document academic rules, grading, attendance, integrity</t>
        </is>
      </c>
      <c r="E12" s="7" t="inlineStr">
        <is>
          <t>Annual</t>
        </is>
      </c>
    </row>
    <row r="13" ht="20" customHeight="1">
      <c r="B13" s="8" t="inlineStr">
        <is>
          <t>CAC-02</t>
        </is>
      </c>
      <c r="C13" s="9" t="inlineStr">
        <is>
          <t>Academic Calendar — Annual Planning Register</t>
        </is>
      </c>
      <c r="D13" s="9" t="inlineStr">
        <is>
          <t>Plan all academic events, exams, vacations for the year</t>
        </is>
      </c>
      <c r="E13" s="10" t="inlineStr">
        <is>
          <t>Annual</t>
        </is>
      </c>
    </row>
    <row r="14" ht="20" customHeight="1">
      <c r="B14" s="5" t="inlineStr">
        <is>
          <t>CAC-03</t>
        </is>
      </c>
      <c r="C14" s="6" t="inlineStr">
        <is>
          <t>Institutional Academic Vision &amp; Strategic Plan</t>
        </is>
      </c>
      <c r="D14" s="6" t="inlineStr">
        <is>
          <t>Document 3–5 year academic vision and goals</t>
        </is>
      </c>
      <c r="E14" s="7" t="inlineStr">
        <is>
          <t>Annual / Triennial</t>
        </is>
      </c>
    </row>
    <row r="15" ht="20" customHeight="1">
      <c r="B15" s="8" t="inlineStr">
        <is>
          <t>CAC-04</t>
        </is>
      </c>
      <c r="C15" s="9" t="inlineStr">
        <is>
          <t>Programme Offer &amp; Review Register</t>
        </is>
      </c>
      <c r="D15" s="9" t="inlineStr">
        <is>
          <t>Review existing programmes and plan new launches</t>
        </is>
      </c>
      <c r="E15" s="10" t="inlineStr">
        <is>
          <t>Annual</t>
        </is>
      </c>
    </row>
    <row r="16" ht="20" customHeight="1">
      <c r="B16" s="4" t="inlineStr">
        <is>
          <t>── CURRICULUM &amp; SYLLABUS ──</t>
        </is>
      </c>
    </row>
    <row r="17" ht="20" customHeight="1">
      <c r="B17" s="8" t="inlineStr">
        <is>
          <t>CAC-05</t>
        </is>
      </c>
      <c r="C17" s="9" t="inlineStr">
        <is>
          <t>Curriculum Review &amp; Revision Register</t>
        </is>
      </c>
      <c r="D17" s="9" t="inlineStr">
        <is>
          <t>Track curriculum review, updates and university approvals</t>
        </is>
      </c>
      <c r="E17" s="10" t="inlineStr">
        <is>
          <t>Annual / Per Revision</t>
        </is>
      </c>
    </row>
    <row r="18" ht="20" customHeight="1">
      <c r="B18" s="5" t="inlineStr">
        <is>
          <t>CAC-06</t>
        </is>
      </c>
      <c r="C18" s="6" t="inlineStr">
        <is>
          <t>Syllabus Coverage &amp; Completion Tracking Reg.</t>
        </is>
      </c>
      <c r="D18" s="6" t="inlineStr">
        <is>
          <t>Monitor syllabus coverage across departments</t>
        </is>
      </c>
      <c r="E18" s="7" t="inlineStr">
        <is>
          <t>Each Semester</t>
        </is>
      </c>
    </row>
    <row r="19" ht="20" customHeight="1">
      <c r="B19" s="8" t="inlineStr">
        <is>
          <t>CAC-07</t>
        </is>
      </c>
      <c r="C19" s="9" t="inlineStr">
        <is>
          <t>New Course / Elective Introduction Register</t>
        </is>
      </c>
      <c r="D19" s="9" t="inlineStr">
        <is>
          <t>Document new course proposals and approval trail</t>
        </is>
      </c>
      <c r="E19" s="10" t="inlineStr">
        <is>
          <t>Per Introduction</t>
        </is>
      </c>
    </row>
    <row r="20" ht="20" customHeight="1">
      <c r="B20" s="5" t="inlineStr">
        <is>
          <t>CAC-08</t>
        </is>
      </c>
      <c r="C20" s="6" t="inlineStr">
        <is>
          <t>MOOC / Online Course Integration Register</t>
        </is>
      </c>
      <c r="D20" s="6" t="inlineStr">
        <is>
          <t>Track MOOCs and online courses credited to students</t>
        </is>
      </c>
      <c r="E20" s="7" t="inlineStr">
        <is>
          <t>Annual</t>
        </is>
      </c>
    </row>
    <row r="21" ht="20" customHeight="1">
      <c r="B21" s="8" t="inlineStr">
        <is>
          <t>CAC-09</t>
        </is>
      </c>
      <c r="C21" s="9" t="inlineStr">
        <is>
          <t>Value-Added Course Register</t>
        </is>
      </c>
      <c r="D21" s="9" t="inlineStr">
        <is>
          <t>Register and track value-added and skill courses</t>
        </is>
      </c>
      <c r="E21" s="10" t="inlineStr">
        <is>
          <t>Annual</t>
        </is>
      </c>
    </row>
    <row r="22" ht="20" customHeight="1">
      <c r="B22" s="5" t="inlineStr">
        <is>
          <t>CAC-10</t>
        </is>
      </c>
      <c r="C22" s="6" t="inlineStr">
        <is>
          <t>Industry-Aligned Curriculum Register</t>
        </is>
      </c>
      <c r="D22" s="6" t="inlineStr">
        <is>
          <t>Track industry input into curriculum design</t>
        </is>
      </c>
      <c r="E22" s="7" t="inlineStr">
        <is>
          <t>Annual</t>
        </is>
      </c>
    </row>
    <row r="23" ht="20" customHeight="1">
      <c r="B23" s="4" t="inlineStr">
        <is>
          <t>── TEACHING-LEARNING ──</t>
        </is>
      </c>
    </row>
    <row r="24" ht="20" customHeight="1">
      <c r="B24" s="5" t="inlineStr">
        <is>
          <t>CAC-11</t>
        </is>
      </c>
      <c r="C24" s="6" t="inlineStr">
        <is>
          <t>Teaching Methodology Register</t>
        </is>
      </c>
      <c r="D24" s="6" t="inlineStr">
        <is>
          <t>Document and promote innovative teaching methods used</t>
        </is>
      </c>
      <c r="E24" s="7" t="inlineStr">
        <is>
          <t>Annual</t>
        </is>
      </c>
    </row>
    <row r="25" ht="20" customHeight="1">
      <c r="B25" s="8" t="inlineStr">
        <is>
          <t>CAC-12</t>
        </is>
      </c>
      <c r="C25" s="9" t="inlineStr">
        <is>
          <t>Lesson Plan &amp; Teaching Plan Repository</t>
        </is>
      </c>
      <c r="D25" s="9" t="inlineStr">
        <is>
          <t>Register submission and review of lesson plans by faculty</t>
        </is>
      </c>
      <c r="E25" s="10" t="inlineStr">
        <is>
          <t>Each Semester</t>
        </is>
      </c>
    </row>
    <row r="26" ht="20" customHeight="1">
      <c r="B26" s="5" t="inlineStr">
        <is>
          <t>CAC-13</t>
        </is>
      </c>
      <c r="C26" s="6" t="inlineStr">
        <is>
          <t>ICT &amp; Technology Integration Register</t>
        </is>
      </c>
      <c r="D26" s="6" t="inlineStr">
        <is>
          <t>Track use of technology in teaching and learning</t>
        </is>
      </c>
      <c r="E26" s="7" t="inlineStr">
        <is>
          <t>Annual</t>
        </is>
      </c>
    </row>
    <row r="27" ht="20" customHeight="1">
      <c r="B27" s="8" t="inlineStr">
        <is>
          <t>CAC-14</t>
        </is>
      </c>
      <c r="C27" s="9" t="inlineStr">
        <is>
          <t>Student Diversity &amp; Slow Learner Support Reg.</t>
        </is>
      </c>
      <c r="D27" s="9" t="inlineStr">
        <is>
          <t>Track support for slow, advanced and diverse learners</t>
        </is>
      </c>
      <c r="E27" s="10" t="inlineStr">
        <is>
          <t>Each Semester</t>
        </is>
      </c>
    </row>
    <row r="28" ht="20" customHeight="1">
      <c r="B28" s="5" t="inlineStr">
        <is>
          <t>CAC-15</t>
        </is>
      </c>
      <c r="C28" s="6" t="inlineStr">
        <is>
          <t>Mentor-Mentee Programme Register</t>
        </is>
      </c>
      <c r="D28" s="6" t="inlineStr">
        <is>
          <t>Document mentoring assignments and session records</t>
        </is>
      </c>
      <c r="E28" s="7" t="inlineStr">
        <is>
          <t>Annual / Each Semester</t>
        </is>
      </c>
    </row>
    <row r="29" ht="20" customHeight="1">
      <c r="B29" s="8" t="inlineStr">
        <is>
          <t>CAC-16</t>
        </is>
      </c>
      <c r="C29" s="9" t="inlineStr">
        <is>
          <t>Guest Lecture &amp; Resource Person Register</t>
        </is>
      </c>
      <c r="D29" s="9" t="inlineStr">
        <is>
          <t>Log all guest lectures and invited talks</t>
        </is>
      </c>
      <c r="E29" s="10" t="inlineStr">
        <is>
          <t>Per Event</t>
        </is>
      </c>
    </row>
    <row r="30" ht="20" customHeight="1">
      <c r="B30" s="5" t="inlineStr">
        <is>
          <t>CAC-17</t>
        </is>
      </c>
      <c r="C30" s="6" t="inlineStr">
        <is>
          <t>Industrial Visit &amp; Field Study Register</t>
        </is>
      </c>
      <c r="D30" s="6" t="inlineStr">
        <is>
          <t>Log industrial visits and field studies by department</t>
        </is>
      </c>
      <c r="E30" s="7" t="inlineStr">
        <is>
          <t>Per Visit</t>
        </is>
      </c>
    </row>
    <row r="31" ht="20" customHeight="1">
      <c r="B31" s="8" t="inlineStr">
        <is>
          <t>CAC-18</t>
        </is>
      </c>
      <c r="C31" s="9" t="inlineStr">
        <is>
          <t>Academic Calendar Adherence Register</t>
        </is>
      </c>
      <c r="D31" s="9" t="inlineStr">
        <is>
          <t>Track compliance with academic calendar across departments</t>
        </is>
      </c>
      <c r="E31" s="10" t="inlineStr">
        <is>
          <t>Monthly</t>
        </is>
      </c>
    </row>
    <row r="32" ht="20" customHeight="1">
      <c r="B32" s="4" t="inlineStr">
        <is>
          <t>── FACULTY DEVELOPMENT ──</t>
        </is>
      </c>
    </row>
    <row r="33" ht="20" customHeight="1">
      <c r="B33" s="8" t="inlineStr">
        <is>
          <t>CAC-19</t>
        </is>
      </c>
      <c r="C33" s="9" t="inlineStr">
        <is>
          <t>Faculty Qualification &amp; Eligibility Register</t>
        </is>
      </c>
      <c r="D33" s="9" t="inlineStr">
        <is>
          <t>Track faculty qualification, NET/SET, Ph.D. status</t>
        </is>
      </c>
      <c r="E33" s="10" t="inlineStr">
        <is>
          <t>Annual</t>
        </is>
      </c>
    </row>
    <row r="34" ht="20" customHeight="1">
      <c r="B34" s="5" t="inlineStr">
        <is>
          <t>CAC-20</t>
        </is>
      </c>
      <c r="C34" s="6" t="inlineStr">
        <is>
          <t>Faculty Development Programme (FDP) Register</t>
        </is>
      </c>
      <c r="D34" s="6" t="inlineStr">
        <is>
          <t>Track FDPs attended and conducted by faculty</t>
        </is>
      </c>
      <c r="E34" s="7" t="inlineStr">
        <is>
          <t>Annual</t>
        </is>
      </c>
    </row>
    <row r="35" ht="20" customHeight="1">
      <c r="B35" s="8" t="inlineStr">
        <is>
          <t>CAC-21</t>
        </is>
      </c>
      <c r="C35" s="9" t="inlineStr">
        <is>
          <t>Faculty Research &amp; Publication Register</t>
        </is>
      </c>
      <c r="D35" s="9" t="inlineStr">
        <is>
          <t>Track faculty research papers, books and patents</t>
        </is>
      </c>
      <c r="E35" s="10" t="inlineStr">
        <is>
          <t>Annual</t>
        </is>
      </c>
    </row>
    <row r="36" ht="20" customHeight="1">
      <c r="B36" s="5" t="inlineStr">
        <is>
          <t>CAC-22</t>
        </is>
      </c>
      <c r="C36" s="6" t="inlineStr">
        <is>
          <t>Faculty Award &amp; Recognition Register</t>
        </is>
      </c>
      <c r="D36" s="6" t="inlineStr">
        <is>
          <t>Document faculty recognitions, fellowships, honours</t>
        </is>
      </c>
      <c r="E36" s="7" t="inlineStr">
        <is>
          <t>Annual</t>
        </is>
      </c>
    </row>
    <row r="37" ht="20" customHeight="1">
      <c r="B37" s="8" t="inlineStr">
        <is>
          <t>CAC-23</t>
        </is>
      </c>
      <c r="C37" s="9" t="inlineStr">
        <is>
          <t>Faculty Appraisal &amp; Performance Register</t>
        </is>
      </c>
      <c r="D37" s="9" t="inlineStr">
        <is>
          <t>Annual performance appraisal (PBAS/AKPIA based)</t>
        </is>
      </c>
      <c r="E37" s="10" t="inlineStr">
        <is>
          <t>Annual</t>
        </is>
      </c>
    </row>
    <row r="38" ht="20" customHeight="1">
      <c r="B38" s="4" t="inlineStr">
        <is>
          <t>── STUDENT ACADEMIC PERFORMANCE ──</t>
        </is>
      </c>
    </row>
    <row r="39" ht="20" customHeight="1">
      <c r="B39" s="8" t="inlineStr">
        <is>
          <t>CAC-24</t>
        </is>
      </c>
      <c r="C39" s="9" t="inlineStr">
        <is>
          <t>Student Admission &amp; Enrolment Register</t>
        </is>
      </c>
      <c r="D39" s="9" t="inlineStr">
        <is>
          <t>Track student enrolment year-wise and programme-wise</t>
        </is>
      </c>
      <c r="E39" s="10" t="inlineStr">
        <is>
          <t>Annual</t>
        </is>
      </c>
    </row>
    <row r="40" ht="20" customHeight="1">
      <c r="B40" s="5" t="inlineStr">
        <is>
          <t>CAC-25</t>
        </is>
      </c>
      <c r="C40" s="6" t="inlineStr">
        <is>
          <t>Semester-wise Result Analysis Register</t>
        </is>
      </c>
      <c r="D40" s="6" t="inlineStr">
        <is>
          <t>Analyse results — pass%, average marks, toppers</t>
        </is>
      </c>
      <c r="E40" s="7" t="inlineStr">
        <is>
          <t>Each Semester</t>
        </is>
      </c>
    </row>
    <row r="41" ht="20" customHeight="1">
      <c r="B41" s="8" t="inlineStr">
        <is>
          <t>CAC-26</t>
        </is>
      </c>
      <c r="C41" s="9" t="inlineStr">
        <is>
          <t>Student Academic Progress &amp; Backlog Register</t>
        </is>
      </c>
      <c r="D41" s="9" t="inlineStr">
        <is>
          <t>Track students with backlogs or academic deficiency</t>
        </is>
      </c>
      <c r="E41" s="10" t="inlineStr">
        <is>
          <t>Each Semester</t>
        </is>
      </c>
    </row>
    <row r="42" ht="20" customHeight="1">
      <c r="B42" s="5" t="inlineStr">
        <is>
          <t>CAC-27</t>
        </is>
      </c>
      <c r="C42" s="6" t="inlineStr">
        <is>
          <t>Merit List &amp; Scholarship Eligibility Register</t>
        </is>
      </c>
      <c r="D42" s="6" t="inlineStr">
        <is>
          <t>Identify and document merit students</t>
        </is>
      </c>
      <c r="E42" s="7" t="inlineStr">
        <is>
          <t>Annual</t>
        </is>
      </c>
    </row>
    <row r="43" ht="20" customHeight="1">
      <c r="B43" s="8" t="inlineStr">
        <is>
          <t>CAC-28</t>
        </is>
      </c>
      <c r="C43" s="9" t="inlineStr">
        <is>
          <t>Student Progression Register</t>
        </is>
      </c>
      <c r="D43" s="9" t="inlineStr">
        <is>
          <t>Track lateral entry, year-wise progression and dropout</t>
        </is>
      </c>
      <c r="E43" s="10" t="inlineStr">
        <is>
          <t>Annual</t>
        </is>
      </c>
    </row>
    <row r="44" ht="20" customHeight="1">
      <c r="B44" s="5" t="inlineStr">
        <is>
          <t>CAC-29</t>
        </is>
      </c>
      <c r="C44" s="6" t="inlineStr">
        <is>
          <t>Alumni Placement &amp; Higher Studies Register</t>
        </is>
      </c>
      <c r="D44" s="6" t="inlineStr">
        <is>
          <t>Track placement and higher education statistics</t>
        </is>
      </c>
      <c r="E44" s="7" t="inlineStr">
        <is>
          <t>Annual</t>
        </is>
      </c>
    </row>
    <row r="45" ht="20" customHeight="1">
      <c r="B45" s="4" t="inlineStr">
        <is>
          <t>── ATTENDANCE MANAGEMENT ──</t>
        </is>
      </c>
    </row>
    <row r="46" ht="20" customHeight="1">
      <c r="B46" s="5" t="inlineStr">
        <is>
          <t>CAC-30</t>
        </is>
      </c>
      <c r="C46" s="6" t="inlineStr">
        <is>
          <t>Institutional Attendance Policy Register</t>
        </is>
      </c>
      <c r="D46" s="6" t="inlineStr">
        <is>
          <t>Document attendance norms, eligibility rules &amp; condonation</t>
        </is>
      </c>
      <c r="E46" s="7" t="inlineStr">
        <is>
          <t>Annual</t>
        </is>
      </c>
    </row>
    <row r="47" ht="20" customHeight="1">
      <c r="B47" s="8" t="inlineStr">
        <is>
          <t>CAC-31</t>
        </is>
      </c>
      <c r="C47" s="9" t="inlineStr">
        <is>
          <t>Department-wise Attendance Summary Register</t>
        </is>
      </c>
      <c r="D47" s="9" t="inlineStr">
        <is>
          <t>Monthly dept. attendance summary — all courses</t>
        </is>
      </c>
      <c r="E47" s="10" t="inlineStr">
        <is>
          <t>Monthly</t>
        </is>
      </c>
    </row>
    <row r="48" ht="20" customHeight="1">
      <c r="B48" s="5" t="inlineStr">
        <is>
          <t>CAC-32</t>
        </is>
      </c>
      <c r="C48" s="6" t="inlineStr">
        <is>
          <t>Student Attendance Defaulter Register</t>
        </is>
      </c>
      <c r="D48" s="6" t="inlineStr">
        <is>
          <t>Track students below minimum attendance threshold</t>
        </is>
      </c>
      <c r="E48" s="7" t="inlineStr">
        <is>
          <t>Monthly</t>
        </is>
      </c>
    </row>
    <row r="49" ht="20" customHeight="1">
      <c r="B49" s="8" t="inlineStr">
        <is>
          <t>CAC-33</t>
        </is>
      </c>
      <c r="C49" s="9" t="inlineStr">
        <is>
          <t>Attendance Condonation Register</t>
        </is>
      </c>
      <c r="D49" s="9" t="inlineStr">
        <is>
          <t>Process and track attendance condonation approvals</t>
        </is>
      </c>
      <c r="E49" s="10" t="inlineStr">
        <is>
          <t>Per Semester</t>
        </is>
      </c>
    </row>
    <row r="50" ht="20" customHeight="1">
      <c r="B50" s="4" t="inlineStr">
        <is>
          <t>── EXAMINATION COORDINATION ──</t>
        </is>
      </c>
    </row>
    <row r="51" ht="20" customHeight="1">
      <c r="B51" s="8" t="inlineStr">
        <is>
          <t>CAC-34</t>
        </is>
      </c>
      <c r="C51" s="9" t="inlineStr">
        <is>
          <t>Internal Assessment Schedule Register</t>
        </is>
      </c>
      <c r="D51" s="9" t="inlineStr">
        <is>
          <t>Plan and track CIE / internal assessment schedule</t>
        </is>
      </c>
      <c r="E51" s="10" t="inlineStr">
        <is>
          <t>Each Semester</t>
        </is>
      </c>
    </row>
    <row r="52" ht="20" customHeight="1">
      <c r="B52" s="5" t="inlineStr">
        <is>
          <t>CAC-35</t>
        </is>
      </c>
      <c r="C52" s="6" t="inlineStr">
        <is>
          <t>Model / Preparation Exam Register</t>
        </is>
      </c>
      <c r="D52" s="6" t="inlineStr">
        <is>
          <t>Track model exams and preparation tests</t>
        </is>
      </c>
      <c r="E52" s="7" t="inlineStr">
        <is>
          <t>Per Exam</t>
        </is>
      </c>
    </row>
    <row r="53" ht="20" customHeight="1">
      <c r="B53" s="8" t="inlineStr">
        <is>
          <t>CAC-36</t>
        </is>
      </c>
      <c r="C53" s="9" t="inlineStr">
        <is>
          <t>Academic Integrity &amp; Malpractice Register</t>
        </is>
      </c>
      <c r="D53" s="9" t="inlineStr">
        <is>
          <t>Track academic dishonesty cases</t>
        </is>
      </c>
      <c r="E53" s="10" t="inlineStr">
        <is>
          <t>Per Incident</t>
        </is>
      </c>
    </row>
    <row r="54" ht="20" customHeight="1">
      <c r="B54" s="5" t="inlineStr">
        <is>
          <t>CAC-37</t>
        </is>
      </c>
      <c r="C54" s="6" t="inlineStr">
        <is>
          <t>Retest / Makeup Examination Register</t>
        </is>
      </c>
      <c r="D54" s="6" t="inlineStr">
        <is>
          <t>Manage retests for students with genuine absence</t>
        </is>
      </c>
      <c r="E54" s="7" t="inlineStr">
        <is>
          <t>Per Exam</t>
        </is>
      </c>
    </row>
    <row r="55" ht="20" customHeight="1">
      <c r="B55" s="4" t="inlineStr">
        <is>
          <t>── FEEDBACK &amp; QUALITY ──</t>
        </is>
      </c>
    </row>
    <row r="56" ht="20" customHeight="1">
      <c r="B56" s="5" t="inlineStr">
        <is>
          <t>CAC-38</t>
        </is>
      </c>
      <c r="C56" s="6" t="inlineStr">
        <is>
          <t>Student Feedback on Teaching — Course-wise</t>
        </is>
      </c>
      <c r="D56" s="6" t="inlineStr">
        <is>
          <t>Collect and analyse student feedback on each course</t>
        </is>
      </c>
      <c r="E56" s="7" t="inlineStr">
        <is>
          <t>Each Semester</t>
        </is>
      </c>
    </row>
    <row r="57" ht="20" customHeight="1">
      <c r="B57" s="8" t="inlineStr">
        <is>
          <t>CAC-39</t>
        </is>
      </c>
      <c r="C57" s="9" t="inlineStr">
        <is>
          <t>Faculty Feedback on Curriculum &amp; Administration</t>
        </is>
      </c>
      <c r="D57" s="9" t="inlineStr">
        <is>
          <t>Collect faculty feedback on academic processes</t>
        </is>
      </c>
      <c r="E57" s="10" t="inlineStr">
        <is>
          <t>Annual</t>
        </is>
      </c>
    </row>
    <row r="58" ht="20" customHeight="1">
      <c r="B58" s="5" t="inlineStr">
        <is>
          <t>CAC-40</t>
        </is>
      </c>
      <c r="C58" s="6" t="inlineStr">
        <is>
          <t>Alumni Feedback on Curriculum</t>
        </is>
      </c>
      <c r="D58" s="6" t="inlineStr">
        <is>
          <t>Collect alumni views on curriculum relevance</t>
        </is>
      </c>
      <c r="E58" s="7" t="inlineStr">
        <is>
          <t>Annual</t>
        </is>
      </c>
    </row>
    <row r="59" ht="20" customHeight="1">
      <c r="B59" s="8" t="inlineStr">
        <is>
          <t>CAC-41</t>
        </is>
      </c>
      <c r="C59" s="9" t="inlineStr">
        <is>
          <t>Employer Feedback on Graduate Employability</t>
        </is>
      </c>
      <c r="D59" s="9" t="inlineStr">
        <is>
          <t>Collect employer views on graduate skills</t>
        </is>
      </c>
      <c r="E59" s="10" t="inlineStr">
        <is>
          <t>Annual</t>
        </is>
      </c>
    </row>
    <row r="60" ht="20" customHeight="1">
      <c r="B60" s="4" t="inlineStr">
        <is>
          <t>── ACADEMIC AUDIT &amp; COMPLIANCE ──</t>
        </is>
      </c>
    </row>
    <row r="61" ht="20" customHeight="1">
      <c r="B61" s="8" t="inlineStr">
        <is>
          <t>CAC-42</t>
        </is>
      </c>
      <c r="C61" s="9" t="inlineStr">
        <is>
          <t>Academic Audit — Department-wise</t>
        </is>
      </c>
      <c r="D61" s="9" t="inlineStr">
        <is>
          <t>Annual academic audit of each department</t>
        </is>
      </c>
      <c r="E61" s="10" t="inlineStr">
        <is>
          <t>Annual</t>
        </is>
      </c>
    </row>
    <row r="62" ht="20" customHeight="1">
      <c r="B62" s="5" t="inlineStr">
        <is>
          <t>CAC-43</t>
        </is>
      </c>
      <c r="C62" s="6" t="inlineStr">
        <is>
          <t>NBA / NAAC Criterion II Data Register</t>
        </is>
      </c>
      <c r="D62" s="6" t="inlineStr">
        <is>
          <t>Compile Teaching-Learning data for accreditation</t>
        </is>
      </c>
      <c r="E62" s="7" t="inlineStr">
        <is>
          <t>Annual</t>
        </is>
      </c>
    </row>
    <row r="63" ht="20" customHeight="1">
      <c r="B63" s="8" t="inlineStr">
        <is>
          <t>CAC-44</t>
        </is>
      </c>
      <c r="C63" s="9" t="inlineStr">
        <is>
          <t>Regulatory Compliance Register</t>
        </is>
      </c>
      <c r="D63" s="9" t="inlineStr">
        <is>
          <t>Track compliance with UGC/AICTE/University regulations</t>
        </is>
      </c>
      <c r="E63" s="10" t="inlineStr">
        <is>
          <t>Annual</t>
        </is>
      </c>
    </row>
    <row r="64" ht="20" customHeight="1">
      <c r="B64" s="5" t="inlineStr">
        <is>
          <t>CAC-45</t>
        </is>
      </c>
      <c r="C64" s="6" t="inlineStr">
        <is>
          <t>Best Practices in Teaching-Learning Register</t>
        </is>
      </c>
      <c r="D64" s="6" t="inlineStr">
        <is>
          <t>Document and share best teaching-learning practices</t>
        </is>
      </c>
      <c r="E64" s="7" t="inlineStr">
        <is>
          <t>Annual</t>
        </is>
      </c>
    </row>
    <row r="65" ht="20" customHeight="1">
      <c r="B65" s="4" t="inlineStr">
        <is>
          <t>── MONITORING &amp; REPORTING ──</t>
        </is>
      </c>
    </row>
    <row r="66" ht="20" customHeight="1">
      <c r="B66" s="5" t="inlineStr">
        <is>
          <t>CAC-46</t>
        </is>
      </c>
      <c r="C66" s="6" t="inlineStr">
        <is>
          <t>CAC KPI Dashboard</t>
        </is>
      </c>
      <c r="D66" s="6" t="inlineStr">
        <is>
          <t>Track all academic KPIs — curriculum, TL, outcomes</t>
        </is>
      </c>
      <c r="E66" s="7" t="inlineStr">
        <is>
          <t>Monthly / Semester</t>
        </is>
      </c>
    </row>
    <row r="67" ht="20" customHeight="1">
      <c r="B67" s="8" t="inlineStr">
        <is>
          <t>CAC-47</t>
        </is>
      </c>
      <c r="C67" s="9" t="inlineStr">
        <is>
          <t>CAC Semester / Annual Academic Report</t>
        </is>
      </c>
      <c r="D67" s="9" t="inlineStr">
        <is>
          <t>End-of-semester/year report for management, NAAC</t>
        </is>
      </c>
      <c r="E67" s="10" t="inlineStr">
        <is>
          <t>Each Semester / Annual</t>
        </is>
      </c>
    </row>
    <row r="138">
      <c r="B138" s="11" t="inlineStr">
        <is>
          <t>• CAC = College Academic Committee — apex body for academic policy, curriculum, teaching-learning and student performance.</t>
        </is>
      </c>
    </row>
    <row r="139">
      <c r="B139" s="11" t="inlineStr">
        <is>
          <t>• CAC differs from Board of Studies (BoS): BoS handles curriculum at dept. level; CAC coordinates academic affairs institution-wide.</t>
        </is>
      </c>
    </row>
    <row r="140">
      <c r="B140" s="11" t="inlineStr">
        <is>
          <t>• CAC meets at least twice per semester — before semester start (planning) and mid-semester (monitoring).</t>
        </is>
      </c>
    </row>
    <row r="141">
      <c r="B141" s="11" t="inlineStr">
        <is>
          <t>• All curriculum changes must be routed through BoS → CAC → Academic Council → Governing Body → University.</t>
        </is>
      </c>
    </row>
    <row r="142">
      <c r="B142" s="11" t="inlineStr">
        <is>
          <t>• Student feedback on teaching must be collected every semester and discussed in CAC — action taken on each course.</t>
        </is>
      </c>
    </row>
    <row r="143">
      <c r="B143" s="11" t="inlineStr">
        <is>
          <t>• CAC data feeds into: NAAC Criterion II (Teaching-Learning &amp; Evaluation), Criterion III (Research), NBA Criterion 4.</t>
        </is>
      </c>
    </row>
    <row r="144">
      <c r="B144" s="11" t="inlineStr">
        <is>
          <t>• Attendance: UGC minimum 75%. AICTE: 75%. Many affiliating universities: 75–85%. CAC sets institutional norm.</t>
        </is>
      </c>
    </row>
    <row r="145">
      <c r="B145" s="11" t="inlineStr">
        <is>
          <t>• Faculty development: CAC monitors FDP participation. Minimum 1 FDP per faculty per year is recommended.</t>
        </is>
      </c>
    </row>
    <row r="146">
      <c r="B146" s="11" t="inlineStr">
        <is>
          <t>• Value-added courses, MOOCs and skill programmes add credits — CAC must define credit equivalence rules.</t>
        </is>
      </c>
    </row>
    <row r="147">
      <c r="B147" s="11" t="inlineStr">
        <is>
          <t>• Academic integrity: CAC must maintain a policy on plagiarism, AI-use in assignments, and examination malpractice.</t>
        </is>
      </c>
    </row>
  </sheetData>
  <mergeCells count="23">
    <mergeCell ref="B146:E146"/>
    <mergeCell ref="B65:E65"/>
    <mergeCell ref="B143:E143"/>
    <mergeCell ref="B139:E139"/>
    <mergeCell ref="B55:E55"/>
    <mergeCell ref="B142:E142"/>
    <mergeCell ref="B5:E5"/>
    <mergeCell ref="B32:E32"/>
    <mergeCell ref="B45:E45"/>
    <mergeCell ref="B50:E50"/>
    <mergeCell ref="B144:E144"/>
    <mergeCell ref="B16:E16"/>
    <mergeCell ref="B138:E138"/>
    <mergeCell ref="B3:E3"/>
    <mergeCell ref="B141:E141"/>
    <mergeCell ref="B140:E140"/>
    <mergeCell ref="B11:E11"/>
    <mergeCell ref="B2:E2"/>
    <mergeCell ref="B145:E145"/>
    <mergeCell ref="B60:E60"/>
    <mergeCell ref="B23:E23"/>
    <mergeCell ref="B38:E38"/>
    <mergeCell ref="B147:E1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4" customWidth="1" min="4" max="4"/>
    <col width="20" customWidth="1" min="5" max="5"/>
    <col width="14" customWidth="1" min="6" max="6"/>
    <col width="14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52" customHeight="1">
      <c r="B2" s="12" t="inlineStr">
        <is>
          <t>CAC-00: COLLEGE ACADEMIC COMMITTEE — COMPOSITION REGISTER</t>
        </is>
      </c>
    </row>
    <row r="3" ht="25" customHeight="1">
      <c r="B3" s="2" t="inlineStr">
        <is>
          <t>Institution: _________________________  A.Y.: _______  Constituted on: _______  Order No.: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Designation</t>
        </is>
      </c>
      <c r="E4" s="13" t="inlineStr">
        <is>
          <t>Role in CAC</t>
        </is>
      </c>
      <c r="F4" s="13" t="inlineStr">
        <is>
          <t>Qualification</t>
        </is>
      </c>
      <c r="G4" s="13" t="inlineStr">
        <is>
          <t>Email / Phone</t>
        </is>
      </c>
      <c r="H4" s="13" t="inlineStr">
        <is>
          <t>Term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>
        <is>
          <t>Principal / Director</t>
        </is>
      </c>
      <c r="E5" s="14" t="inlineStr">
        <is>
          <t>Chairperson</t>
        </is>
      </c>
      <c r="F5" s="16" t="inlineStr">
        <is>
          <t>CAC Leadership &amp; Policy Decisions</t>
        </is>
      </c>
      <c r="G5" s="15" t="inlineStr"/>
      <c r="H5" s="16" t="inlineStr"/>
      <c r="I5" s="16" t="inlineStr"/>
    </row>
    <row r="6" ht="22" customHeight="1">
      <c r="B6" s="8" t="n">
        <v>2</v>
      </c>
      <c r="C6" s="9" t="inlineStr"/>
      <c r="D6" s="9" t="inlineStr">
        <is>
          <t>Dean Academics / Senior Faculty</t>
        </is>
      </c>
      <c r="E6" s="8" t="inlineStr">
        <is>
          <t>CAC Coordinator</t>
        </is>
      </c>
      <c r="F6" s="10" t="inlineStr">
        <is>
          <t>Academic Coordination &amp; Records</t>
        </is>
      </c>
      <c r="G6" s="9" t="inlineStr"/>
      <c r="H6" s="10" t="inlineStr"/>
      <c r="I6" s="10" t="inlineStr"/>
    </row>
    <row r="7" ht="22" customHeight="1">
      <c r="B7" s="14" t="n">
        <v>3</v>
      </c>
      <c r="C7" s="15" t="inlineStr"/>
      <c r="D7" s="15" t="inlineStr">
        <is>
          <t>Head, Computer Science &amp; Engineering</t>
        </is>
      </c>
      <c r="E7" s="14" t="inlineStr">
        <is>
          <t>HoD — CSE</t>
        </is>
      </c>
      <c r="F7" s="16" t="inlineStr">
        <is>
          <t>CSE Academic Affairs</t>
        </is>
      </c>
      <c r="G7" s="15" t="inlineStr"/>
      <c r="H7" s="16" t="inlineStr"/>
      <c r="I7" s="16" t="inlineStr"/>
    </row>
    <row r="8" ht="22" customHeight="1">
      <c r="B8" s="8" t="n">
        <v>4</v>
      </c>
      <c r="C8" s="9" t="inlineStr"/>
      <c r="D8" s="9" t="inlineStr">
        <is>
          <t>Head, Electronics &amp; Communication</t>
        </is>
      </c>
      <c r="E8" s="8" t="inlineStr">
        <is>
          <t>HoD — ECE</t>
        </is>
      </c>
      <c r="F8" s="10" t="inlineStr">
        <is>
          <t>ECE Academic Affairs</t>
        </is>
      </c>
      <c r="G8" s="9" t="inlineStr"/>
      <c r="H8" s="10" t="inlineStr"/>
      <c r="I8" s="10" t="inlineStr"/>
    </row>
    <row r="9" ht="22" customHeight="1">
      <c r="B9" s="14" t="n">
        <v>5</v>
      </c>
      <c r="C9" s="15" t="inlineStr"/>
      <c r="D9" s="15" t="inlineStr">
        <is>
          <t>Head, Electrical &amp; Electronics</t>
        </is>
      </c>
      <c r="E9" s="14" t="inlineStr">
        <is>
          <t>HoD — EEE</t>
        </is>
      </c>
      <c r="F9" s="16" t="inlineStr">
        <is>
          <t>EEE Academic Affairs</t>
        </is>
      </c>
      <c r="G9" s="15" t="inlineStr"/>
      <c r="H9" s="16" t="inlineStr"/>
      <c r="I9" s="16" t="inlineStr"/>
    </row>
    <row r="10" ht="22" customHeight="1">
      <c r="B10" s="8" t="n">
        <v>6</v>
      </c>
      <c r="C10" s="9" t="inlineStr"/>
      <c r="D10" s="9" t="inlineStr">
        <is>
          <t>Head, Mechanical Engineering</t>
        </is>
      </c>
      <c r="E10" s="8" t="inlineStr">
        <is>
          <t>HoD — Mechanical</t>
        </is>
      </c>
      <c r="F10" s="10" t="inlineStr">
        <is>
          <t>Mechanical Academic Affairs</t>
        </is>
      </c>
      <c r="G10" s="9" t="inlineStr"/>
      <c r="H10" s="10" t="inlineStr"/>
      <c r="I10" s="10" t="inlineStr"/>
    </row>
    <row r="11" ht="22" customHeight="1">
      <c r="B11" s="14" t="n">
        <v>7</v>
      </c>
      <c r="C11" s="15" t="inlineStr"/>
      <c r="D11" s="15" t="inlineStr">
        <is>
          <t>Head, Civil Engineering</t>
        </is>
      </c>
      <c r="E11" s="14" t="inlineStr">
        <is>
          <t>HoD — Civil</t>
        </is>
      </c>
      <c r="F11" s="16" t="inlineStr">
        <is>
          <t>Civil Academic Affairs</t>
        </is>
      </c>
      <c r="G11" s="15" t="inlineStr"/>
      <c r="H11" s="16" t="inlineStr"/>
      <c r="I11" s="16" t="inlineStr"/>
    </row>
    <row r="12" ht="22" customHeight="1">
      <c r="B12" s="8" t="n">
        <v>8</v>
      </c>
      <c r="C12" s="9" t="inlineStr"/>
      <c r="D12" s="9" t="inlineStr">
        <is>
          <t>Head, Sciences &amp; Humanities</t>
        </is>
      </c>
      <c r="E12" s="8" t="inlineStr">
        <is>
          <t>HoD — S&amp;H</t>
        </is>
      </c>
      <c r="F12" s="10" t="inlineStr">
        <is>
          <t>Foundation Courses &amp; Service Subjects</t>
        </is>
      </c>
      <c r="G12" s="9" t="inlineStr"/>
      <c r="H12" s="10" t="inlineStr"/>
      <c r="I12" s="10" t="inlineStr"/>
    </row>
    <row r="13" ht="22" customHeight="1">
      <c r="B13" s="14" t="n">
        <v>9</v>
      </c>
      <c r="C13" s="15" t="inlineStr"/>
      <c r="D13" s="15" t="inlineStr">
        <is>
          <t>Head, Management Studies</t>
        </is>
      </c>
      <c r="E13" s="14" t="inlineStr">
        <is>
          <t>HoD — MBA</t>
        </is>
      </c>
      <c r="F13" s="16" t="inlineStr">
        <is>
          <t>MBA Academic Affairs</t>
        </is>
      </c>
      <c r="G13" s="15" t="inlineStr"/>
      <c r="H13" s="16" t="inlineStr"/>
      <c r="I13" s="16" t="inlineStr"/>
    </row>
    <row r="14" ht="22" customHeight="1">
      <c r="B14" s="8" t="n">
        <v>10</v>
      </c>
      <c r="C14" s="9" t="inlineStr"/>
      <c r="D14" s="9" t="inlineStr">
        <is>
          <t>Head, Computer Applications</t>
        </is>
      </c>
      <c r="E14" s="8" t="inlineStr">
        <is>
          <t>HoD — MCA</t>
        </is>
      </c>
      <c r="F14" s="10" t="inlineStr">
        <is>
          <t>MCA Academic Affairs</t>
        </is>
      </c>
      <c r="G14" s="9" t="inlineStr"/>
      <c r="H14" s="10" t="inlineStr"/>
      <c r="I14" s="10" t="inlineStr"/>
    </row>
    <row r="15" ht="22" customHeight="1">
      <c r="B15" s="14" t="n">
        <v>11</v>
      </c>
      <c r="C15" s="15" t="inlineStr"/>
      <c r="D15" s="15" t="inlineStr">
        <is>
          <t>Senior Professor (Elected)</t>
        </is>
      </c>
      <c r="E15" s="14" t="inlineStr">
        <is>
          <t>Senior Faculty Rep – 1</t>
        </is>
      </c>
      <c r="F15" s="16" t="inlineStr">
        <is>
          <t>Faculty Academic Voice</t>
        </is>
      </c>
      <c r="G15" s="15" t="inlineStr"/>
      <c r="H15" s="16" t="inlineStr"/>
      <c r="I15" s="16" t="inlineStr"/>
    </row>
    <row r="16" ht="22" customHeight="1">
      <c r="B16" s="8" t="n">
        <v>12</v>
      </c>
      <c r="C16" s="9" t="inlineStr"/>
      <c r="D16" s="9" t="inlineStr">
        <is>
          <t>Senior Associate Professor (Elected)</t>
        </is>
      </c>
      <c r="E16" s="8" t="inlineStr">
        <is>
          <t>Senior Faculty Rep – 2</t>
        </is>
      </c>
      <c r="F16" s="10" t="inlineStr">
        <is>
          <t>Faculty Research &amp; Development</t>
        </is>
      </c>
      <c r="G16" s="9" t="inlineStr"/>
      <c r="H16" s="10" t="inlineStr"/>
      <c r="I16" s="10" t="inlineStr"/>
    </row>
    <row r="17" ht="22" customHeight="1">
      <c r="B17" s="14" t="n">
        <v>13</v>
      </c>
      <c r="C17" s="15" t="inlineStr"/>
      <c r="D17" s="15" t="inlineStr">
        <is>
          <t>Assistant Professor (Elected)</t>
        </is>
      </c>
      <c r="E17" s="14" t="inlineStr">
        <is>
          <t>Junior Faculty Rep</t>
        </is>
      </c>
      <c r="F17" s="16" t="inlineStr">
        <is>
          <t>Junior Faculty Perspective</t>
        </is>
      </c>
      <c r="G17" s="15" t="inlineStr"/>
      <c r="H17" s="16" t="inlineStr"/>
      <c r="I17" s="16" t="inlineStr"/>
    </row>
    <row r="18" ht="22" customHeight="1">
      <c r="B18" s="8" t="n">
        <v>14</v>
      </c>
      <c r="C18" s="9" t="inlineStr"/>
      <c r="D18" s="9" t="inlineStr">
        <is>
          <t>Controller of Examinations</t>
        </is>
      </c>
      <c r="E18" s="8" t="inlineStr">
        <is>
          <t>CoE / Exam Controller</t>
        </is>
      </c>
      <c r="F18" s="10" t="inlineStr">
        <is>
          <t>Examination Coordination</t>
        </is>
      </c>
      <c r="G18" s="9" t="inlineStr"/>
      <c r="H18" s="10" t="inlineStr"/>
      <c r="I18" s="10" t="inlineStr"/>
    </row>
    <row r="19" ht="22" customHeight="1">
      <c r="B19" s="14" t="n">
        <v>15</v>
      </c>
      <c r="C19" s="15" t="inlineStr"/>
      <c r="D19" s="15" t="inlineStr">
        <is>
          <t>IQAC In-charge</t>
        </is>
      </c>
      <c r="E19" s="14" t="inlineStr">
        <is>
          <t>IQAC Coordinator</t>
        </is>
      </c>
      <c r="F19" s="16" t="inlineStr">
        <is>
          <t>Quality &amp; Accreditation</t>
        </is>
      </c>
      <c r="G19" s="15" t="inlineStr"/>
      <c r="H19" s="16" t="inlineStr"/>
      <c r="I19" s="16" t="inlineStr"/>
    </row>
    <row r="20" ht="22" customHeight="1">
      <c r="B20" s="8" t="n">
        <v>16</v>
      </c>
      <c r="C20" s="9" t="inlineStr"/>
      <c r="D20" s="9" t="inlineStr">
        <is>
          <t>Head Librarian</t>
        </is>
      </c>
      <c r="E20" s="8" t="inlineStr">
        <is>
          <t>Librarian</t>
        </is>
      </c>
      <c r="F20" s="10" t="inlineStr">
        <is>
          <t>Learning Resources</t>
        </is>
      </c>
      <c r="G20" s="9" t="inlineStr"/>
      <c r="H20" s="10" t="inlineStr"/>
      <c r="I20" s="10" t="inlineStr"/>
    </row>
    <row r="21" ht="22" customHeight="1">
      <c r="B21" s="14" t="n">
        <v>17</v>
      </c>
      <c r="C21" s="15" t="inlineStr"/>
      <c r="D21" s="15" t="inlineStr">
        <is>
          <t>T&amp;P Head / Career Guidance</t>
        </is>
      </c>
      <c r="E21" s="14" t="inlineStr">
        <is>
          <t>Training &amp; Placement Head</t>
        </is>
      </c>
      <c r="F21" s="16" t="inlineStr">
        <is>
          <t>Placement &amp; Industry Linkage</t>
        </is>
      </c>
      <c r="G21" s="15" t="inlineStr"/>
      <c r="H21" s="16" t="inlineStr"/>
      <c r="I21" s="16" t="inlineStr"/>
    </row>
    <row r="22" ht="22" customHeight="1">
      <c r="B22" s="8" t="n">
        <v>18</v>
      </c>
      <c r="C22" s="9" t="inlineStr"/>
      <c r="D22" s="9" t="inlineStr">
        <is>
          <t>Student Council — Academic Secretary</t>
        </is>
      </c>
      <c r="E22" s="8" t="inlineStr">
        <is>
          <t>Student Rep – 1</t>
        </is>
      </c>
      <c r="F22" s="10" t="inlineStr">
        <is>
          <t>Student Academic Voice</t>
        </is>
      </c>
      <c r="G22" s="9" t="inlineStr"/>
      <c r="H22" s="10" t="inlineStr"/>
      <c r="I22" s="10" t="inlineStr"/>
    </row>
    <row r="23" ht="22" customHeight="1">
      <c r="B23" s="14" t="n">
        <v>19</v>
      </c>
      <c r="C23" s="15" t="inlineStr"/>
      <c r="D23" s="15" t="inlineStr">
        <is>
          <t>Student — Class Representative (Senior)</t>
        </is>
      </c>
      <c r="E23" s="14" t="inlineStr">
        <is>
          <t>Student Rep – 2</t>
        </is>
      </c>
      <c r="F23" s="16" t="inlineStr">
        <is>
          <t>Student Feedback &amp; Concerns</t>
        </is>
      </c>
      <c r="G23" s="15" t="inlineStr"/>
      <c r="H23" s="16" t="inlineStr"/>
      <c r="I23" s="16" t="inlineStr"/>
    </row>
    <row r="24" ht="22" customHeight="1">
      <c r="B24" s="8" t="n">
        <v>20</v>
      </c>
      <c r="C24" s="9" t="inlineStr"/>
      <c r="D24" s="9" t="inlineStr">
        <is>
          <t>Industry / Academic Expert (External)</t>
        </is>
      </c>
      <c r="E24" s="8" t="inlineStr">
        <is>
          <t>External Expert</t>
        </is>
      </c>
      <c r="F24" s="10" t="inlineStr">
        <is>
          <t>External Academic Perspective</t>
        </is>
      </c>
      <c r="G24" s="9" t="inlineStr"/>
      <c r="H24" s="10" t="inlineStr"/>
      <c r="I24" s="10" t="inlineStr"/>
    </row>
    <row r="25" ht="22" customHeight="1"/>
    <row r="26" ht="20" customHeight="1">
      <c r="B26" s="17" t="inlineStr">
        <is>
          <t>CAC meets minimum twice per semester — pre-semester planning meeting and mid-semester review meeting. All HoDs are core members. External Expert attends once annually for strategic academic review.</t>
        </is>
      </c>
    </row>
    <row r="27" ht="22" customHeight="1"/>
    <row r="28" ht="22" customHeight="1"/>
    <row r="29" ht="22" customHeight="1"/>
  </sheetData>
  <mergeCells count="3">
    <mergeCell ref="B3:I3"/>
    <mergeCell ref="B2:I2"/>
    <mergeCell ref="B26:I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12" t="inlineStr">
        <is>
          <t>COLLEGE ACADEMIC COMMITTEE: MEETING NOTICE &amp; AGENDA</t>
        </is>
      </c>
    </row>
    <row r="3" ht="22" customHeight="1">
      <c r="B3" s="18" t="inlineStr">
        <is>
          <t>Meeting No.:</t>
        </is>
      </c>
      <c r="C3" s="9" t="n"/>
    </row>
    <row r="4" ht="22" customHeight="1">
      <c r="B4" s="18" t="inlineStr">
        <is>
          <t>Academic Year / Semester:</t>
        </is>
      </c>
      <c r="C4" s="9" t="n"/>
    </row>
    <row r="5" ht="22" customHeight="1">
      <c r="B5" s="18" t="inlineStr">
        <is>
          <t>Date:</t>
        </is>
      </c>
      <c r="C5" s="9" t="n"/>
    </row>
    <row r="6" ht="22" customHeight="1">
      <c r="B6" s="18" t="inlineStr">
        <is>
          <t>Time:</t>
        </is>
      </c>
      <c r="C6" s="9" t="n"/>
    </row>
    <row r="7" ht="22" customHeight="1">
      <c r="B7" s="18" t="inlineStr">
        <is>
          <t>Venue:</t>
        </is>
      </c>
      <c r="C7" s="9" t="n"/>
    </row>
    <row r="8" ht="22" customHeight="1">
      <c r="B8" s="18" t="inlineStr">
        <is>
          <t>Mode:</t>
        </is>
      </c>
      <c r="C8" s="9" t="n"/>
    </row>
    <row r="9" ht="22" customHeight="1">
      <c r="B9" s="18" t="inlineStr">
        <is>
          <t>Notice by:</t>
        </is>
      </c>
      <c r="C9" s="9" t="n"/>
    </row>
    <row r="10" ht="22" customHeight="1">
      <c r="B10" s="18" t="inlineStr">
        <is>
          <t>Notice Date:</t>
        </is>
      </c>
      <c r="C10" s="9" t="n"/>
    </row>
    <row r="11" ht="24" customHeight="1">
      <c r="B11" s="19" t="inlineStr">
        <is>
          <t>AGENDA ITEMS</t>
        </is>
      </c>
    </row>
    <row r="12" ht="24" customHeight="1">
      <c r="B12" s="13" t="inlineStr">
        <is>
          <t>Item
No.</t>
        </is>
      </c>
      <c r="C12" s="13" t="inlineStr">
        <is>
          <t>Agenda Item</t>
        </is>
      </c>
      <c r="D12" s="13" t="inlineStr">
        <is>
          <t>Lead</t>
        </is>
      </c>
      <c r="E12" s="13" t="inlineStr">
        <is>
          <t>Duration (Min)</t>
        </is>
      </c>
    </row>
    <row r="13" ht="24" customHeight="1">
      <c r="B13" s="14" t="n">
        <v>1</v>
      </c>
      <c r="C13" s="15" t="inlineStr">
        <is>
          <t>Confirmation of minutes of previous CAC meeting</t>
        </is>
      </c>
      <c r="D13" s="16" t="inlineStr"/>
      <c r="E13" s="16" t="inlineStr"/>
    </row>
    <row r="14" ht="24" customHeight="1">
      <c r="B14" s="8" t="n">
        <v>2</v>
      </c>
      <c r="C14" s="9" t="inlineStr">
        <is>
          <t>Action Taken Report on previous CAC resolutions</t>
        </is>
      </c>
      <c r="D14" s="10" t="inlineStr"/>
      <c r="E14" s="10" t="inlineStr"/>
    </row>
    <row r="15" ht="24" customHeight="1">
      <c r="B15" s="14" t="n">
        <v>3</v>
      </c>
      <c r="C15" s="15" t="inlineStr">
        <is>
          <t>Academic calendar — compliance and upcoming events</t>
        </is>
      </c>
      <c r="D15" s="16" t="inlineStr"/>
      <c r="E15" s="16" t="inlineStr"/>
    </row>
    <row r="16" ht="24" customHeight="1">
      <c r="B16" s="8" t="n">
        <v>4</v>
      </c>
      <c r="C16" s="9" t="inlineStr">
        <is>
          <t>Curriculum review — status of BoS recommendations</t>
        </is>
      </c>
      <c r="D16" s="10" t="inlineStr"/>
      <c r="E16" s="10" t="inlineStr"/>
    </row>
    <row r="17" ht="24" customHeight="1">
      <c r="B17" s="14" t="n">
        <v>5</v>
      </c>
      <c r="C17" s="15" t="inlineStr">
        <is>
          <t>New courses / electives — proposals and approvals</t>
        </is>
      </c>
      <c r="D17" s="16" t="inlineStr"/>
      <c r="E17" s="16" t="inlineStr"/>
    </row>
    <row r="18" ht="24" customHeight="1">
      <c r="B18" s="8" t="n">
        <v>6</v>
      </c>
      <c r="C18" s="9" t="inlineStr">
        <is>
          <t>MOOC and online course integration — status</t>
        </is>
      </c>
      <c r="D18" s="10" t="inlineStr"/>
      <c r="E18" s="10" t="inlineStr"/>
    </row>
    <row r="19" ht="24" customHeight="1">
      <c r="B19" s="14" t="n">
        <v>7</v>
      </c>
      <c r="C19" s="15" t="inlineStr">
        <is>
          <t>Value-added courses — enrolment and completion</t>
        </is>
      </c>
      <c r="D19" s="16" t="inlineStr"/>
      <c r="E19" s="16" t="inlineStr"/>
    </row>
    <row r="20" ht="24" customHeight="1">
      <c r="B20" s="8" t="n">
        <v>8</v>
      </c>
      <c r="C20" s="9" t="inlineStr">
        <is>
          <t>Teaching plans — submission status (dept.-wise)</t>
        </is>
      </c>
      <c r="D20" s="10" t="inlineStr"/>
      <c r="E20" s="10" t="inlineStr"/>
    </row>
    <row r="21" ht="24" customHeight="1">
      <c r="B21" s="14" t="n">
        <v>9</v>
      </c>
      <c r="C21" s="15" t="inlineStr">
        <is>
          <t>Syllabus coverage — mid-semester tracking report</t>
        </is>
      </c>
      <c r="D21" s="16" t="inlineStr"/>
      <c r="E21" s="16" t="inlineStr"/>
    </row>
    <row r="22" ht="24" customHeight="1">
      <c r="B22" s="8" t="n">
        <v>10</v>
      </c>
      <c r="C22" s="9" t="inlineStr">
        <is>
          <t>Student attendance — defaulter analysis (dept.-wise)</t>
        </is>
      </c>
      <c r="D22" s="10" t="inlineStr"/>
      <c r="E22" s="10" t="inlineStr"/>
    </row>
    <row r="23" ht="24" customHeight="1">
      <c r="B23" s="14" t="n">
        <v>11</v>
      </c>
      <c r="C23" s="15" t="inlineStr">
        <is>
          <t>Attendance condonation — pending applications</t>
        </is>
      </c>
      <c r="D23" s="16" t="inlineStr"/>
      <c r="E23" s="16" t="inlineStr"/>
    </row>
    <row r="24" ht="24" customHeight="1">
      <c r="B24" s="8" t="n">
        <v>12</v>
      </c>
      <c r="C24" s="9" t="inlineStr">
        <is>
          <t>Internal assessment — schedule and result review</t>
        </is>
      </c>
      <c r="D24" s="10" t="inlineStr"/>
      <c r="E24" s="10" t="inlineStr"/>
    </row>
    <row r="25" ht="24" customHeight="1">
      <c r="B25" s="14" t="n">
        <v>13</v>
      </c>
      <c r="C25" s="15" t="inlineStr">
        <is>
          <t>Student result analysis — pass%, toppers, backlogs</t>
        </is>
      </c>
      <c r="D25" s="16" t="inlineStr"/>
      <c r="E25" s="16" t="inlineStr"/>
    </row>
    <row r="26" ht="24" customHeight="1">
      <c r="B26" s="8" t="n">
        <v>14</v>
      </c>
      <c r="C26" s="9" t="inlineStr">
        <is>
          <t>Slow learner support — dept.-wise status</t>
        </is>
      </c>
      <c r="D26" s="10" t="inlineStr"/>
      <c r="E26" s="10" t="inlineStr"/>
    </row>
    <row r="27" ht="24" customHeight="1">
      <c r="B27" s="14" t="n">
        <v>15</v>
      </c>
      <c r="C27" s="15" t="inlineStr">
        <is>
          <t>Mentor-mentee programme — update from HoDs</t>
        </is>
      </c>
      <c r="D27" s="16" t="inlineStr"/>
      <c r="E27" s="16" t="inlineStr"/>
    </row>
    <row r="28" ht="24" customHeight="1">
      <c r="B28" s="8" t="n">
        <v>16</v>
      </c>
      <c r="C28" s="9" t="inlineStr">
        <is>
          <t>Guest lectures — completed and upcoming</t>
        </is>
      </c>
      <c r="D28" s="10" t="inlineStr"/>
      <c r="E28" s="10" t="inlineStr"/>
    </row>
    <row r="29" ht="24" customHeight="1">
      <c r="B29" s="14" t="n">
        <v>17</v>
      </c>
      <c r="C29" s="15" t="inlineStr">
        <is>
          <t>Faculty development — FDP participation update</t>
        </is>
      </c>
      <c r="D29" s="16" t="inlineStr"/>
      <c r="E29" s="16" t="inlineStr"/>
    </row>
    <row r="30" ht="24" customHeight="1">
      <c r="B30" s="8" t="n">
        <v>18</v>
      </c>
      <c r="C30" s="9" t="inlineStr">
        <is>
          <t>Faculty research — publications and projects</t>
        </is>
      </c>
      <c r="D30" s="10" t="inlineStr"/>
      <c r="E30" s="10" t="inlineStr"/>
    </row>
    <row r="31" ht="24" customHeight="1">
      <c r="B31" s="14" t="n">
        <v>19</v>
      </c>
      <c r="C31" s="15" t="inlineStr">
        <is>
          <t>Student feedback on teaching — analysis and action</t>
        </is>
      </c>
      <c r="D31" s="16" t="inlineStr"/>
      <c r="E31" s="16" t="inlineStr"/>
    </row>
    <row r="32" ht="24" customHeight="1">
      <c r="B32" s="8" t="n">
        <v>20</v>
      </c>
      <c r="C32" s="9" t="inlineStr">
        <is>
          <t>NAAC / NBA academic data — compilation status</t>
        </is>
      </c>
      <c r="D32" s="10" t="inlineStr"/>
      <c r="E32" s="10" t="inlineStr"/>
    </row>
    <row r="33" ht="24" customHeight="1">
      <c r="B33" s="14" t="n">
        <v>21</v>
      </c>
      <c r="C33" s="15" t="inlineStr">
        <is>
          <t>Academic integrity — plagiarism, malpractice cases</t>
        </is>
      </c>
      <c r="D33" s="16" t="inlineStr"/>
      <c r="E33" s="16" t="inlineStr"/>
    </row>
    <row r="34" ht="24" customHeight="1">
      <c r="B34" s="8" t="n">
        <v>22</v>
      </c>
      <c r="C34" s="9" t="inlineStr">
        <is>
          <t>Best practices — sharing and documentation</t>
        </is>
      </c>
      <c r="D34" s="10" t="inlineStr"/>
      <c r="E34" s="10" t="inlineStr"/>
    </row>
    <row r="35" ht="24" customHeight="1">
      <c r="B35" s="14" t="n">
        <v>23</v>
      </c>
      <c r="C35" s="15" t="inlineStr">
        <is>
          <t>Any Other Matter with Permission of Chairperson (AOMPC)</t>
        </is>
      </c>
      <c r="D35" s="16" t="inlineStr"/>
      <c r="E35" s="16" t="inlineStr"/>
    </row>
    <row r="36" ht="24" customHeight="1"/>
    <row r="37" ht="24" customHeight="1">
      <c r="B37" s="20" t="inlineStr">
        <is>
          <t>DISPATCH RECORD</t>
        </is>
      </c>
    </row>
    <row r="38">
      <c r="B38" s="21" t="inlineStr">
        <is>
          <t>Sl.</t>
        </is>
      </c>
      <c r="C38" s="21" t="inlineStr">
        <is>
          <t>Member Name &amp; Role</t>
        </is>
      </c>
      <c r="D38" s="21" t="inlineStr">
        <is>
          <t>Mode</t>
        </is>
      </c>
      <c r="E38" s="21" t="inlineStr">
        <is>
          <t>Date &amp; Acknowledgement</t>
        </is>
      </c>
    </row>
    <row r="39" ht="22" customHeight="1">
      <c r="B39" s="22" t="n"/>
      <c r="C39" s="22" t="n"/>
      <c r="D39" s="22" t="n"/>
      <c r="E39" s="22" t="n"/>
    </row>
    <row r="40" ht="22" customHeight="1">
      <c r="B40" s="10" t="n"/>
      <c r="C40" s="10" t="n"/>
      <c r="D40" s="10" t="n"/>
      <c r="E40" s="10" t="n"/>
    </row>
    <row r="41" ht="22" customHeight="1">
      <c r="B41" s="22" t="n"/>
      <c r="C41" s="22" t="n"/>
      <c r="D41" s="22" t="n"/>
      <c r="E41" s="22" t="n"/>
    </row>
    <row r="42" ht="22" customHeight="1">
      <c r="B42" s="10" t="n"/>
      <c r="C42" s="10" t="n"/>
      <c r="D42" s="10" t="n"/>
      <c r="E42" s="10" t="n"/>
    </row>
  </sheetData>
  <mergeCells count="11">
    <mergeCell ref="C5:E5"/>
    <mergeCell ref="C8:E8"/>
    <mergeCell ref="C9:E9"/>
    <mergeCell ref="C4:E4"/>
    <mergeCell ref="C3:E3"/>
    <mergeCell ref="B11:E11"/>
    <mergeCell ref="B2:E2"/>
    <mergeCell ref="B37:E37"/>
    <mergeCell ref="C7:E7"/>
    <mergeCell ref="C6:E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CAC: ATTENDANCE &amp; QUORUM REGISTER</t>
        </is>
      </c>
    </row>
    <row r="3" ht="25" customHeight="1">
      <c r="B3" s="2" t="inlineStr">
        <is>
          <t>Meeting No.: _______  Date: _______  Total Strength: _______  Quorum Required (50%):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Role / Dept.</t>
        </is>
      </c>
      <c r="E4" s="13" t="inlineStr">
        <is>
          <t>Mode
(Physical/VC)</t>
        </is>
      </c>
      <c r="F4" s="13" t="inlineStr">
        <is>
          <t>Present
(P/A)</t>
        </is>
      </c>
      <c r="G4" s="13" t="inlineStr">
        <is>
          <t>Proxy
(Y/N)</t>
        </is>
      </c>
      <c r="H4" s="13" t="inlineStr">
        <is>
          <t>Proxy Holder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/>
      <c r="E5" s="16" t="inlineStr">
        <is>
          <t>Physical</t>
        </is>
      </c>
      <c r="F5" s="16" t="inlineStr"/>
      <c r="G5" s="16" t="inlineStr">
        <is>
          <t>N</t>
        </is>
      </c>
      <c r="H5" s="16" t="inlineStr"/>
      <c r="I5" s="16" t="inlineStr"/>
    </row>
    <row r="6" ht="22" customHeight="1">
      <c r="B6" s="8" t="n">
        <v>2</v>
      </c>
      <c r="C6" s="9" t="inlineStr"/>
      <c r="D6" s="9" t="inlineStr"/>
      <c r="E6" s="10" t="inlineStr">
        <is>
          <t>Physical</t>
        </is>
      </c>
      <c r="F6" s="10" t="inlineStr"/>
      <c r="G6" s="10" t="inlineStr">
        <is>
          <t>N</t>
        </is>
      </c>
      <c r="H6" s="10" t="inlineStr"/>
      <c r="I6" s="10" t="inlineStr"/>
    </row>
    <row r="7" ht="22" customHeight="1">
      <c r="B7" s="14" t="n">
        <v>3</v>
      </c>
      <c r="C7" s="15" t="inlineStr"/>
      <c r="D7" s="15" t="inlineStr"/>
      <c r="E7" s="16" t="inlineStr">
        <is>
          <t>Physical</t>
        </is>
      </c>
      <c r="F7" s="16" t="inlineStr"/>
      <c r="G7" s="16" t="inlineStr">
        <is>
          <t>N</t>
        </is>
      </c>
      <c r="H7" s="16" t="inlineStr"/>
      <c r="I7" s="16" t="inlineStr"/>
    </row>
    <row r="8" ht="22" customHeight="1">
      <c r="B8" s="8" t="n">
        <v>4</v>
      </c>
      <c r="C8" s="9" t="inlineStr"/>
      <c r="D8" s="9" t="inlineStr"/>
      <c r="E8" s="10" t="inlineStr">
        <is>
          <t>Physical</t>
        </is>
      </c>
      <c r="F8" s="10" t="inlineStr"/>
      <c r="G8" s="10" t="inlineStr">
        <is>
          <t>N</t>
        </is>
      </c>
      <c r="H8" s="10" t="inlineStr"/>
      <c r="I8" s="10" t="inlineStr"/>
    </row>
    <row r="9" ht="22" customHeight="1">
      <c r="B9" s="14" t="n">
        <v>5</v>
      </c>
      <c r="C9" s="15" t="inlineStr"/>
      <c r="D9" s="15" t="inlineStr"/>
      <c r="E9" s="16" t="inlineStr">
        <is>
          <t>Physical</t>
        </is>
      </c>
      <c r="F9" s="16" t="inlineStr"/>
      <c r="G9" s="16" t="inlineStr">
        <is>
          <t>N</t>
        </is>
      </c>
      <c r="H9" s="16" t="inlineStr"/>
      <c r="I9" s="16" t="inlineStr"/>
    </row>
    <row r="10" ht="22" customHeight="1">
      <c r="B10" s="8" t="n">
        <v>6</v>
      </c>
      <c r="C10" s="9" t="inlineStr"/>
      <c r="D10" s="9" t="inlineStr"/>
      <c r="E10" s="10" t="inlineStr">
        <is>
          <t>Physical</t>
        </is>
      </c>
      <c r="F10" s="10" t="inlineStr"/>
      <c r="G10" s="10" t="inlineStr">
        <is>
          <t>N</t>
        </is>
      </c>
      <c r="H10" s="10" t="inlineStr"/>
      <c r="I10" s="10" t="inlineStr"/>
    </row>
    <row r="11" ht="22" customHeight="1">
      <c r="B11" s="14" t="n">
        <v>7</v>
      </c>
      <c r="C11" s="15" t="inlineStr"/>
      <c r="D11" s="15" t="inlineStr"/>
      <c r="E11" s="16" t="inlineStr">
        <is>
          <t>Physical</t>
        </is>
      </c>
      <c r="F11" s="16" t="inlineStr"/>
      <c r="G11" s="16" t="inlineStr">
        <is>
          <t>N</t>
        </is>
      </c>
      <c r="H11" s="16" t="inlineStr"/>
      <c r="I11" s="16" t="inlineStr"/>
    </row>
    <row r="12" ht="22" customHeight="1">
      <c r="B12" s="8" t="n">
        <v>8</v>
      </c>
      <c r="C12" s="9" t="inlineStr"/>
      <c r="D12" s="9" t="inlineStr"/>
      <c r="E12" s="10" t="inlineStr">
        <is>
          <t>Physical</t>
        </is>
      </c>
      <c r="F12" s="10" t="inlineStr"/>
      <c r="G12" s="10" t="inlineStr">
        <is>
          <t>N</t>
        </is>
      </c>
      <c r="H12" s="10" t="inlineStr"/>
      <c r="I12" s="10" t="inlineStr"/>
    </row>
    <row r="13" ht="22" customHeight="1">
      <c r="B13" s="14" t="n">
        <v>9</v>
      </c>
      <c r="C13" s="15" t="inlineStr"/>
      <c r="D13" s="15" t="inlineStr"/>
      <c r="E13" s="16" t="inlineStr">
        <is>
          <t>Physical</t>
        </is>
      </c>
      <c r="F13" s="16" t="inlineStr"/>
      <c r="G13" s="16" t="inlineStr">
        <is>
          <t>N</t>
        </is>
      </c>
      <c r="H13" s="16" t="inlineStr"/>
      <c r="I13" s="16" t="inlineStr"/>
    </row>
    <row r="14" ht="22" customHeight="1">
      <c r="B14" s="8" t="n">
        <v>10</v>
      </c>
      <c r="C14" s="9" t="inlineStr"/>
      <c r="D14" s="9" t="inlineStr"/>
      <c r="E14" s="10" t="inlineStr">
        <is>
          <t>Physical</t>
        </is>
      </c>
      <c r="F14" s="10" t="inlineStr"/>
      <c r="G14" s="10" t="inlineStr">
        <is>
          <t>N</t>
        </is>
      </c>
      <c r="H14" s="10" t="inlineStr"/>
      <c r="I14" s="10" t="inlineStr"/>
    </row>
    <row r="15" ht="22" customHeight="1">
      <c r="B15" s="14" t="n">
        <v>11</v>
      </c>
      <c r="C15" s="15" t="inlineStr"/>
      <c r="D15" s="15" t="inlineStr"/>
      <c r="E15" s="16" t="inlineStr">
        <is>
          <t>Physical</t>
        </is>
      </c>
      <c r="F15" s="16" t="inlineStr"/>
      <c r="G15" s="16" t="inlineStr">
        <is>
          <t>N</t>
        </is>
      </c>
      <c r="H15" s="16" t="inlineStr"/>
      <c r="I15" s="16" t="inlineStr"/>
    </row>
    <row r="16" ht="22" customHeight="1">
      <c r="B16" s="8" t="n">
        <v>12</v>
      </c>
      <c r="C16" s="9" t="inlineStr"/>
      <c r="D16" s="9" t="inlineStr"/>
      <c r="E16" s="10" t="inlineStr">
        <is>
          <t>Physical</t>
        </is>
      </c>
      <c r="F16" s="10" t="inlineStr"/>
      <c r="G16" s="10" t="inlineStr">
        <is>
          <t>N</t>
        </is>
      </c>
      <c r="H16" s="10" t="inlineStr"/>
      <c r="I16" s="10" t="inlineStr"/>
    </row>
    <row r="17" ht="22" customHeight="1">
      <c r="B17" s="14" t="n">
        <v>13</v>
      </c>
      <c r="C17" s="15" t="inlineStr"/>
      <c r="D17" s="15" t="inlineStr"/>
      <c r="E17" s="16" t="inlineStr">
        <is>
          <t>Physical</t>
        </is>
      </c>
      <c r="F17" s="16" t="inlineStr"/>
      <c r="G17" s="16" t="inlineStr">
        <is>
          <t>N</t>
        </is>
      </c>
      <c r="H17" s="16" t="inlineStr"/>
      <c r="I17" s="16" t="inlineStr"/>
    </row>
    <row r="18" ht="22" customHeight="1">
      <c r="B18" s="8" t="n">
        <v>14</v>
      </c>
      <c r="C18" s="9" t="inlineStr"/>
      <c r="D18" s="9" t="inlineStr"/>
      <c r="E18" s="10" t="inlineStr">
        <is>
          <t>Physical</t>
        </is>
      </c>
      <c r="F18" s="10" t="inlineStr"/>
      <c r="G18" s="10" t="inlineStr">
        <is>
          <t>N</t>
        </is>
      </c>
      <c r="H18" s="10" t="inlineStr"/>
      <c r="I18" s="10" t="inlineStr"/>
    </row>
    <row r="19" ht="22" customHeight="1">
      <c r="B19" s="14" t="n">
        <v>15</v>
      </c>
      <c r="C19" s="15" t="inlineStr"/>
      <c r="D19" s="15" t="inlineStr"/>
      <c r="E19" s="16" t="inlineStr">
        <is>
          <t>Physical</t>
        </is>
      </c>
      <c r="F19" s="16" t="inlineStr"/>
      <c r="G19" s="16" t="inlineStr">
        <is>
          <t>N</t>
        </is>
      </c>
      <c r="H19" s="16" t="inlineStr"/>
      <c r="I19" s="16" t="inlineStr"/>
    </row>
    <row r="20" ht="22" customHeight="1">
      <c r="B20" s="8" t="n">
        <v>16</v>
      </c>
      <c r="C20" s="9" t="inlineStr"/>
      <c r="D20" s="9" t="inlineStr"/>
      <c r="E20" s="10" t="inlineStr">
        <is>
          <t>Physical</t>
        </is>
      </c>
      <c r="F20" s="10" t="inlineStr"/>
      <c r="G20" s="10" t="inlineStr">
        <is>
          <t>N</t>
        </is>
      </c>
      <c r="H20" s="10" t="inlineStr"/>
      <c r="I20" s="10" t="inlineStr"/>
    </row>
    <row r="21" ht="22" customHeight="1">
      <c r="B21" s="14" t="n">
        <v>17</v>
      </c>
      <c r="C21" s="15" t="inlineStr"/>
      <c r="D21" s="15" t="inlineStr"/>
      <c r="E21" s="16" t="inlineStr">
        <is>
          <t>Physical</t>
        </is>
      </c>
      <c r="F21" s="16" t="inlineStr"/>
      <c r="G21" s="16" t="inlineStr">
        <is>
          <t>N</t>
        </is>
      </c>
      <c r="H21" s="16" t="inlineStr"/>
      <c r="I21" s="16" t="inlineStr"/>
    </row>
    <row r="22" ht="22" customHeight="1">
      <c r="B22" s="8" t="n">
        <v>18</v>
      </c>
      <c r="C22" s="9" t="inlineStr"/>
      <c r="D22" s="9" t="inlineStr"/>
      <c r="E22" s="10" t="inlineStr">
        <is>
          <t>Physical</t>
        </is>
      </c>
      <c r="F22" s="10" t="inlineStr"/>
      <c r="G22" s="10" t="inlineStr">
        <is>
          <t>N</t>
        </is>
      </c>
      <c r="H22" s="10" t="inlineStr"/>
      <c r="I22" s="10" t="inlineStr"/>
    </row>
    <row r="23" ht="22" customHeight="1">
      <c r="B23" s="14" t="n">
        <v>19</v>
      </c>
      <c r="C23" s="15" t="inlineStr"/>
      <c r="D23" s="15" t="inlineStr"/>
      <c r="E23" s="16" t="inlineStr">
        <is>
          <t>Physical</t>
        </is>
      </c>
      <c r="F23" s="16" t="inlineStr"/>
      <c r="G23" s="16" t="inlineStr">
        <is>
          <t>N</t>
        </is>
      </c>
      <c r="H23" s="16" t="inlineStr"/>
      <c r="I23" s="16" t="inlineStr"/>
    </row>
    <row r="24" ht="22" customHeight="1">
      <c r="B24" s="8" t="n">
        <v>20</v>
      </c>
      <c r="C24" s="9" t="inlineStr"/>
      <c r="D24" s="9" t="inlineStr"/>
      <c r="E24" s="10" t="inlineStr">
        <is>
          <t>Physical</t>
        </is>
      </c>
      <c r="F24" s="10" t="inlineStr"/>
      <c r="G24" s="10" t="inlineStr">
        <is>
          <t>N</t>
        </is>
      </c>
      <c r="H24" s="10" t="inlineStr"/>
      <c r="I24" s="10" t="inlineStr"/>
    </row>
    <row r="25" ht="22" customHeight="1">
      <c r="B25" s="14" t="n">
        <v>21</v>
      </c>
      <c r="C25" s="15" t="inlineStr"/>
      <c r="D25" s="15" t="inlineStr"/>
      <c r="E25" s="16" t="inlineStr">
        <is>
          <t>Physical</t>
        </is>
      </c>
      <c r="F25" s="16" t="inlineStr"/>
      <c r="G25" s="16" t="inlineStr">
        <is>
          <t>N</t>
        </is>
      </c>
      <c r="H25" s="16" t="inlineStr"/>
      <c r="I25" s="16" t="inlineStr"/>
    </row>
    <row r="26" ht="22" customHeight="1">
      <c r="B26" s="8" t="n">
        <v>22</v>
      </c>
      <c r="C26" s="9" t="inlineStr"/>
      <c r="D26" s="9" t="inlineStr"/>
      <c r="E26" s="10" t="inlineStr">
        <is>
          <t>Physical</t>
        </is>
      </c>
      <c r="F26" s="10" t="inlineStr"/>
      <c r="G26" s="10" t="inlineStr">
        <is>
          <t>N</t>
        </is>
      </c>
      <c r="H26" s="10" t="inlineStr"/>
      <c r="I26" s="10" t="inlineStr"/>
    </row>
    <row r="27" ht="22" customHeight="1"/>
    <row r="28" ht="24" customHeight="1">
      <c r="B28" s="20" t="inlineStr">
        <is>
          <t>QUORUM VERIFICATION</t>
        </is>
      </c>
    </row>
    <row r="29" ht="22" customHeight="1">
      <c r="B29" s="23" t="inlineStr">
        <is>
          <t>Total CAC Members</t>
        </is>
      </c>
      <c r="G29" s="24" t="inlineStr"/>
    </row>
    <row r="30">
      <c r="B30" s="25" t="inlineStr">
        <is>
          <t>Present (Physical)</t>
        </is>
      </c>
      <c r="G30" s="24">
        <f>COUNTIF(F5:F26,"P")</f>
        <v/>
      </c>
    </row>
    <row r="31">
      <c r="B31" s="23" t="inlineStr">
        <is>
          <t>Present (VC)</t>
        </is>
      </c>
      <c r="G31" s="24" t="inlineStr"/>
    </row>
    <row r="32">
      <c r="B32" s="25" t="inlineStr">
        <is>
          <t>Total Effective</t>
        </is>
      </c>
      <c r="G32" s="24">
        <f>IFERROR(C30+C31,"")</f>
        <v/>
      </c>
    </row>
    <row r="33">
      <c r="B33" s="23" t="inlineStr">
        <is>
          <t>Quorum Required (50%)</t>
        </is>
      </c>
      <c r="G33" s="24" t="inlineStr"/>
    </row>
    <row r="34">
      <c r="B34" s="25" t="inlineStr">
        <is>
          <t>Quorum Achieved?</t>
        </is>
      </c>
      <c r="G34" s="26">
        <f>IFERROR(IF(C32&gt;=C33,"YES — Meeting Valid","NO — Adjourned"),"")</f>
        <v/>
      </c>
    </row>
  </sheetData>
  <mergeCells count="15">
    <mergeCell ref="B30:F30"/>
    <mergeCell ref="B29:F29"/>
    <mergeCell ref="G32:I32"/>
    <mergeCell ref="B34:F34"/>
    <mergeCell ref="B33:F33"/>
    <mergeCell ref="B2:I2"/>
    <mergeCell ref="G31:I31"/>
    <mergeCell ref="B28:I28"/>
    <mergeCell ref="B3:I3"/>
    <mergeCell ref="B31:F31"/>
    <mergeCell ref="G34:I34"/>
    <mergeCell ref="B32:F32"/>
    <mergeCell ref="G29:I29"/>
    <mergeCell ref="G30:I30"/>
    <mergeCell ref="G33:I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8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12" t="inlineStr">
        <is>
          <t>CAC: MEETING MINUTES &amp; RESOLUTIONS</t>
        </is>
      </c>
    </row>
    <row r="3" ht="25" customHeight="1">
      <c r="B3" s="2" t="inlineStr">
        <is>
          <t>Meeting No.: _______  Date: _______  Venue: _______  Chairperson: ___________________</t>
        </is>
      </c>
    </row>
    <row r="4" ht="24" customHeight="1">
      <c r="B4" s="27" t="inlineStr">
        <is>
          <t>DISCUSSION &amp; RESOLUTIONS</t>
        </is>
      </c>
    </row>
    <row r="5" ht="30" customHeight="1">
      <c r="B5" s="28" t="inlineStr">
        <is>
          <t>Resolution
No.</t>
        </is>
      </c>
      <c r="C5" s="28" t="inlineStr">
        <is>
          <t>Discussion &amp; Resolution</t>
        </is>
      </c>
      <c r="D5" s="28" t="inlineStr">
        <is>
          <t>Responsible</t>
        </is>
      </c>
      <c r="E5" s="28" t="inlineStr">
        <is>
          <t>Voting</t>
        </is>
      </c>
      <c r="F5" s="28" t="inlineStr">
        <is>
          <t>Target
Date</t>
        </is>
      </c>
      <c r="G5" s="28" t="inlineStr">
        <is>
          <t>Status</t>
        </is>
      </c>
    </row>
    <row r="6" ht="30" customHeight="1">
      <c r="B6" s="14" t="inlineStr">
        <is>
          <t>CAC/RES/001</t>
        </is>
      </c>
      <c r="C6" s="15" t="inlineStr"/>
      <c r="D6" s="16" t="inlineStr"/>
      <c r="E6" s="16" t="inlineStr"/>
      <c r="F6" s="16" t="inlineStr"/>
      <c r="G6" s="16" t="inlineStr">
        <is>
          <t>Pending</t>
        </is>
      </c>
    </row>
    <row r="7" ht="30" customHeight="1">
      <c r="B7" s="8" t="inlineStr">
        <is>
          <t>CAC/RES/002</t>
        </is>
      </c>
      <c r="C7" s="9" t="inlineStr"/>
      <c r="D7" s="10" t="inlineStr"/>
      <c r="E7" s="10" t="inlineStr"/>
      <c r="F7" s="10" t="inlineStr"/>
      <c r="G7" s="10" t="inlineStr">
        <is>
          <t>Pending</t>
        </is>
      </c>
    </row>
    <row r="8" ht="30" customHeight="1">
      <c r="B8" s="14" t="inlineStr">
        <is>
          <t>CAC/RES/003</t>
        </is>
      </c>
      <c r="C8" s="15" t="inlineStr"/>
      <c r="D8" s="16" t="inlineStr"/>
      <c r="E8" s="16" t="inlineStr"/>
      <c r="F8" s="16" t="inlineStr"/>
      <c r="G8" s="16" t="inlineStr">
        <is>
          <t>Pending</t>
        </is>
      </c>
    </row>
    <row r="9" ht="30" customHeight="1">
      <c r="B9" s="8" t="inlineStr">
        <is>
          <t>CAC/RES/004</t>
        </is>
      </c>
      <c r="C9" s="9" t="inlineStr"/>
      <c r="D9" s="10" t="inlineStr"/>
      <c r="E9" s="10" t="inlineStr"/>
      <c r="F9" s="10" t="inlineStr"/>
      <c r="G9" s="10" t="inlineStr">
        <is>
          <t>Pending</t>
        </is>
      </c>
    </row>
    <row r="10" ht="30" customHeight="1">
      <c r="B10" s="14" t="inlineStr">
        <is>
          <t>CAC/RES/005</t>
        </is>
      </c>
      <c r="C10" s="15" t="inlineStr"/>
      <c r="D10" s="16" t="inlineStr"/>
      <c r="E10" s="16" t="inlineStr"/>
      <c r="F10" s="16" t="inlineStr"/>
      <c r="G10" s="16" t="inlineStr">
        <is>
          <t>Pending</t>
        </is>
      </c>
    </row>
    <row r="11" ht="30" customHeight="1">
      <c r="B11" s="8" t="inlineStr">
        <is>
          <t>CAC/RES/006</t>
        </is>
      </c>
      <c r="C11" s="9" t="inlineStr"/>
      <c r="D11" s="10" t="inlineStr"/>
      <c r="E11" s="10" t="inlineStr"/>
      <c r="F11" s="10" t="inlineStr"/>
      <c r="G11" s="10" t="inlineStr">
        <is>
          <t>Pending</t>
        </is>
      </c>
    </row>
    <row r="12" ht="30" customHeight="1">
      <c r="B12" s="14" t="inlineStr">
        <is>
          <t>CAC/RES/007</t>
        </is>
      </c>
      <c r="C12" s="15" t="inlineStr"/>
      <c r="D12" s="16" t="inlineStr"/>
      <c r="E12" s="16" t="inlineStr"/>
      <c r="F12" s="16" t="inlineStr"/>
      <c r="G12" s="16" t="inlineStr">
        <is>
          <t>Pending</t>
        </is>
      </c>
    </row>
    <row r="13" ht="30" customHeight="1">
      <c r="B13" s="8" t="inlineStr">
        <is>
          <t>CAC/RES/008</t>
        </is>
      </c>
      <c r="C13" s="9" t="inlineStr"/>
      <c r="D13" s="10" t="inlineStr"/>
      <c r="E13" s="10" t="inlineStr"/>
      <c r="F13" s="10" t="inlineStr"/>
      <c r="G13" s="10" t="inlineStr">
        <is>
          <t>Pending</t>
        </is>
      </c>
    </row>
    <row r="14" ht="30" customHeight="1">
      <c r="B14" s="14" t="inlineStr">
        <is>
          <t>CAC/RES/009</t>
        </is>
      </c>
      <c r="C14" s="15" t="inlineStr"/>
      <c r="D14" s="16" t="inlineStr"/>
      <c r="E14" s="16" t="inlineStr"/>
      <c r="F14" s="16" t="inlineStr"/>
      <c r="G14" s="16" t="inlineStr">
        <is>
          <t>Pending</t>
        </is>
      </c>
    </row>
    <row r="15" ht="30" customHeight="1">
      <c r="B15" s="8" t="inlineStr">
        <is>
          <t>CAC/RES/010</t>
        </is>
      </c>
      <c r="C15" s="9" t="inlineStr"/>
      <c r="D15" s="10" t="inlineStr"/>
      <c r="E15" s="10" t="inlineStr"/>
      <c r="F15" s="10" t="inlineStr"/>
      <c r="G15" s="10" t="inlineStr">
        <is>
          <t>Pending</t>
        </is>
      </c>
    </row>
    <row r="16" ht="30" customHeight="1">
      <c r="B16" s="14" t="inlineStr">
        <is>
          <t>CAC/RES/011</t>
        </is>
      </c>
      <c r="C16" s="15" t="inlineStr"/>
      <c r="D16" s="16" t="inlineStr"/>
      <c r="E16" s="16" t="inlineStr"/>
      <c r="F16" s="16" t="inlineStr"/>
      <c r="G16" s="16" t="inlineStr">
        <is>
          <t>Pending</t>
        </is>
      </c>
    </row>
    <row r="17" ht="30" customHeight="1">
      <c r="B17" s="8" t="inlineStr">
        <is>
          <t>CAC/RES/012</t>
        </is>
      </c>
      <c r="C17" s="9" t="inlineStr"/>
      <c r="D17" s="10" t="inlineStr"/>
      <c r="E17" s="10" t="inlineStr"/>
      <c r="F17" s="10" t="inlineStr"/>
      <c r="G17" s="10" t="inlineStr">
        <is>
          <t>Pending</t>
        </is>
      </c>
    </row>
    <row r="18" ht="30" customHeight="1">
      <c r="B18" s="14" t="inlineStr">
        <is>
          <t>CAC/RES/013</t>
        </is>
      </c>
      <c r="C18" s="15" t="inlineStr"/>
      <c r="D18" s="16" t="inlineStr"/>
      <c r="E18" s="16" t="inlineStr"/>
      <c r="F18" s="16" t="inlineStr"/>
      <c r="G18" s="16" t="inlineStr">
        <is>
          <t>Pending</t>
        </is>
      </c>
    </row>
    <row r="19" ht="30" customHeight="1">
      <c r="B19" s="8" t="inlineStr">
        <is>
          <t>CAC/RES/014</t>
        </is>
      </c>
      <c r="C19" s="9" t="inlineStr"/>
      <c r="D19" s="10" t="inlineStr"/>
      <c r="E19" s="10" t="inlineStr"/>
      <c r="F19" s="10" t="inlineStr"/>
      <c r="G19" s="10" t="inlineStr">
        <is>
          <t>Pending</t>
        </is>
      </c>
    </row>
    <row r="20" ht="30" customHeight="1"/>
    <row r="21" ht="30" customHeight="1">
      <c r="B21" s="29" t="inlineStr">
        <is>
          <t>Next Meeting: _______    Chairperson: ___________________    CAC Coordinator: ___________________</t>
        </is>
      </c>
    </row>
  </sheetData>
  <mergeCells count="4">
    <mergeCell ref="B3:G3"/>
    <mergeCell ref="B2:G2"/>
    <mergeCell ref="B4:G4"/>
    <mergeCell ref="B21:G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12" t="inlineStr">
        <is>
          <t>CAC: ACTION TAKEN REPORT (ATR)</t>
        </is>
      </c>
    </row>
    <row r="3" ht="25" customHeight="1">
      <c r="B3" s="2" t="inlineStr">
        <is>
          <t>Current Meeting No.: _______  Date: _______  Previous Meeting Ref.: _______</t>
        </is>
      </c>
    </row>
    <row r="4" ht="25" customHeight="1">
      <c r="B4" s="30" t="inlineStr">
        <is>
          <t>Resolution
No.</t>
        </is>
      </c>
      <c r="C4" s="30" t="inlineStr">
        <is>
          <t>Resolution / Decision</t>
        </is>
      </c>
      <c r="D4" s="30" t="inlineStr">
        <is>
          <t>Action Required</t>
        </is>
      </c>
      <c r="E4" s="30" t="inlineStr">
        <is>
          <t>Responsible</t>
        </is>
      </c>
      <c r="F4" s="30" t="inlineStr">
        <is>
          <t>Target
Date</t>
        </is>
      </c>
      <c r="G4" s="30" t="inlineStr">
        <is>
          <t>Completion
Date</t>
        </is>
      </c>
      <c r="H4" s="30" t="inlineStr">
        <is>
          <t>Status</t>
        </is>
      </c>
    </row>
    <row r="5" ht="26" customHeight="1">
      <c r="B5" s="31" t="inlineStr">
        <is>
          <t>CAC/RES/001</t>
        </is>
      </c>
      <c r="C5" s="32" t="inlineStr"/>
      <c r="D5" s="32" t="inlineStr"/>
      <c r="E5" s="33" t="inlineStr"/>
      <c r="F5" s="33" t="inlineStr"/>
      <c r="G5" s="33" t="inlineStr"/>
      <c r="H5" s="32" t="inlineStr">
        <is>
          <t>In Progress</t>
        </is>
      </c>
    </row>
    <row r="6" ht="26" customHeight="1">
      <c r="B6" s="8" t="inlineStr">
        <is>
          <t>CAC/RES/002</t>
        </is>
      </c>
      <c r="C6" s="9" t="inlineStr"/>
      <c r="D6" s="9" t="inlineStr"/>
      <c r="E6" s="10" t="inlineStr"/>
      <c r="F6" s="10" t="inlineStr"/>
      <c r="G6" s="10" t="inlineStr"/>
      <c r="H6" s="9" t="inlineStr">
        <is>
          <t>In Progress</t>
        </is>
      </c>
    </row>
    <row r="7" ht="26" customHeight="1">
      <c r="B7" s="31" t="inlineStr">
        <is>
          <t>CAC/RES/003</t>
        </is>
      </c>
      <c r="C7" s="32" t="inlineStr"/>
      <c r="D7" s="32" t="inlineStr"/>
      <c r="E7" s="33" t="inlineStr"/>
      <c r="F7" s="33" t="inlineStr"/>
      <c r="G7" s="33" t="inlineStr"/>
      <c r="H7" s="32" t="inlineStr">
        <is>
          <t>In Progress</t>
        </is>
      </c>
    </row>
    <row r="8" ht="26" customHeight="1">
      <c r="B8" s="8" t="inlineStr">
        <is>
          <t>CAC/RES/004</t>
        </is>
      </c>
      <c r="C8" s="9" t="inlineStr"/>
      <c r="D8" s="9" t="inlineStr"/>
      <c r="E8" s="10" t="inlineStr"/>
      <c r="F8" s="10" t="inlineStr"/>
      <c r="G8" s="10" t="inlineStr"/>
      <c r="H8" s="9" t="inlineStr">
        <is>
          <t>In Progress</t>
        </is>
      </c>
    </row>
    <row r="9" ht="26" customHeight="1">
      <c r="B9" s="31" t="inlineStr">
        <is>
          <t>CAC/RES/005</t>
        </is>
      </c>
      <c r="C9" s="32" t="inlineStr"/>
      <c r="D9" s="32" t="inlineStr"/>
      <c r="E9" s="33" t="inlineStr"/>
      <c r="F9" s="33" t="inlineStr"/>
      <c r="G9" s="33" t="inlineStr"/>
      <c r="H9" s="32" t="inlineStr">
        <is>
          <t>In Progress</t>
        </is>
      </c>
    </row>
    <row r="10" ht="26" customHeight="1">
      <c r="B10" s="8" t="inlineStr">
        <is>
          <t>CAC/RES/006</t>
        </is>
      </c>
      <c r="C10" s="9" t="inlineStr"/>
      <c r="D10" s="9" t="inlineStr"/>
      <c r="E10" s="10" t="inlineStr"/>
      <c r="F10" s="10" t="inlineStr"/>
      <c r="G10" s="10" t="inlineStr"/>
      <c r="H10" s="9" t="inlineStr">
        <is>
          <t>In Progress</t>
        </is>
      </c>
    </row>
    <row r="11" ht="26" customHeight="1">
      <c r="B11" s="31" t="inlineStr">
        <is>
          <t>CAC/RES/007</t>
        </is>
      </c>
      <c r="C11" s="32" t="inlineStr"/>
      <c r="D11" s="32" t="inlineStr"/>
      <c r="E11" s="33" t="inlineStr"/>
      <c r="F11" s="33" t="inlineStr"/>
      <c r="G11" s="33" t="inlineStr"/>
      <c r="H11" s="32" t="inlineStr">
        <is>
          <t>In Progress</t>
        </is>
      </c>
    </row>
    <row r="12" ht="26" customHeight="1">
      <c r="B12" s="8" t="inlineStr">
        <is>
          <t>CAC/RES/008</t>
        </is>
      </c>
      <c r="C12" s="9" t="inlineStr"/>
      <c r="D12" s="9" t="inlineStr"/>
      <c r="E12" s="10" t="inlineStr"/>
      <c r="F12" s="10" t="inlineStr"/>
      <c r="G12" s="10" t="inlineStr"/>
      <c r="H12" s="9" t="inlineStr">
        <is>
          <t>In Progress</t>
        </is>
      </c>
    </row>
    <row r="13" ht="26" customHeight="1">
      <c r="B13" s="31" t="inlineStr">
        <is>
          <t>CAC/RES/009</t>
        </is>
      </c>
      <c r="C13" s="32" t="inlineStr"/>
      <c r="D13" s="32" t="inlineStr"/>
      <c r="E13" s="33" t="inlineStr"/>
      <c r="F13" s="33" t="inlineStr"/>
      <c r="G13" s="33" t="inlineStr"/>
      <c r="H13" s="32" t="inlineStr">
        <is>
          <t>In Progress</t>
        </is>
      </c>
    </row>
    <row r="14" ht="26" customHeight="1">
      <c r="B14" s="8" t="inlineStr">
        <is>
          <t>CAC/RES/010</t>
        </is>
      </c>
      <c r="C14" s="9" t="inlineStr"/>
      <c r="D14" s="9" t="inlineStr"/>
      <c r="E14" s="10" t="inlineStr"/>
      <c r="F14" s="10" t="inlineStr"/>
      <c r="G14" s="10" t="inlineStr"/>
      <c r="H14" s="9" t="inlineStr">
        <is>
          <t>In Progress</t>
        </is>
      </c>
    </row>
    <row r="15" ht="26" customHeight="1">
      <c r="B15" s="31" t="inlineStr">
        <is>
          <t>CAC/RES/011</t>
        </is>
      </c>
      <c r="C15" s="32" t="inlineStr"/>
      <c r="D15" s="32" t="inlineStr"/>
      <c r="E15" s="33" t="inlineStr"/>
      <c r="F15" s="33" t="inlineStr"/>
      <c r="G15" s="33" t="inlineStr"/>
      <c r="H15" s="32" t="inlineStr">
        <is>
          <t>In Progress</t>
        </is>
      </c>
    </row>
    <row r="16" ht="26" customHeight="1">
      <c r="B16" s="8" t="inlineStr">
        <is>
          <t>CAC/RES/012</t>
        </is>
      </c>
      <c r="C16" s="9" t="inlineStr"/>
      <c r="D16" s="9" t="inlineStr"/>
      <c r="E16" s="10" t="inlineStr"/>
      <c r="F16" s="10" t="inlineStr"/>
      <c r="G16" s="10" t="inlineStr"/>
      <c r="H16" s="9" t="inlineStr">
        <is>
          <t>In Progress</t>
        </is>
      </c>
    </row>
    <row r="17" ht="26" customHeight="1">
      <c r="B17" s="31" t="inlineStr">
        <is>
          <t>CAC/RES/013</t>
        </is>
      </c>
      <c r="C17" s="32" t="inlineStr"/>
      <c r="D17" s="32" t="inlineStr"/>
      <c r="E17" s="33" t="inlineStr"/>
      <c r="F17" s="33" t="inlineStr"/>
      <c r="G17" s="33" t="inlineStr"/>
      <c r="H17" s="32" t="inlineStr">
        <is>
          <t>In Progress</t>
        </is>
      </c>
    </row>
    <row r="18" ht="26" customHeight="1">
      <c r="B18" s="8" t="inlineStr">
        <is>
          <t>CAC/RES/014</t>
        </is>
      </c>
      <c r="C18" s="9" t="inlineStr"/>
      <c r="D18" s="9" t="inlineStr"/>
      <c r="E18" s="10" t="inlineStr"/>
      <c r="F18" s="10" t="inlineStr"/>
      <c r="G18" s="10" t="inlineStr"/>
      <c r="H18" s="9" t="inlineStr">
        <is>
          <t>In Progress</t>
        </is>
      </c>
    </row>
    <row r="19" ht="26" customHeight="1"/>
    <row r="20" ht="24" customHeight="1">
      <c r="B20" s="34" t="inlineStr">
        <is>
          <t>ATR SUMMARY</t>
        </is>
      </c>
    </row>
    <row r="21" ht="26" customHeight="1">
      <c r="B21" s="35" t="inlineStr">
        <is>
          <t>Total Resolutions Under Review</t>
        </is>
      </c>
      <c r="F21" s="36">
        <f>COUNTA(B5:B18)</f>
        <v/>
      </c>
    </row>
    <row r="22" ht="26" customHeight="1">
      <c r="B22" s="25" t="inlineStr">
        <is>
          <t>Implemented</t>
        </is>
      </c>
      <c r="F22" s="37">
        <f>COUNTIF(H5:H18,"Implemented")</f>
        <v/>
      </c>
    </row>
    <row r="23" ht="26" customHeight="1">
      <c r="B23" s="35" t="inlineStr">
        <is>
          <t>In Progress</t>
        </is>
      </c>
      <c r="F23" s="36">
        <f>COUNTIF(H5:H18,"In Progress")</f>
        <v/>
      </c>
    </row>
    <row r="24" ht="26" customHeight="1">
      <c r="B24" s="25" t="inlineStr">
        <is>
          <t>Pending</t>
        </is>
      </c>
      <c r="F24" s="37">
        <f>COUNTIF(H5:H18,"Pending")</f>
        <v/>
      </c>
    </row>
    <row r="25">
      <c r="B25" s="35" t="inlineStr">
        <is>
          <t>Deferred</t>
        </is>
      </c>
      <c r="F25" s="36">
        <f>COUNTIF(H5:H18,"Deferred")</f>
        <v/>
      </c>
    </row>
    <row r="26">
      <c r="B26" s="25" t="inlineStr">
        <is>
          <t>Implementation Rate (%)</t>
        </is>
      </c>
      <c r="F26" s="37">
        <f>IFERROR(ROUND(C22/C21*100,1),"")</f>
        <v/>
      </c>
    </row>
  </sheetData>
  <mergeCells count="15">
    <mergeCell ref="F23:H23"/>
    <mergeCell ref="B23:E23"/>
    <mergeCell ref="B26:E26"/>
    <mergeCell ref="F22:H22"/>
    <mergeCell ref="B21:E21"/>
    <mergeCell ref="F26:H26"/>
    <mergeCell ref="B2:H2"/>
    <mergeCell ref="B25:E25"/>
    <mergeCell ref="B24:E24"/>
    <mergeCell ref="B3:H3"/>
    <mergeCell ref="F21:H21"/>
    <mergeCell ref="B20:H20"/>
    <mergeCell ref="B22:E22"/>
    <mergeCell ref="F24:H24"/>
    <mergeCell ref="F25:H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CAC-02: ACADEMIC CALENDAR — ANNUAL PLANNING REGISTER</t>
        </is>
      </c>
    </row>
    <row r="3" ht="25" customHeight="1">
      <c r="B3" s="2" t="inlineStr">
        <is>
          <t>A.Y.: _______  Odd Semester: _______  Even Semester: _______  CAC Coordinator: ___________________</t>
        </is>
      </c>
    </row>
    <row r="4" ht="25" customHeight="1">
      <c r="B4" s="13" t="inlineStr">
        <is>
          <t>Sl.</t>
        </is>
      </c>
      <c r="C4" s="13" t="inlineStr">
        <is>
          <t>Academic Event / Activity</t>
        </is>
      </c>
      <c r="D4" s="13" t="inlineStr">
        <is>
          <t>Planned
Date /
Week</t>
        </is>
      </c>
      <c r="E4" s="13" t="inlineStr">
        <is>
          <t>Actual
Date</t>
        </is>
      </c>
      <c r="F4" s="13" t="inlineStr">
        <is>
          <t>Responsible
Dept. / Cell</t>
        </is>
      </c>
      <c r="G4" s="13" t="inlineStr">
        <is>
          <t>Status</t>
        </is>
      </c>
      <c r="H4" s="13" t="inlineStr">
        <is>
          <t>Teaching
Days
Lost</t>
        </is>
      </c>
      <c r="I4" s="13" t="inlineStr">
        <is>
          <t>Compensatory
Required</t>
        </is>
      </c>
      <c r="J4" s="13" t="inlineStr">
        <is>
          <t>Remarks</t>
        </is>
      </c>
    </row>
    <row r="5" ht="24" customHeight="1">
      <c r="B5" s="19" t="inlineStr">
        <is>
          <t>ODD SEMESTER — KEY EVENTS</t>
        </is>
      </c>
    </row>
    <row r="6" ht="24" customHeight="1">
      <c r="B6" s="14" t="n">
        <v>1</v>
      </c>
      <c r="C6" s="15" t="inlineStr">
        <is>
          <t>Commencement of Odd Semester classes</t>
        </is>
      </c>
      <c r="D6" s="16" t="inlineStr"/>
      <c r="E6" s="16" t="inlineStr"/>
      <c r="F6" s="16" t="inlineStr"/>
      <c r="G6" s="16" t="inlineStr">
        <is>
          <t>Planned</t>
        </is>
      </c>
      <c r="H6" s="16" t="inlineStr"/>
      <c r="I6" s="16" t="inlineStr"/>
      <c r="J6" s="15" t="inlineStr"/>
    </row>
    <row r="7" ht="24" customHeight="1">
      <c r="B7" s="8" t="n">
        <v>2</v>
      </c>
      <c r="C7" s="9" t="inlineStr">
        <is>
          <t>Induction / Orientation Programme (New Students)</t>
        </is>
      </c>
      <c r="D7" s="10" t="inlineStr"/>
      <c r="E7" s="10" t="inlineStr"/>
      <c r="F7" s="10" t="inlineStr"/>
      <c r="G7" s="10" t="inlineStr">
        <is>
          <t>Planned</t>
        </is>
      </c>
      <c r="H7" s="10" t="inlineStr"/>
      <c r="I7" s="10" t="inlineStr"/>
      <c r="J7" s="9" t="inlineStr"/>
    </row>
    <row r="8" ht="24" customHeight="1">
      <c r="B8" s="14" t="n">
        <v>3</v>
      </c>
      <c r="C8" s="15" t="inlineStr">
        <is>
          <t>Teaching Plan submission deadline (all faculty)</t>
        </is>
      </c>
      <c r="D8" s="16" t="inlineStr"/>
      <c r="E8" s="16" t="inlineStr"/>
      <c r="F8" s="16" t="inlineStr"/>
      <c r="G8" s="16" t="inlineStr">
        <is>
          <t>Planned</t>
        </is>
      </c>
      <c r="H8" s="16" t="inlineStr"/>
      <c r="I8" s="16" t="inlineStr"/>
      <c r="J8" s="15" t="inlineStr"/>
    </row>
    <row r="9" ht="24" customHeight="1">
      <c r="B9" s="8" t="n">
        <v>4</v>
      </c>
      <c r="C9" s="9" t="inlineStr">
        <is>
          <t>First Internal Assessment (CIE-1)</t>
        </is>
      </c>
      <c r="D9" s="10" t="inlineStr"/>
      <c r="E9" s="10" t="inlineStr"/>
      <c r="F9" s="10" t="inlineStr"/>
      <c r="G9" s="10" t="inlineStr">
        <is>
          <t>Planned</t>
        </is>
      </c>
      <c r="H9" s="10" t="inlineStr"/>
      <c r="I9" s="10" t="inlineStr"/>
      <c r="J9" s="9" t="inlineStr"/>
    </row>
    <row r="10" ht="24" customHeight="1">
      <c r="B10" s="14" t="n">
        <v>5</v>
      </c>
      <c r="C10" s="15" t="inlineStr">
        <is>
          <t>Mid-semester review — CAC meeting</t>
        </is>
      </c>
      <c r="D10" s="16" t="inlineStr"/>
      <c r="E10" s="16" t="inlineStr"/>
      <c r="F10" s="16" t="inlineStr"/>
      <c r="G10" s="16" t="inlineStr">
        <is>
          <t>Planned</t>
        </is>
      </c>
      <c r="H10" s="16" t="inlineStr"/>
      <c r="I10" s="16" t="inlineStr"/>
      <c r="J10" s="15" t="inlineStr"/>
    </row>
    <row r="11" ht="24" customHeight="1">
      <c r="B11" s="8" t="n">
        <v>6</v>
      </c>
      <c r="C11" s="9" t="inlineStr">
        <is>
          <t>Second Internal Assessment (CIE-2)</t>
        </is>
      </c>
      <c r="D11" s="10" t="inlineStr"/>
      <c r="E11" s="10" t="inlineStr"/>
      <c r="F11" s="10" t="inlineStr"/>
      <c r="G11" s="10" t="inlineStr">
        <is>
          <t>Planned</t>
        </is>
      </c>
      <c r="H11" s="10" t="inlineStr"/>
      <c r="I11" s="10" t="inlineStr"/>
      <c r="J11" s="9" t="inlineStr"/>
    </row>
    <row r="12" ht="24" customHeight="1">
      <c r="B12" s="14" t="n">
        <v>7</v>
      </c>
      <c r="C12" s="15" t="inlineStr">
        <is>
          <t>Mentor-mentee session — Mid-semester</t>
        </is>
      </c>
      <c r="D12" s="16" t="inlineStr"/>
      <c r="E12" s="16" t="inlineStr"/>
      <c r="F12" s="16" t="inlineStr"/>
      <c r="G12" s="16" t="inlineStr">
        <is>
          <t>Planned</t>
        </is>
      </c>
      <c r="H12" s="16" t="inlineStr"/>
      <c r="I12" s="16" t="inlineStr"/>
      <c r="J12" s="15" t="inlineStr"/>
    </row>
    <row r="13" ht="24" customHeight="1">
      <c r="B13" s="8" t="n">
        <v>8</v>
      </c>
      <c r="C13" s="9" t="inlineStr">
        <is>
          <t>Guest Lecture Week — Dept.-wise</t>
        </is>
      </c>
      <c r="D13" s="10" t="inlineStr"/>
      <c r="E13" s="10" t="inlineStr"/>
      <c r="F13" s="10" t="inlineStr"/>
      <c r="G13" s="10" t="inlineStr">
        <is>
          <t>Planned</t>
        </is>
      </c>
      <c r="H13" s="10" t="inlineStr"/>
      <c r="I13" s="10" t="inlineStr"/>
      <c r="J13" s="9" t="inlineStr"/>
    </row>
    <row r="14" ht="24" customHeight="1">
      <c r="B14" s="14" t="n">
        <v>9</v>
      </c>
      <c r="C14" s="15" t="inlineStr">
        <is>
          <t>Value-added course commencement</t>
        </is>
      </c>
      <c r="D14" s="16" t="inlineStr"/>
      <c r="E14" s="16" t="inlineStr"/>
      <c r="F14" s="16" t="inlineStr"/>
      <c r="G14" s="16" t="inlineStr">
        <is>
          <t>Planned</t>
        </is>
      </c>
      <c r="H14" s="16" t="inlineStr"/>
      <c r="I14" s="16" t="inlineStr"/>
      <c r="J14" s="15" t="inlineStr"/>
    </row>
    <row r="15" ht="24" customHeight="1">
      <c r="B15" s="8" t="n">
        <v>10</v>
      </c>
      <c r="C15" s="9" t="inlineStr">
        <is>
          <t>Industrial Visit season (Oct–Nov)</t>
        </is>
      </c>
      <c r="D15" s="10" t="inlineStr"/>
      <c r="E15" s="10" t="inlineStr"/>
      <c r="F15" s="10" t="inlineStr"/>
      <c r="G15" s="10" t="inlineStr">
        <is>
          <t>Planned</t>
        </is>
      </c>
      <c r="H15" s="10" t="inlineStr"/>
      <c r="I15" s="10" t="inlineStr"/>
      <c r="J15" s="9" t="inlineStr"/>
    </row>
    <row r="16" ht="24" customHeight="1">
      <c r="B16" s="14" t="n">
        <v>11</v>
      </c>
      <c r="C16" s="15" t="inlineStr">
        <is>
          <t>Attendance review — defaulter list circulation</t>
        </is>
      </c>
      <c r="D16" s="16" t="inlineStr"/>
      <c r="E16" s="16" t="inlineStr"/>
      <c r="F16" s="16" t="inlineStr"/>
      <c r="G16" s="16" t="inlineStr">
        <is>
          <t>Planned</t>
        </is>
      </c>
      <c r="H16" s="16" t="inlineStr"/>
      <c r="I16" s="16" t="inlineStr"/>
      <c r="J16" s="15" t="inlineStr"/>
    </row>
    <row r="17" ht="24" customHeight="1">
      <c r="B17" s="8" t="n">
        <v>12</v>
      </c>
      <c r="C17" s="9" t="inlineStr">
        <is>
          <t>Third Internal Assessment (CIE-3)</t>
        </is>
      </c>
      <c r="D17" s="10" t="inlineStr"/>
      <c r="E17" s="10" t="inlineStr"/>
      <c r="F17" s="10" t="inlineStr"/>
      <c r="G17" s="10" t="inlineStr">
        <is>
          <t>Planned</t>
        </is>
      </c>
      <c r="H17" s="10" t="inlineStr"/>
      <c r="I17" s="10" t="inlineStr"/>
      <c r="J17" s="9" t="inlineStr"/>
    </row>
    <row r="18" ht="24" customHeight="1">
      <c r="B18" s="14" t="n">
        <v>13</v>
      </c>
      <c r="C18" s="15" t="inlineStr">
        <is>
          <t>Pre-exam study leave commencement</t>
        </is>
      </c>
      <c r="D18" s="16" t="inlineStr"/>
      <c r="E18" s="16" t="inlineStr"/>
      <c r="F18" s="16" t="inlineStr"/>
      <c r="G18" s="16" t="inlineStr">
        <is>
          <t>Planned</t>
        </is>
      </c>
      <c r="H18" s="16" t="inlineStr"/>
      <c r="I18" s="16" t="inlineStr"/>
      <c r="J18" s="15" t="inlineStr"/>
    </row>
    <row r="19" ht="24" customHeight="1">
      <c r="B19" s="8" t="n">
        <v>14</v>
      </c>
      <c r="C19" s="9" t="inlineStr">
        <is>
          <t>Semester End Examination (SEE) — Odd Semester</t>
        </is>
      </c>
      <c r="D19" s="10" t="inlineStr"/>
      <c r="E19" s="10" t="inlineStr"/>
      <c r="F19" s="10" t="inlineStr"/>
      <c r="G19" s="10" t="inlineStr">
        <is>
          <t>Planned</t>
        </is>
      </c>
      <c r="H19" s="10" t="inlineStr"/>
      <c r="I19" s="10" t="inlineStr"/>
      <c r="J19" s="9" t="inlineStr"/>
    </row>
    <row r="20" ht="24" customHeight="1">
      <c r="B20" s="14" t="n">
        <v>15</v>
      </c>
      <c r="C20" s="15" t="inlineStr">
        <is>
          <t>Results declaration — Odd Semester</t>
        </is>
      </c>
      <c r="D20" s="16" t="inlineStr"/>
      <c r="E20" s="16" t="inlineStr"/>
      <c r="F20" s="16" t="inlineStr"/>
      <c r="G20" s="16" t="inlineStr">
        <is>
          <t>Planned</t>
        </is>
      </c>
      <c r="H20" s="16" t="inlineStr"/>
      <c r="I20" s="16" t="inlineStr"/>
      <c r="J20" s="15" t="inlineStr"/>
    </row>
    <row r="21" ht="24" customHeight="1"/>
    <row r="22" ht="24" customHeight="1">
      <c r="B22" s="38" t="inlineStr">
        <is>
          <t>EVEN SEMESTER — KEY EVENTS</t>
        </is>
      </c>
    </row>
    <row r="23" ht="24" customHeight="1">
      <c r="B23" s="39" t="n">
        <v>16</v>
      </c>
      <c r="C23" s="40" t="inlineStr">
        <is>
          <t>Commencement of Even Semester classes</t>
        </is>
      </c>
      <c r="D23" s="41" t="inlineStr"/>
      <c r="E23" s="41" t="inlineStr"/>
      <c r="F23" s="41" t="inlineStr"/>
      <c r="G23" s="41" t="inlineStr">
        <is>
          <t>Planned</t>
        </is>
      </c>
      <c r="H23" s="41" t="inlineStr"/>
      <c r="I23" s="41" t="inlineStr"/>
      <c r="J23" s="40" t="inlineStr"/>
    </row>
    <row r="24" ht="24" customHeight="1">
      <c r="B24" s="8" t="n">
        <v>17</v>
      </c>
      <c r="C24" s="9" t="inlineStr">
        <is>
          <t>Teaching Plan submission deadline</t>
        </is>
      </c>
      <c r="D24" s="10" t="inlineStr"/>
      <c r="E24" s="10" t="inlineStr"/>
      <c r="F24" s="10" t="inlineStr"/>
      <c r="G24" s="10" t="inlineStr">
        <is>
          <t>Planned</t>
        </is>
      </c>
      <c r="H24" s="10" t="inlineStr"/>
      <c r="I24" s="10" t="inlineStr"/>
      <c r="J24" s="9" t="inlineStr"/>
    </row>
    <row r="25" ht="24" customHeight="1">
      <c r="B25" s="39" t="n">
        <v>18</v>
      </c>
      <c r="C25" s="40" t="inlineStr">
        <is>
          <t>First Internal Assessment (CIE-1)</t>
        </is>
      </c>
      <c r="D25" s="41" t="inlineStr"/>
      <c r="E25" s="41" t="inlineStr"/>
      <c r="F25" s="41" t="inlineStr"/>
      <c r="G25" s="41" t="inlineStr">
        <is>
          <t>Planned</t>
        </is>
      </c>
      <c r="H25" s="41" t="inlineStr"/>
      <c r="I25" s="41" t="inlineStr"/>
      <c r="J25" s="40" t="inlineStr"/>
    </row>
    <row r="26" ht="24" customHeight="1">
      <c r="B26" s="8" t="n">
        <v>19</v>
      </c>
      <c r="C26" s="9" t="inlineStr">
        <is>
          <t>Project / Dissertation review (Final Year)</t>
        </is>
      </c>
      <c r="D26" s="10" t="inlineStr"/>
      <c r="E26" s="10" t="inlineStr"/>
      <c r="F26" s="10" t="inlineStr"/>
      <c r="G26" s="10" t="inlineStr">
        <is>
          <t>Planned</t>
        </is>
      </c>
      <c r="H26" s="10" t="inlineStr"/>
      <c r="I26" s="10" t="inlineStr"/>
      <c r="J26" s="9" t="inlineStr"/>
    </row>
    <row r="27" ht="24" customHeight="1">
      <c r="B27" s="39" t="n">
        <v>20</v>
      </c>
      <c r="C27" s="40" t="inlineStr">
        <is>
          <t>Mid-semester review — CAC meeting</t>
        </is>
      </c>
      <c r="D27" s="41" t="inlineStr"/>
      <c r="E27" s="41" t="inlineStr"/>
      <c r="F27" s="41" t="inlineStr"/>
      <c r="G27" s="41" t="inlineStr">
        <is>
          <t>Planned</t>
        </is>
      </c>
      <c r="H27" s="41" t="inlineStr"/>
      <c r="I27" s="41" t="inlineStr"/>
      <c r="J27" s="40" t="inlineStr"/>
    </row>
    <row r="28" ht="24" customHeight="1">
      <c r="B28" s="8" t="n">
        <v>21</v>
      </c>
      <c r="C28" s="9" t="inlineStr">
        <is>
          <t>Second Internal Assessment (CIE-2)</t>
        </is>
      </c>
      <c r="D28" s="10" t="inlineStr"/>
      <c r="E28" s="10" t="inlineStr"/>
      <c r="F28" s="10" t="inlineStr"/>
      <c r="G28" s="10" t="inlineStr">
        <is>
          <t>Planned</t>
        </is>
      </c>
      <c r="H28" s="10" t="inlineStr"/>
      <c r="I28" s="10" t="inlineStr"/>
      <c r="J28" s="9" t="inlineStr"/>
    </row>
    <row r="29" ht="24" customHeight="1">
      <c r="B29" s="39" t="n">
        <v>22</v>
      </c>
      <c r="C29" s="40" t="inlineStr">
        <is>
          <t>Sports &amp; Cultural Day / Academic Day</t>
        </is>
      </c>
      <c r="D29" s="41" t="inlineStr"/>
      <c r="E29" s="41" t="inlineStr"/>
      <c r="F29" s="41" t="inlineStr"/>
      <c r="G29" s="41" t="inlineStr">
        <is>
          <t>Planned</t>
        </is>
      </c>
      <c r="H29" s="41" t="inlineStr"/>
      <c r="I29" s="41" t="inlineStr"/>
      <c r="J29" s="40" t="inlineStr"/>
    </row>
    <row r="30" ht="24" customHeight="1">
      <c r="B30" s="8" t="n">
        <v>23</v>
      </c>
      <c r="C30" s="9" t="inlineStr">
        <is>
          <t>Third Internal Assessment (CIE-3)</t>
        </is>
      </c>
      <c r="D30" s="10" t="inlineStr"/>
      <c r="E30" s="10" t="inlineStr"/>
      <c r="F30" s="10" t="inlineStr"/>
      <c r="G30" s="10" t="inlineStr">
        <is>
          <t>Planned</t>
        </is>
      </c>
      <c r="H30" s="10" t="inlineStr"/>
      <c r="I30" s="10" t="inlineStr"/>
      <c r="J30" s="9" t="inlineStr"/>
    </row>
    <row r="31" ht="24" customHeight="1">
      <c r="B31" s="39" t="n">
        <v>24</v>
      </c>
      <c r="C31" s="40" t="inlineStr">
        <is>
          <t>Attendance review — final defaulter list</t>
        </is>
      </c>
      <c r="D31" s="41" t="inlineStr"/>
      <c r="E31" s="41" t="inlineStr"/>
      <c r="F31" s="41" t="inlineStr"/>
      <c r="G31" s="41" t="inlineStr">
        <is>
          <t>Planned</t>
        </is>
      </c>
      <c r="H31" s="41" t="inlineStr"/>
      <c r="I31" s="41" t="inlineStr"/>
      <c r="J31" s="40" t="inlineStr"/>
    </row>
    <row r="32" ht="24" customHeight="1">
      <c r="B32" s="8" t="n">
        <v>25</v>
      </c>
      <c r="C32" s="9" t="inlineStr">
        <is>
          <t>Final Year Project Viva / Defence</t>
        </is>
      </c>
      <c r="D32" s="10" t="inlineStr"/>
      <c r="E32" s="10" t="inlineStr"/>
      <c r="F32" s="10" t="inlineStr"/>
      <c r="G32" s="10" t="inlineStr">
        <is>
          <t>Planned</t>
        </is>
      </c>
      <c r="H32" s="10" t="inlineStr"/>
      <c r="I32" s="10" t="inlineStr"/>
      <c r="J32" s="9" t="inlineStr"/>
    </row>
    <row r="33" ht="24" customHeight="1">
      <c r="B33" s="39" t="n">
        <v>26</v>
      </c>
      <c r="C33" s="40" t="inlineStr">
        <is>
          <t>Pre-exam study leave</t>
        </is>
      </c>
      <c r="D33" s="41" t="inlineStr"/>
      <c r="E33" s="41" t="inlineStr"/>
      <c r="F33" s="41" t="inlineStr"/>
      <c r="G33" s="41" t="inlineStr">
        <is>
          <t>Planned</t>
        </is>
      </c>
      <c r="H33" s="41" t="inlineStr"/>
      <c r="I33" s="41" t="inlineStr"/>
      <c r="J33" s="40" t="inlineStr"/>
    </row>
    <row r="34" ht="24" customHeight="1">
      <c r="B34" s="8" t="n">
        <v>27</v>
      </c>
      <c r="C34" s="9" t="inlineStr">
        <is>
          <t>Semester End Examination (SEE) — Even Semester</t>
        </is>
      </c>
      <c r="D34" s="10" t="inlineStr"/>
      <c r="E34" s="10" t="inlineStr"/>
      <c r="F34" s="10" t="inlineStr"/>
      <c r="G34" s="10" t="inlineStr">
        <is>
          <t>Planned</t>
        </is>
      </c>
      <c r="H34" s="10" t="inlineStr"/>
      <c r="I34" s="10" t="inlineStr"/>
      <c r="J34" s="9" t="inlineStr"/>
    </row>
    <row r="35" ht="24" customHeight="1">
      <c r="B35" s="39" t="n">
        <v>28</v>
      </c>
      <c r="C35" s="40" t="inlineStr">
        <is>
          <t>University examination season</t>
        </is>
      </c>
      <c r="D35" s="41" t="inlineStr"/>
      <c r="E35" s="41" t="inlineStr"/>
      <c r="F35" s="41" t="inlineStr"/>
      <c r="G35" s="41" t="inlineStr">
        <is>
          <t>Planned</t>
        </is>
      </c>
      <c r="H35" s="41" t="inlineStr"/>
      <c r="I35" s="41" t="inlineStr"/>
      <c r="J35" s="40" t="inlineStr"/>
    </row>
    <row r="36" ht="24" customHeight="1">
      <c r="B36" s="8" t="n">
        <v>29</v>
      </c>
      <c r="C36" s="9" t="inlineStr">
        <is>
          <t>Results declaration — Even Semester</t>
        </is>
      </c>
      <c r="D36" s="10" t="inlineStr"/>
      <c r="E36" s="10" t="inlineStr"/>
      <c r="F36" s="10" t="inlineStr"/>
      <c r="G36" s="10" t="inlineStr">
        <is>
          <t>Planned</t>
        </is>
      </c>
      <c r="H36" s="10" t="inlineStr"/>
      <c r="I36" s="10" t="inlineStr"/>
      <c r="J36" s="9" t="inlineStr"/>
    </row>
    <row r="37" ht="24" customHeight="1">
      <c r="B37" s="39" t="n">
        <v>30</v>
      </c>
      <c r="C37" s="40" t="inlineStr">
        <is>
          <t>Convocation / Annual Day</t>
        </is>
      </c>
      <c r="D37" s="41" t="inlineStr"/>
      <c r="E37" s="41" t="inlineStr"/>
      <c r="F37" s="41" t="inlineStr"/>
      <c r="G37" s="41" t="inlineStr">
        <is>
          <t>Planned</t>
        </is>
      </c>
      <c r="H37" s="41" t="inlineStr"/>
      <c r="I37" s="41" t="inlineStr"/>
      <c r="J37" s="40" t="inlineStr"/>
    </row>
    <row r="38" ht="24" customHeight="1"/>
    <row r="39" ht="24" customHeight="1">
      <c r="B39" s="34" t="inlineStr">
        <is>
          <t>YEAR-ROUND ACADEMIC ACTIVITIES</t>
        </is>
      </c>
    </row>
    <row r="40" ht="24" customHeight="1">
      <c r="B40" s="31" t="n">
        <v>31</v>
      </c>
      <c r="C40" s="32" t="inlineStr">
        <is>
          <t>Academic Council meeting (annual)</t>
        </is>
      </c>
      <c r="D40" s="33" t="inlineStr"/>
      <c r="E40" s="33" t="inlineStr"/>
      <c r="F40" s="33" t="inlineStr"/>
      <c r="G40" s="33" t="inlineStr">
        <is>
          <t>Planned</t>
        </is>
      </c>
      <c r="H40" s="33" t="inlineStr"/>
      <c r="I40" s="33" t="inlineStr"/>
      <c r="J40" s="32" t="inlineStr"/>
    </row>
    <row r="41" ht="24" customHeight="1">
      <c r="B41" s="8" t="n">
        <v>32</v>
      </c>
      <c r="C41" s="9" t="inlineStr">
        <is>
          <t>Board of Studies meetings — Dept.-wise</t>
        </is>
      </c>
      <c r="D41" s="10" t="inlineStr"/>
      <c r="E41" s="10" t="inlineStr"/>
      <c r="F41" s="10" t="inlineStr"/>
      <c r="G41" s="10" t="inlineStr">
        <is>
          <t>Planned</t>
        </is>
      </c>
      <c r="H41" s="10" t="inlineStr"/>
      <c r="I41" s="10" t="inlineStr"/>
      <c r="J41" s="9" t="inlineStr"/>
    </row>
    <row r="42" ht="24" customHeight="1">
      <c r="B42" s="31" t="n">
        <v>33</v>
      </c>
      <c r="C42" s="32" t="inlineStr">
        <is>
          <t>CAC meetings (minimum 4 per year)</t>
        </is>
      </c>
      <c r="D42" s="33" t="inlineStr"/>
      <c r="E42" s="33" t="inlineStr"/>
      <c r="F42" s="33" t="inlineStr"/>
      <c r="G42" s="33" t="inlineStr">
        <is>
          <t>Planned</t>
        </is>
      </c>
      <c r="H42" s="33" t="inlineStr"/>
      <c r="I42" s="33" t="inlineStr"/>
      <c r="J42" s="32" t="inlineStr"/>
    </row>
    <row r="43" ht="24" customHeight="1">
      <c r="B43" s="8" t="n">
        <v>34</v>
      </c>
      <c r="C43" s="9" t="inlineStr">
        <is>
          <t>Faculty FDP / Training sessions</t>
        </is>
      </c>
      <c r="D43" s="10" t="inlineStr"/>
      <c r="E43" s="10" t="inlineStr"/>
      <c r="F43" s="10" t="inlineStr"/>
      <c r="G43" s="10" t="inlineStr">
        <is>
          <t>Planned</t>
        </is>
      </c>
      <c r="H43" s="10" t="inlineStr"/>
      <c r="I43" s="10" t="inlineStr"/>
      <c r="J43" s="9" t="inlineStr"/>
    </row>
    <row r="44" ht="24" customHeight="1">
      <c r="B44" s="31" t="n">
        <v>35</v>
      </c>
      <c r="C44" s="32" t="inlineStr">
        <is>
          <t>Student feedback collection (each semester)</t>
        </is>
      </c>
      <c r="D44" s="33" t="inlineStr"/>
      <c r="E44" s="33" t="inlineStr"/>
      <c r="F44" s="33" t="inlineStr"/>
      <c r="G44" s="33" t="inlineStr">
        <is>
          <t>Planned</t>
        </is>
      </c>
      <c r="H44" s="33" t="inlineStr"/>
      <c r="I44" s="33" t="inlineStr"/>
      <c r="J44" s="32" t="inlineStr"/>
    </row>
    <row r="45" ht="24" customHeight="1">
      <c r="B45" s="8" t="n">
        <v>36</v>
      </c>
      <c r="C45" s="9" t="inlineStr">
        <is>
          <t>NAAC AQAR data compilation</t>
        </is>
      </c>
      <c r="D45" s="10" t="inlineStr"/>
      <c r="E45" s="10" t="inlineStr"/>
      <c r="F45" s="10" t="inlineStr"/>
      <c r="G45" s="10" t="inlineStr">
        <is>
          <t>Planned</t>
        </is>
      </c>
      <c r="H45" s="10" t="inlineStr"/>
      <c r="I45" s="10" t="inlineStr"/>
      <c r="J45" s="9" t="inlineStr"/>
    </row>
    <row r="46" ht="24" customHeight="1">
      <c r="B46" s="31" t="n">
        <v>37</v>
      </c>
      <c r="C46" s="32" t="inlineStr">
        <is>
          <t>Annual academic audit</t>
        </is>
      </c>
      <c r="D46" s="33" t="inlineStr"/>
      <c r="E46" s="33" t="inlineStr"/>
      <c r="F46" s="33" t="inlineStr"/>
      <c r="G46" s="33" t="inlineStr">
        <is>
          <t>Planned</t>
        </is>
      </c>
      <c r="H46" s="33" t="inlineStr"/>
      <c r="I46" s="33" t="inlineStr"/>
      <c r="J46" s="32" t="inlineStr"/>
    </row>
    <row r="47" ht="24" customHeight="1">
      <c r="B47" s="8" t="n">
        <v>38</v>
      </c>
      <c r="C47" s="9" t="inlineStr">
        <is>
          <t>Campus Placement drives</t>
        </is>
      </c>
      <c r="D47" s="10" t="inlineStr"/>
      <c r="E47" s="10" t="inlineStr"/>
      <c r="F47" s="10" t="inlineStr"/>
      <c r="G47" s="10" t="inlineStr">
        <is>
          <t>Planned</t>
        </is>
      </c>
      <c r="H47" s="10" t="inlineStr"/>
      <c r="I47" s="10" t="inlineStr"/>
      <c r="J47" s="9" t="inlineStr"/>
    </row>
    <row r="48" ht="24" customHeight="1">
      <c r="B48" s="31" t="n">
        <v>39</v>
      </c>
      <c r="C48" s="32" t="inlineStr">
        <is>
          <t>Research / publication submission deadlines</t>
        </is>
      </c>
      <c r="D48" s="33" t="inlineStr"/>
      <c r="E48" s="33" t="inlineStr"/>
      <c r="F48" s="33" t="inlineStr"/>
      <c r="G48" s="33" t="inlineStr">
        <is>
          <t>Planned</t>
        </is>
      </c>
      <c r="H48" s="33" t="inlineStr"/>
      <c r="I48" s="33" t="inlineStr"/>
      <c r="J48" s="32" t="inlineStr"/>
    </row>
    <row r="49" ht="24" customHeight="1">
      <c r="B49" s="8" t="n">
        <v>40</v>
      </c>
      <c r="C49" s="9" t="inlineStr">
        <is>
          <t>Alumni Meet / Academic Forum</t>
        </is>
      </c>
      <c r="D49" s="10" t="inlineStr"/>
      <c r="E49" s="10" t="inlineStr"/>
      <c r="F49" s="10" t="inlineStr"/>
      <c r="G49" s="10" t="inlineStr">
        <is>
          <t>Planned</t>
        </is>
      </c>
      <c r="H49" s="10" t="inlineStr"/>
      <c r="I49" s="10" t="inlineStr"/>
      <c r="J49" s="9" t="inlineStr"/>
    </row>
  </sheetData>
  <mergeCells count="5">
    <mergeCell ref="B3:J3"/>
    <mergeCell ref="B5:J5"/>
    <mergeCell ref="B22:J22"/>
    <mergeCell ref="B39:J39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CAC-05: CURRICULUM REVIEW &amp; REVISION REGISTER</t>
        </is>
      </c>
    </row>
    <row r="3" ht="25" customHeight="1">
      <c r="B3" s="2" t="inlineStr">
        <is>
          <t>A.Y.: _______  CAC Coordinator: ___________________  University Affiliation: ___________________</t>
        </is>
      </c>
    </row>
    <row r="4" ht="25" customHeight="1">
      <c r="B4" s="13" t="inlineStr">
        <is>
          <t>Revision
Ref.</t>
        </is>
      </c>
      <c r="C4" s="13" t="inlineStr">
        <is>
          <t>Programme /
Course</t>
        </is>
      </c>
      <c r="D4" s="13" t="inlineStr">
        <is>
          <t>Department</t>
        </is>
      </c>
      <c r="E4" s="13" t="inlineStr">
        <is>
          <t>Type of
Revision</t>
        </is>
      </c>
      <c r="F4" s="13" t="inlineStr">
        <is>
          <t>Initiated
By</t>
        </is>
      </c>
      <c r="G4" s="13" t="inlineStr">
        <is>
          <t>BoS
Approval</t>
        </is>
      </c>
      <c r="H4" s="13" t="inlineStr">
        <is>
          <t>CAC
Approval</t>
        </is>
      </c>
      <c r="I4" s="13" t="inlineStr">
        <is>
          <t>University
Approval</t>
        </is>
      </c>
      <c r="J4" s="13" t="inlineStr">
        <is>
          <t>Implementation
Semester</t>
        </is>
      </c>
    </row>
    <row r="5" ht="22" customHeight="1">
      <c r="B5" s="14" t="inlineStr">
        <is>
          <t>CR/001</t>
        </is>
      </c>
      <c r="C5" s="15" t="inlineStr"/>
      <c r="D5" s="16" t="inlineStr">
        <is>
          <t>CSE</t>
        </is>
      </c>
      <c r="E5" s="16" t="inlineStr">
        <is>
          <t>New Course Introduction</t>
        </is>
      </c>
      <c r="F5" s="16" t="inlineStr">
        <is>
          <t>HoD / BoS</t>
        </is>
      </c>
      <c r="G5" s="16" t="inlineStr"/>
      <c r="H5" s="16" t="inlineStr"/>
      <c r="I5" s="16" t="inlineStr"/>
      <c r="J5" s="16" t="inlineStr"/>
    </row>
    <row r="6" ht="22" customHeight="1">
      <c r="B6" s="8" t="inlineStr">
        <is>
          <t>CR/002</t>
        </is>
      </c>
      <c r="C6" s="9" t="inlineStr"/>
      <c r="D6" s="10" t="inlineStr">
        <is>
          <t>ECE</t>
        </is>
      </c>
      <c r="E6" s="10" t="inlineStr">
        <is>
          <t>Course Content Update</t>
        </is>
      </c>
      <c r="F6" s="10" t="inlineStr">
        <is>
          <t>HoD / BoS</t>
        </is>
      </c>
      <c r="G6" s="10" t="inlineStr"/>
      <c r="H6" s="10" t="inlineStr"/>
      <c r="I6" s="10" t="inlineStr"/>
      <c r="J6" s="10" t="inlineStr"/>
    </row>
    <row r="7" ht="22" customHeight="1">
      <c r="B7" s="14" t="inlineStr">
        <is>
          <t>CR/003</t>
        </is>
      </c>
      <c r="C7" s="15" t="inlineStr"/>
      <c r="D7" s="16" t="inlineStr">
        <is>
          <t>EEE</t>
        </is>
      </c>
      <c r="E7" s="16" t="inlineStr">
        <is>
          <t>Credit Revision</t>
        </is>
      </c>
      <c r="F7" s="16" t="inlineStr">
        <is>
          <t>HoD / BoS</t>
        </is>
      </c>
      <c r="G7" s="16" t="inlineStr"/>
      <c r="H7" s="16" t="inlineStr"/>
      <c r="I7" s="16" t="inlineStr"/>
      <c r="J7" s="16" t="inlineStr"/>
    </row>
    <row r="8" ht="22" customHeight="1">
      <c r="B8" s="8" t="inlineStr">
        <is>
          <t>CR/004</t>
        </is>
      </c>
      <c r="C8" s="9" t="inlineStr"/>
      <c r="D8" s="10" t="inlineStr">
        <is>
          <t>Mechanical</t>
        </is>
      </c>
      <c r="E8" s="10" t="inlineStr">
        <is>
          <t>Course Deletion</t>
        </is>
      </c>
      <c r="F8" s="10" t="inlineStr">
        <is>
          <t>HoD / BoS</t>
        </is>
      </c>
      <c r="G8" s="10" t="inlineStr"/>
      <c r="H8" s="10" t="inlineStr"/>
      <c r="I8" s="10" t="inlineStr"/>
      <c r="J8" s="10" t="inlineStr"/>
    </row>
    <row r="9" ht="22" customHeight="1">
      <c r="B9" s="14" t="inlineStr">
        <is>
          <t>CR/005</t>
        </is>
      </c>
      <c r="C9" s="15" t="inlineStr"/>
      <c r="D9" s="16" t="inlineStr">
        <is>
          <t>Civil</t>
        </is>
      </c>
      <c r="E9" s="16" t="inlineStr">
        <is>
          <t>Elective Basket Addition</t>
        </is>
      </c>
      <c r="F9" s="16" t="inlineStr">
        <is>
          <t>HoD / BoS</t>
        </is>
      </c>
      <c r="G9" s="16" t="inlineStr"/>
      <c r="H9" s="16" t="inlineStr"/>
      <c r="I9" s="16" t="inlineStr"/>
      <c r="J9" s="16" t="inlineStr"/>
    </row>
    <row r="10" ht="22" customHeight="1">
      <c r="B10" s="8" t="inlineStr">
        <is>
          <t>CR/006</t>
        </is>
      </c>
      <c r="C10" s="9" t="inlineStr"/>
      <c r="D10" s="10" t="inlineStr">
        <is>
          <t>S&amp;H</t>
        </is>
      </c>
      <c r="E10" s="10" t="inlineStr">
        <is>
          <t>Lab Addition / Modification</t>
        </is>
      </c>
      <c r="F10" s="10" t="inlineStr">
        <is>
          <t>HoD / BoS</t>
        </is>
      </c>
      <c r="G10" s="10" t="inlineStr"/>
      <c r="H10" s="10" t="inlineStr"/>
      <c r="I10" s="10" t="inlineStr"/>
      <c r="J10" s="10" t="inlineStr"/>
    </row>
    <row r="11" ht="22" customHeight="1">
      <c r="B11" s="14" t="inlineStr">
        <is>
          <t>CR/007</t>
        </is>
      </c>
      <c r="C11" s="15" t="inlineStr"/>
      <c r="D11" s="16" t="inlineStr">
        <is>
          <t>MBA</t>
        </is>
      </c>
      <c r="E11" s="16" t="inlineStr">
        <is>
          <t>Industry-aligned Update</t>
        </is>
      </c>
      <c r="F11" s="16" t="inlineStr">
        <is>
          <t>HoD / BoS</t>
        </is>
      </c>
      <c r="G11" s="16" t="inlineStr"/>
      <c r="H11" s="16" t="inlineStr"/>
      <c r="I11" s="16" t="inlineStr"/>
      <c r="J11" s="16" t="inlineStr"/>
    </row>
    <row r="12" ht="22" customHeight="1">
      <c r="B12" s="8" t="inlineStr">
        <is>
          <t>CR/008</t>
        </is>
      </c>
      <c r="C12" s="9" t="inlineStr"/>
      <c r="D12" s="10" t="inlineStr">
        <is>
          <t>MCA</t>
        </is>
      </c>
      <c r="E12" s="10" t="inlineStr">
        <is>
          <t>CO/PO Mapping Revision</t>
        </is>
      </c>
      <c r="F12" s="10" t="inlineStr">
        <is>
          <t>HoD / BoS</t>
        </is>
      </c>
      <c r="G12" s="10" t="inlineStr"/>
      <c r="H12" s="10" t="inlineStr"/>
      <c r="I12" s="10" t="inlineStr"/>
      <c r="J12" s="10" t="inlineStr"/>
    </row>
    <row r="13" ht="22" customHeight="1">
      <c r="B13" s="14" t="inlineStr">
        <is>
          <t>CR/009</t>
        </is>
      </c>
      <c r="C13" s="15" t="inlineStr"/>
      <c r="D13" s="16" t="inlineStr">
        <is>
          <t>Pharmacy</t>
        </is>
      </c>
      <c r="E13" s="16" t="inlineStr">
        <is>
          <t>Assessment Pattern Change</t>
        </is>
      </c>
      <c r="F13" s="16" t="inlineStr">
        <is>
          <t>HoD / BoS</t>
        </is>
      </c>
      <c r="G13" s="16" t="inlineStr"/>
      <c r="H13" s="16" t="inlineStr"/>
      <c r="I13" s="16" t="inlineStr"/>
      <c r="J13" s="16" t="inlineStr"/>
    </row>
    <row r="14" ht="22" customHeight="1">
      <c r="B14" s="8" t="inlineStr">
        <is>
          <t>CR/010</t>
        </is>
      </c>
      <c r="C14" s="9" t="inlineStr"/>
      <c r="D14" s="10" t="inlineStr">
        <is>
          <t>Architecture</t>
        </is>
      </c>
      <c r="E14" s="10" t="inlineStr">
        <is>
          <t>Prerequisite Revision</t>
        </is>
      </c>
      <c r="F14" s="10" t="inlineStr">
        <is>
          <t>HoD / BoS</t>
        </is>
      </c>
      <c r="G14" s="10" t="inlineStr"/>
      <c r="H14" s="10" t="inlineStr"/>
      <c r="I14" s="10" t="inlineStr"/>
      <c r="J14" s="10" t="inlineStr"/>
    </row>
    <row r="15" ht="22" customHeight="1">
      <c r="B15" s="14" t="inlineStr">
        <is>
          <t>CR/011</t>
        </is>
      </c>
      <c r="C15" s="15" t="inlineStr"/>
      <c r="D15" s="16" t="inlineStr">
        <is>
          <t>CSE</t>
        </is>
      </c>
      <c r="E15" s="16" t="inlineStr">
        <is>
          <t>New Course Introduction</t>
        </is>
      </c>
      <c r="F15" s="16" t="inlineStr">
        <is>
          <t>HoD / BoS</t>
        </is>
      </c>
      <c r="G15" s="16" t="inlineStr"/>
      <c r="H15" s="16" t="inlineStr"/>
      <c r="I15" s="16" t="inlineStr"/>
      <c r="J15" s="16" t="inlineStr"/>
    </row>
    <row r="16" ht="22" customHeight="1">
      <c r="B16" s="8" t="inlineStr">
        <is>
          <t>CR/012</t>
        </is>
      </c>
      <c r="C16" s="9" t="inlineStr"/>
      <c r="D16" s="10" t="inlineStr">
        <is>
          <t>ECE</t>
        </is>
      </c>
      <c r="E16" s="10" t="inlineStr">
        <is>
          <t>Course Content Update</t>
        </is>
      </c>
      <c r="F16" s="10" t="inlineStr">
        <is>
          <t>HoD / BoS</t>
        </is>
      </c>
      <c r="G16" s="10" t="inlineStr"/>
      <c r="H16" s="10" t="inlineStr"/>
      <c r="I16" s="10" t="inlineStr"/>
      <c r="J16" s="10" t="inlineStr"/>
    </row>
    <row r="17" ht="22" customHeight="1">
      <c r="B17" s="14" t="inlineStr">
        <is>
          <t>CR/013</t>
        </is>
      </c>
      <c r="C17" s="15" t="inlineStr"/>
      <c r="D17" s="16" t="inlineStr">
        <is>
          <t>EEE</t>
        </is>
      </c>
      <c r="E17" s="16" t="inlineStr">
        <is>
          <t>Credit Revision</t>
        </is>
      </c>
      <c r="F17" s="16" t="inlineStr">
        <is>
          <t>HoD / BoS</t>
        </is>
      </c>
      <c r="G17" s="16" t="inlineStr"/>
      <c r="H17" s="16" t="inlineStr"/>
      <c r="I17" s="16" t="inlineStr"/>
      <c r="J17" s="16" t="inlineStr"/>
    </row>
    <row r="18" ht="22" customHeight="1">
      <c r="B18" s="8" t="inlineStr">
        <is>
          <t>CR/014</t>
        </is>
      </c>
      <c r="C18" s="9" t="inlineStr"/>
      <c r="D18" s="10" t="inlineStr">
        <is>
          <t>Mechanical</t>
        </is>
      </c>
      <c r="E18" s="10" t="inlineStr">
        <is>
          <t>Course Deletion</t>
        </is>
      </c>
      <c r="F18" s="10" t="inlineStr">
        <is>
          <t>HoD / BoS</t>
        </is>
      </c>
      <c r="G18" s="10" t="inlineStr"/>
      <c r="H18" s="10" t="inlineStr"/>
      <c r="I18" s="10" t="inlineStr"/>
      <c r="J18" s="10" t="inlineStr"/>
    </row>
    <row r="19" ht="22" customHeight="1">
      <c r="B19" s="14" t="inlineStr">
        <is>
          <t>CR/015</t>
        </is>
      </c>
      <c r="C19" s="15" t="inlineStr"/>
      <c r="D19" s="16" t="inlineStr">
        <is>
          <t>Civil</t>
        </is>
      </c>
      <c r="E19" s="16" t="inlineStr">
        <is>
          <t>Elective Basket Addition</t>
        </is>
      </c>
      <c r="F19" s="16" t="inlineStr">
        <is>
          <t>HoD / BoS</t>
        </is>
      </c>
      <c r="G19" s="16" t="inlineStr"/>
      <c r="H19" s="16" t="inlineStr"/>
      <c r="I19" s="16" t="inlineStr"/>
      <c r="J19" s="16" t="inlineStr"/>
    </row>
    <row r="20" ht="22" customHeight="1">
      <c r="B20" s="8" t="inlineStr">
        <is>
          <t>CR/016</t>
        </is>
      </c>
      <c r="C20" s="9" t="inlineStr"/>
      <c r="D20" s="10" t="inlineStr">
        <is>
          <t>S&amp;H</t>
        </is>
      </c>
      <c r="E20" s="10" t="inlineStr">
        <is>
          <t>Lab Addition / Modification</t>
        </is>
      </c>
      <c r="F20" s="10" t="inlineStr">
        <is>
          <t>HoD / BoS</t>
        </is>
      </c>
      <c r="G20" s="10" t="inlineStr"/>
      <c r="H20" s="10" t="inlineStr"/>
      <c r="I20" s="10" t="inlineStr"/>
      <c r="J20" s="10" t="inlineStr"/>
    </row>
    <row r="21" ht="22" customHeight="1">
      <c r="B21" s="14" t="inlineStr">
        <is>
          <t>CR/017</t>
        </is>
      </c>
      <c r="C21" s="15" t="inlineStr"/>
      <c r="D21" s="16" t="inlineStr">
        <is>
          <t>MBA</t>
        </is>
      </c>
      <c r="E21" s="16" t="inlineStr">
        <is>
          <t>Industry-aligned Update</t>
        </is>
      </c>
      <c r="F21" s="16" t="inlineStr">
        <is>
          <t>HoD / BoS</t>
        </is>
      </c>
      <c r="G21" s="16" t="inlineStr"/>
      <c r="H21" s="16" t="inlineStr"/>
      <c r="I21" s="16" t="inlineStr"/>
      <c r="J21" s="16" t="inlineStr"/>
    </row>
    <row r="22" ht="22" customHeight="1">
      <c r="B22" s="8" t="inlineStr">
        <is>
          <t>CR/018</t>
        </is>
      </c>
      <c r="C22" s="9" t="inlineStr"/>
      <c r="D22" s="10" t="inlineStr">
        <is>
          <t>MCA</t>
        </is>
      </c>
      <c r="E22" s="10" t="inlineStr">
        <is>
          <t>CO/PO Mapping Revision</t>
        </is>
      </c>
      <c r="F22" s="10" t="inlineStr">
        <is>
          <t>HoD / BoS</t>
        </is>
      </c>
      <c r="G22" s="10" t="inlineStr"/>
      <c r="H22" s="10" t="inlineStr"/>
      <c r="I22" s="10" t="inlineStr"/>
      <c r="J22" s="10" t="inlineStr"/>
    </row>
    <row r="23" ht="22" customHeight="1">
      <c r="B23" s="14" t="inlineStr">
        <is>
          <t>CR/019</t>
        </is>
      </c>
      <c r="C23" s="15" t="inlineStr"/>
      <c r="D23" s="16" t="inlineStr">
        <is>
          <t>Pharmacy</t>
        </is>
      </c>
      <c r="E23" s="16" t="inlineStr">
        <is>
          <t>Assessment Pattern Change</t>
        </is>
      </c>
      <c r="F23" s="16" t="inlineStr">
        <is>
          <t>HoD / BoS</t>
        </is>
      </c>
      <c r="G23" s="16" t="inlineStr"/>
      <c r="H23" s="16" t="inlineStr"/>
      <c r="I23" s="16" t="inlineStr"/>
      <c r="J23" s="16" t="inlineStr"/>
    </row>
    <row r="24" ht="22" customHeight="1">
      <c r="B24" s="8" t="inlineStr">
        <is>
          <t>CR/020</t>
        </is>
      </c>
      <c r="C24" s="9" t="inlineStr"/>
      <c r="D24" s="10" t="inlineStr">
        <is>
          <t>Architecture</t>
        </is>
      </c>
      <c r="E24" s="10" t="inlineStr">
        <is>
          <t>Prerequisite Revision</t>
        </is>
      </c>
      <c r="F24" s="10" t="inlineStr">
        <is>
          <t>HoD / BoS</t>
        </is>
      </c>
      <c r="G24" s="10" t="inlineStr"/>
      <c r="H24" s="10" t="inlineStr"/>
      <c r="I24" s="10" t="inlineStr"/>
      <c r="J24" s="10" t="inlineStr"/>
    </row>
    <row r="25" ht="22" customHeight="1">
      <c r="B25" s="14" t="inlineStr">
        <is>
          <t>CR/021</t>
        </is>
      </c>
      <c r="C25" s="15" t="inlineStr"/>
      <c r="D25" s="16" t="inlineStr">
        <is>
          <t>CSE</t>
        </is>
      </c>
      <c r="E25" s="16" t="inlineStr">
        <is>
          <t>New Course Introduction</t>
        </is>
      </c>
      <c r="F25" s="16" t="inlineStr">
        <is>
          <t>HoD / BoS</t>
        </is>
      </c>
      <c r="G25" s="16" t="inlineStr"/>
      <c r="H25" s="16" t="inlineStr"/>
      <c r="I25" s="16" t="inlineStr"/>
      <c r="J25" s="16" t="inlineStr"/>
    </row>
    <row r="26" ht="22" customHeight="1">
      <c r="B26" s="8" t="inlineStr">
        <is>
          <t>CR/022</t>
        </is>
      </c>
      <c r="C26" s="9" t="inlineStr"/>
      <c r="D26" s="10" t="inlineStr">
        <is>
          <t>ECE</t>
        </is>
      </c>
      <c r="E26" s="10" t="inlineStr">
        <is>
          <t>Course Content Update</t>
        </is>
      </c>
      <c r="F26" s="10" t="inlineStr">
        <is>
          <t>HoD / BoS</t>
        </is>
      </c>
      <c r="G26" s="10" t="inlineStr"/>
      <c r="H26" s="10" t="inlineStr"/>
      <c r="I26" s="10" t="inlineStr"/>
      <c r="J26" s="10" t="inlineStr"/>
    </row>
    <row r="27" ht="22" customHeight="1"/>
    <row r="28" ht="24" customHeight="1">
      <c r="B28" s="34" t="inlineStr">
        <is>
          <t>CURRICULUM REVISION SUMMARY</t>
        </is>
      </c>
    </row>
    <row r="29" ht="22" customHeight="1">
      <c r="B29" s="42" t="inlineStr">
        <is>
          <t>Total Revisions Initiated</t>
        </is>
      </c>
      <c r="F29" s="36">
        <f>COUNTA(B5:B26)</f>
        <v/>
      </c>
    </row>
    <row r="30">
      <c r="B30" s="25" t="inlineStr">
        <is>
          <t>BoS Approved</t>
        </is>
      </c>
      <c r="F30" s="37">
        <f>COUNTIF(G5:G26,"&lt;&gt;"&amp;"")</f>
        <v/>
      </c>
    </row>
    <row r="31">
      <c r="B31" s="42" t="inlineStr">
        <is>
          <t>CAC Approved</t>
        </is>
      </c>
      <c r="F31" s="36">
        <f>COUNTIF(H5:H26,"&lt;&gt;"&amp;"")</f>
        <v/>
      </c>
    </row>
    <row r="32">
      <c r="B32" s="25" t="inlineStr">
        <is>
          <t>University Approved</t>
        </is>
      </c>
      <c r="F32" s="37">
        <f>COUNTIF(I5:I26,"&lt;&gt;"&amp;"")</f>
        <v/>
      </c>
    </row>
    <row r="33">
      <c r="B33" s="42" t="inlineStr">
        <is>
          <t>Implemented This A.Y.</t>
        </is>
      </c>
      <c r="F33" s="36">
        <f>COUNTIF(J5:J26,"&lt;&gt;"&amp;"")</f>
        <v/>
      </c>
    </row>
    <row r="34">
      <c r="B34" s="25" t="inlineStr">
        <is>
          <t>New Courses Introduced</t>
        </is>
      </c>
      <c r="F34" s="37">
        <f>COUNTIF(E5:E26,"New Course Introduction")</f>
        <v/>
      </c>
    </row>
  </sheetData>
  <mergeCells count="15">
    <mergeCell ref="B31:E31"/>
    <mergeCell ref="F30:J30"/>
    <mergeCell ref="B3:J3"/>
    <mergeCell ref="F29:J29"/>
    <mergeCell ref="B28:J28"/>
    <mergeCell ref="F34:J34"/>
    <mergeCell ref="B30:E30"/>
    <mergeCell ref="B29:E29"/>
    <mergeCell ref="B33:E33"/>
    <mergeCell ref="F33:J33"/>
    <mergeCell ref="F31:J31"/>
    <mergeCell ref="B34:E34"/>
    <mergeCell ref="F32:J32"/>
    <mergeCell ref="B2:J2"/>
    <mergeCell ref="B32:E3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K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CAC-12: LESSON PLAN SUBMISSION &amp; REVIEW REGISTER</t>
        </is>
      </c>
    </row>
    <row r="3" ht="20" customHeight="1">
      <c r="B3" s="17" t="inlineStr">
        <is>
          <t>Lesson plans must be submitted within first week of semester. HoD reviews and signs. CAC spot-checks 20% of lesson plans. Plans must include COs, teaching methods, assessment alignment and resource links.</t>
        </is>
      </c>
    </row>
    <row r="4" ht="25" customHeight="1">
      <c r="B4" s="13" t="inlineStr">
        <is>
          <t>Sl.</t>
        </is>
      </c>
      <c r="C4" s="13" t="inlineStr">
        <is>
          <t>Faculty Name</t>
        </is>
      </c>
      <c r="D4" s="13" t="inlineStr">
        <is>
          <t>Department</t>
        </is>
      </c>
      <c r="E4" s="13" t="inlineStr">
        <is>
          <t>Course Code</t>
        </is>
      </c>
      <c r="F4" s="13" t="inlineStr">
        <is>
          <t>Semester</t>
        </is>
      </c>
      <c r="G4" s="13" t="inlineStr">
        <is>
          <t>Submission
Date</t>
        </is>
      </c>
      <c r="H4" s="13" t="inlineStr">
        <is>
          <t>HoD
Review</t>
        </is>
      </c>
      <c r="I4" s="13" t="inlineStr">
        <is>
          <t>CO
Mapping</t>
        </is>
      </c>
      <c r="J4" s="13" t="inlineStr">
        <is>
          <t>Teaching
Method
Variety</t>
        </is>
      </c>
      <c r="K4" s="13" t="inlineStr">
        <is>
          <t>Status</t>
        </is>
      </c>
    </row>
    <row r="5" ht="22" customHeight="1">
      <c r="B5" s="14" t="n">
        <v>1</v>
      </c>
      <c r="C5" s="15" t="inlineStr"/>
      <c r="D5" s="16" t="inlineStr">
        <is>
          <t>CSE</t>
        </is>
      </c>
      <c r="E5" s="16" t="inlineStr"/>
      <c r="F5" s="16" t="inlineStr"/>
      <c r="G5" s="16" t="inlineStr"/>
      <c r="H5" s="16" t="inlineStr">
        <is>
          <t>Reviewed</t>
        </is>
      </c>
      <c r="I5" s="16" t="inlineStr">
        <is>
          <t>Yes</t>
        </is>
      </c>
      <c r="J5" s="16" t="inlineStr">
        <is>
          <t>Lecture + PPT</t>
        </is>
      </c>
      <c r="K5" s="16" t="inlineStr">
        <is>
          <t>Approved</t>
        </is>
      </c>
    </row>
    <row r="6" ht="22" customHeight="1">
      <c r="B6" s="8" t="n">
        <v>2</v>
      </c>
      <c r="C6" s="9" t="inlineStr"/>
      <c r="D6" s="10" t="inlineStr">
        <is>
          <t>ECE</t>
        </is>
      </c>
      <c r="E6" s="10" t="inlineStr"/>
      <c r="F6" s="10" t="inlineStr"/>
      <c r="G6" s="10" t="inlineStr"/>
      <c r="H6" s="10" t="inlineStr">
        <is>
          <t>Reviewed</t>
        </is>
      </c>
      <c r="I6" s="10" t="inlineStr">
        <is>
          <t>Yes</t>
        </is>
      </c>
      <c r="J6" s="10" t="inlineStr">
        <is>
          <t>Flipped Classroom</t>
        </is>
      </c>
      <c r="K6" s="10" t="inlineStr">
        <is>
          <t>Approved</t>
        </is>
      </c>
    </row>
    <row r="7" ht="22" customHeight="1">
      <c r="B7" s="14" t="n">
        <v>3</v>
      </c>
      <c r="C7" s="15" t="inlineStr"/>
      <c r="D7" s="16" t="inlineStr">
        <is>
          <t>EEE</t>
        </is>
      </c>
      <c r="E7" s="16" t="inlineStr"/>
      <c r="F7" s="16" t="inlineStr"/>
      <c r="G7" s="16" t="inlineStr"/>
      <c r="H7" s="16" t="inlineStr">
        <is>
          <t>Reviewed</t>
        </is>
      </c>
      <c r="I7" s="16" t="inlineStr">
        <is>
          <t>Yes</t>
        </is>
      </c>
      <c r="J7" s="16" t="inlineStr">
        <is>
          <t>Problem-Based Learning</t>
        </is>
      </c>
      <c r="K7" s="16" t="inlineStr">
        <is>
          <t>Approved</t>
        </is>
      </c>
    </row>
    <row r="8" ht="22" customHeight="1">
      <c r="B8" s="8" t="n">
        <v>4</v>
      </c>
      <c r="C8" s="9" t="inlineStr"/>
      <c r="D8" s="10" t="inlineStr">
        <is>
          <t>Mechanical</t>
        </is>
      </c>
      <c r="E8" s="10" t="inlineStr"/>
      <c r="F8" s="10" t="inlineStr"/>
      <c r="G8" s="10" t="inlineStr"/>
      <c r="H8" s="10" t="inlineStr">
        <is>
          <t>Reviewed</t>
        </is>
      </c>
      <c r="I8" s="10" t="inlineStr">
        <is>
          <t>Yes</t>
        </is>
      </c>
      <c r="J8" s="10" t="inlineStr">
        <is>
          <t>Case Study Method</t>
        </is>
      </c>
      <c r="K8" s="10" t="inlineStr">
        <is>
          <t>Approved</t>
        </is>
      </c>
    </row>
    <row r="9" ht="22" customHeight="1">
      <c r="B9" s="14" t="n">
        <v>5</v>
      </c>
      <c r="C9" s="15" t="inlineStr"/>
      <c r="D9" s="16" t="inlineStr">
        <is>
          <t>Civil</t>
        </is>
      </c>
      <c r="E9" s="16" t="inlineStr"/>
      <c r="F9" s="16" t="inlineStr"/>
      <c r="G9" s="16" t="inlineStr"/>
      <c r="H9" s="16" t="inlineStr">
        <is>
          <t>Reviewed</t>
        </is>
      </c>
      <c r="I9" s="16" t="inlineStr">
        <is>
          <t>Yes</t>
        </is>
      </c>
      <c r="J9" s="16" t="inlineStr">
        <is>
          <t>Demonstration / Lab</t>
        </is>
      </c>
      <c r="K9" s="16" t="inlineStr">
        <is>
          <t>Approved</t>
        </is>
      </c>
    </row>
    <row r="10" ht="22" customHeight="1">
      <c r="B10" s="8" t="n">
        <v>6</v>
      </c>
      <c r="C10" s="9" t="inlineStr"/>
      <c r="D10" s="10" t="inlineStr">
        <is>
          <t>S&amp;H</t>
        </is>
      </c>
      <c r="E10" s="10" t="inlineStr"/>
      <c r="F10" s="10" t="inlineStr"/>
      <c r="G10" s="10" t="inlineStr"/>
      <c r="H10" s="10" t="inlineStr">
        <is>
          <t>Reviewed</t>
        </is>
      </c>
      <c r="I10" s="10" t="inlineStr">
        <is>
          <t>Yes</t>
        </is>
      </c>
      <c r="J10" s="10" t="inlineStr">
        <is>
          <t>Project-Based</t>
        </is>
      </c>
      <c r="K10" s="10" t="inlineStr">
        <is>
          <t>Approved</t>
        </is>
      </c>
    </row>
    <row r="11" ht="22" customHeight="1">
      <c r="B11" s="14" t="n">
        <v>7</v>
      </c>
      <c r="C11" s="15" t="inlineStr"/>
      <c r="D11" s="16" t="inlineStr">
        <is>
          <t>MBA</t>
        </is>
      </c>
      <c r="E11" s="16" t="inlineStr"/>
      <c r="F11" s="16" t="inlineStr"/>
      <c r="G11" s="16" t="inlineStr"/>
      <c r="H11" s="16" t="inlineStr">
        <is>
          <t>Reviewed</t>
        </is>
      </c>
      <c r="I11" s="16" t="inlineStr">
        <is>
          <t>Yes</t>
        </is>
      </c>
      <c r="J11" s="16" t="inlineStr">
        <is>
          <t>Peer Teaching</t>
        </is>
      </c>
      <c r="K11" s="16" t="inlineStr">
        <is>
          <t>Approved</t>
        </is>
      </c>
    </row>
    <row r="12" ht="22" customHeight="1">
      <c r="B12" s="8" t="n">
        <v>8</v>
      </c>
      <c r="C12" s="9" t="inlineStr"/>
      <c r="D12" s="10" t="inlineStr">
        <is>
          <t>MCA</t>
        </is>
      </c>
      <c r="E12" s="10" t="inlineStr"/>
      <c r="F12" s="10" t="inlineStr"/>
      <c r="G12" s="10" t="inlineStr"/>
      <c r="H12" s="10" t="inlineStr">
        <is>
          <t>Reviewed</t>
        </is>
      </c>
      <c r="I12" s="10" t="inlineStr">
        <is>
          <t>Yes</t>
        </is>
      </c>
      <c r="J12" s="10" t="inlineStr">
        <is>
          <t>Blended / Online</t>
        </is>
      </c>
      <c r="K12" s="10" t="inlineStr">
        <is>
          <t>Approved</t>
        </is>
      </c>
    </row>
    <row r="13" ht="22" customHeight="1">
      <c r="B13" s="14" t="n">
        <v>9</v>
      </c>
      <c r="C13" s="15" t="inlineStr"/>
      <c r="D13" s="16" t="inlineStr">
        <is>
          <t>Pharmacy</t>
        </is>
      </c>
      <c r="E13" s="16" t="inlineStr"/>
      <c r="F13" s="16" t="inlineStr"/>
      <c r="G13" s="16" t="inlineStr"/>
      <c r="H13" s="16" t="inlineStr">
        <is>
          <t>Reviewed</t>
        </is>
      </c>
      <c r="I13" s="16" t="inlineStr">
        <is>
          <t>Yes</t>
        </is>
      </c>
      <c r="J13" s="16" t="inlineStr">
        <is>
          <t>Socratic Method</t>
        </is>
      </c>
      <c r="K13" s="16" t="inlineStr">
        <is>
          <t>Approved</t>
        </is>
      </c>
    </row>
    <row r="14" ht="22" customHeight="1">
      <c r="B14" s="8" t="n">
        <v>10</v>
      </c>
      <c r="C14" s="9" t="inlineStr"/>
      <c r="D14" s="10" t="inlineStr">
        <is>
          <t>Architecture</t>
        </is>
      </c>
      <c r="E14" s="10" t="inlineStr"/>
      <c r="F14" s="10" t="inlineStr"/>
      <c r="G14" s="10" t="inlineStr"/>
      <c r="H14" s="10" t="inlineStr">
        <is>
          <t>Reviewed</t>
        </is>
      </c>
      <c r="I14" s="10" t="inlineStr">
        <is>
          <t>Yes</t>
        </is>
      </c>
      <c r="J14" s="10" t="inlineStr">
        <is>
          <t>Simulation / Role Play</t>
        </is>
      </c>
      <c r="K14" s="10" t="inlineStr">
        <is>
          <t>Approved</t>
        </is>
      </c>
    </row>
    <row r="15" ht="22" customHeight="1">
      <c r="B15" s="14" t="n">
        <v>11</v>
      </c>
      <c r="C15" s="15" t="inlineStr"/>
      <c r="D15" s="16" t="inlineStr">
        <is>
          <t>CSE</t>
        </is>
      </c>
      <c r="E15" s="16" t="inlineStr"/>
      <c r="F15" s="16" t="inlineStr"/>
      <c r="G15" s="16" t="inlineStr"/>
      <c r="H15" s="16" t="inlineStr">
        <is>
          <t>Reviewed</t>
        </is>
      </c>
      <c r="I15" s="16" t="inlineStr">
        <is>
          <t>Yes</t>
        </is>
      </c>
      <c r="J15" s="16" t="inlineStr">
        <is>
          <t>Lecture + PPT</t>
        </is>
      </c>
      <c r="K15" s="16" t="inlineStr">
        <is>
          <t>Approved</t>
        </is>
      </c>
    </row>
    <row r="16" ht="22" customHeight="1">
      <c r="B16" s="8" t="n">
        <v>12</v>
      </c>
      <c r="C16" s="9" t="inlineStr"/>
      <c r="D16" s="10" t="inlineStr">
        <is>
          <t>ECE</t>
        </is>
      </c>
      <c r="E16" s="10" t="inlineStr"/>
      <c r="F16" s="10" t="inlineStr"/>
      <c r="G16" s="10" t="inlineStr"/>
      <c r="H16" s="10" t="inlineStr">
        <is>
          <t>Reviewed</t>
        </is>
      </c>
      <c r="I16" s="10" t="inlineStr">
        <is>
          <t>Yes</t>
        </is>
      </c>
      <c r="J16" s="10" t="inlineStr">
        <is>
          <t>Flipped Classroom</t>
        </is>
      </c>
      <c r="K16" s="10" t="inlineStr">
        <is>
          <t>Approved</t>
        </is>
      </c>
    </row>
    <row r="17" ht="22" customHeight="1">
      <c r="B17" s="14" t="n">
        <v>13</v>
      </c>
      <c r="C17" s="15" t="inlineStr"/>
      <c r="D17" s="16" t="inlineStr">
        <is>
          <t>EEE</t>
        </is>
      </c>
      <c r="E17" s="16" t="inlineStr"/>
      <c r="F17" s="16" t="inlineStr"/>
      <c r="G17" s="16" t="inlineStr"/>
      <c r="H17" s="16" t="inlineStr">
        <is>
          <t>Reviewed</t>
        </is>
      </c>
      <c r="I17" s="16" t="inlineStr">
        <is>
          <t>Yes</t>
        </is>
      </c>
      <c r="J17" s="16" t="inlineStr">
        <is>
          <t>Problem-Based Learning</t>
        </is>
      </c>
      <c r="K17" s="16" t="inlineStr">
        <is>
          <t>Approved</t>
        </is>
      </c>
    </row>
    <row r="18" ht="22" customHeight="1">
      <c r="B18" s="8" t="n">
        <v>14</v>
      </c>
      <c r="C18" s="9" t="inlineStr"/>
      <c r="D18" s="10" t="inlineStr">
        <is>
          <t>Mechanical</t>
        </is>
      </c>
      <c r="E18" s="10" t="inlineStr"/>
      <c r="F18" s="10" t="inlineStr"/>
      <c r="G18" s="10" t="inlineStr"/>
      <c r="H18" s="10" t="inlineStr">
        <is>
          <t>Reviewed</t>
        </is>
      </c>
      <c r="I18" s="10" t="inlineStr">
        <is>
          <t>Yes</t>
        </is>
      </c>
      <c r="J18" s="10" t="inlineStr">
        <is>
          <t>Case Study Method</t>
        </is>
      </c>
      <c r="K18" s="10" t="inlineStr">
        <is>
          <t>Approved</t>
        </is>
      </c>
    </row>
    <row r="19" ht="22" customHeight="1">
      <c r="B19" s="14" t="n">
        <v>15</v>
      </c>
      <c r="C19" s="15" t="inlineStr"/>
      <c r="D19" s="16" t="inlineStr">
        <is>
          <t>Civil</t>
        </is>
      </c>
      <c r="E19" s="16" t="inlineStr"/>
      <c r="F19" s="16" t="inlineStr"/>
      <c r="G19" s="16" t="inlineStr"/>
      <c r="H19" s="16" t="inlineStr">
        <is>
          <t>Reviewed</t>
        </is>
      </c>
      <c r="I19" s="16" t="inlineStr">
        <is>
          <t>Yes</t>
        </is>
      </c>
      <c r="J19" s="16" t="inlineStr">
        <is>
          <t>Demonstration / Lab</t>
        </is>
      </c>
      <c r="K19" s="16" t="inlineStr">
        <is>
          <t>Approved</t>
        </is>
      </c>
    </row>
    <row r="20" ht="22" customHeight="1">
      <c r="B20" s="8" t="n">
        <v>16</v>
      </c>
      <c r="C20" s="9" t="inlineStr"/>
      <c r="D20" s="10" t="inlineStr">
        <is>
          <t>S&amp;H</t>
        </is>
      </c>
      <c r="E20" s="10" t="inlineStr"/>
      <c r="F20" s="10" t="inlineStr"/>
      <c r="G20" s="10" t="inlineStr"/>
      <c r="H20" s="10" t="inlineStr">
        <is>
          <t>Reviewed</t>
        </is>
      </c>
      <c r="I20" s="10" t="inlineStr">
        <is>
          <t>Yes</t>
        </is>
      </c>
      <c r="J20" s="10" t="inlineStr">
        <is>
          <t>Project-Based</t>
        </is>
      </c>
      <c r="K20" s="10" t="inlineStr">
        <is>
          <t>Approved</t>
        </is>
      </c>
    </row>
    <row r="21" ht="22" customHeight="1">
      <c r="B21" s="14" t="n">
        <v>17</v>
      </c>
      <c r="C21" s="15" t="inlineStr"/>
      <c r="D21" s="16" t="inlineStr">
        <is>
          <t>MBA</t>
        </is>
      </c>
      <c r="E21" s="16" t="inlineStr"/>
      <c r="F21" s="16" t="inlineStr"/>
      <c r="G21" s="16" t="inlineStr"/>
      <c r="H21" s="16" t="inlineStr">
        <is>
          <t>Reviewed</t>
        </is>
      </c>
      <c r="I21" s="16" t="inlineStr">
        <is>
          <t>Yes</t>
        </is>
      </c>
      <c r="J21" s="16" t="inlineStr">
        <is>
          <t>Peer Teaching</t>
        </is>
      </c>
      <c r="K21" s="16" t="inlineStr">
        <is>
          <t>Approved</t>
        </is>
      </c>
    </row>
    <row r="22" ht="22" customHeight="1">
      <c r="B22" s="8" t="n">
        <v>18</v>
      </c>
      <c r="C22" s="9" t="inlineStr"/>
      <c r="D22" s="10" t="inlineStr">
        <is>
          <t>MCA</t>
        </is>
      </c>
      <c r="E22" s="10" t="inlineStr"/>
      <c r="F22" s="10" t="inlineStr"/>
      <c r="G22" s="10" t="inlineStr"/>
      <c r="H22" s="10" t="inlineStr">
        <is>
          <t>Reviewed</t>
        </is>
      </c>
      <c r="I22" s="10" t="inlineStr">
        <is>
          <t>Yes</t>
        </is>
      </c>
      <c r="J22" s="10" t="inlineStr">
        <is>
          <t>Blended / Online</t>
        </is>
      </c>
      <c r="K22" s="10" t="inlineStr">
        <is>
          <t>Approved</t>
        </is>
      </c>
    </row>
    <row r="23" ht="22" customHeight="1">
      <c r="B23" s="14" t="n">
        <v>19</v>
      </c>
      <c r="C23" s="15" t="inlineStr"/>
      <c r="D23" s="16" t="inlineStr">
        <is>
          <t>Pharmacy</t>
        </is>
      </c>
      <c r="E23" s="16" t="inlineStr"/>
      <c r="F23" s="16" t="inlineStr"/>
      <c r="G23" s="16" t="inlineStr"/>
      <c r="H23" s="16" t="inlineStr">
        <is>
          <t>Reviewed</t>
        </is>
      </c>
      <c r="I23" s="16" t="inlineStr">
        <is>
          <t>Yes</t>
        </is>
      </c>
      <c r="J23" s="16" t="inlineStr">
        <is>
          <t>Socratic Method</t>
        </is>
      </c>
      <c r="K23" s="16" t="inlineStr">
        <is>
          <t>Approved</t>
        </is>
      </c>
    </row>
    <row r="24" ht="22" customHeight="1">
      <c r="B24" s="8" t="n">
        <v>20</v>
      </c>
      <c r="C24" s="9" t="inlineStr"/>
      <c r="D24" s="10" t="inlineStr">
        <is>
          <t>Architecture</t>
        </is>
      </c>
      <c r="E24" s="10" t="inlineStr"/>
      <c r="F24" s="10" t="inlineStr"/>
      <c r="G24" s="10" t="inlineStr"/>
      <c r="H24" s="10" t="inlineStr">
        <is>
          <t>Reviewed</t>
        </is>
      </c>
      <c r="I24" s="10" t="inlineStr">
        <is>
          <t>Yes</t>
        </is>
      </c>
      <c r="J24" s="10" t="inlineStr">
        <is>
          <t>Simulation / Role Play</t>
        </is>
      </c>
      <c r="K24" s="10" t="inlineStr">
        <is>
          <t>Approved</t>
        </is>
      </c>
    </row>
    <row r="25" ht="22" customHeight="1">
      <c r="B25" s="14" t="n">
        <v>21</v>
      </c>
      <c r="C25" s="15" t="inlineStr"/>
      <c r="D25" s="16" t="inlineStr">
        <is>
          <t>CSE</t>
        </is>
      </c>
      <c r="E25" s="16" t="inlineStr"/>
      <c r="F25" s="16" t="inlineStr"/>
      <c r="G25" s="16" t="inlineStr"/>
      <c r="H25" s="16" t="inlineStr">
        <is>
          <t>Reviewed</t>
        </is>
      </c>
      <c r="I25" s="16" t="inlineStr">
        <is>
          <t>Yes</t>
        </is>
      </c>
      <c r="J25" s="16" t="inlineStr">
        <is>
          <t>Lecture + PPT</t>
        </is>
      </c>
      <c r="K25" s="16" t="inlineStr">
        <is>
          <t>Approved</t>
        </is>
      </c>
    </row>
    <row r="26" ht="22" customHeight="1">
      <c r="B26" s="8" t="n">
        <v>22</v>
      </c>
      <c r="C26" s="9" t="inlineStr"/>
      <c r="D26" s="10" t="inlineStr">
        <is>
          <t>ECE</t>
        </is>
      </c>
      <c r="E26" s="10" t="inlineStr"/>
      <c r="F26" s="10" t="inlineStr"/>
      <c r="G26" s="10" t="inlineStr"/>
      <c r="H26" s="10" t="inlineStr">
        <is>
          <t>Reviewed</t>
        </is>
      </c>
      <c r="I26" s="10" t="inlineStr">
        <is>
          <t>Yes</t>
        </is>
      </c>
      <c r="J26" s="10" t="inlineStr">
        <is>
          <t>Flipped Classroom</t>
        </is>
      </c>
      <c r="K26" s="10" t="inlineStr">
        <is>
          <t>Approved</t>
        </is>
      </c>
    </row>
    <row r="27" ht="22" customHeight="1">
      <c r="B27" s="14" t="n">
        <v>23</v>
      </c>
      <c r="C27" s="15" t="inlineStr"/>
      <c r="D27" s="16" t="inlineStr">
        <is>
          <t>EEE</t>
        </is>
      </c>
      <c r="E27" s="16" t="inlineStr"/>
      <c r="F27" s="16" t="inlineStr"/>
      <c r="G27" s="16" t="inlineStr"/>
      <c r="H27" s="16" t="inlineStr">
        <is>
          <t>Reviewed</t>
        </is>
      </c>
      <c r="I27" s="16" t="inlineStr">
        <is>
          <t>Yes</t>
        </is>
      </c>
      <c r="J27" s="16" t="inlineStr">
        <is>
          <t>Problem-Based Learning</t>
        </is>
      </c>
      <c r="K27" s="16" t="inlineStr">
        <is>
          <t>Approved</t>
        </is>
      </c>
    </row>
    <row r="28" ht="22" customHeight="1">
      <c r="B28" s="8" t="n">
        <v>24</v>
      </c>
      <c r="C28" s="9" t="inlineStr"/>
      <c r="D28" s="10" t="inlineStr">
        <is>
          <t>Mechanical</t>
        </is>
      </c>
      <c r="E28" s="10" t="inlineStr"/>
      <c r="F28" s="10" t="inlineStr"/>
      <c r="G28" s="10" t="inlineStr"/>
      <c r="H28" s="10" t="inlineStr">
        <is>
          <t>Reviewed</t>
        </is>
      </c>
      <c r="I28" s="10" t="inlineStr">
        <is>
          <t>Yes</t>
        </is>
      </c>
      <c r="J28" s="10" t="inlineStr">
        <is>
          <t>Case Study Method</t>
        </is>
      </c>
      <c r="K28" s="10" t="inlineStr">
        <is>
          <t>Approved</t>
        </is>
      </c>
    </row>
    <row r="29" ht="22" customHeight="1">
      <c r="B29" s="14" t="n">
        <v>25</v>
      </c>
      <c r="C29" s="15" t="inlineStr"/>
      <c r="D29" s="16" t="inlineStr">
        <is>
          <t>Civil</t>
        </is>
      </c>
      <c r="E29" s="16" t="inlineStr"/>
      <c r="F29" s="16" t="inlineStr"/>
      <c r="G29" s="16" t="inlineStr"/>
      <c r="H29" s="16" t="inlineStr">
        <is>
          <t>Reviewed</t>
        </is>
      </c>
      <c r="I29" s="16" t="inlineStr">
        <is>
          <t>Yes</t>
        </is>
      </c>
      <c r="J29" s="16" t="inlineStr">
        <is>
          <t>Demonstration / Lab</t>
        </is>
      </c>
      <c r="K29" s="16" t="inlineStr">
        <is>
          <t>Approved</t>
        </is>
      </c>
    </row>
    <row r="30" ht="22" customHeight="1">
      <c r="B30" s="8" t="n">
        <v>26</v>
      </c>
      <c r="C30" s="9" t="inlineStr"/>
      <c r="D30" s="10" t="inlineStr">
        <is>
          <t>S&amp;H</t>
        </is>
      </c>
      <c r="E30" s="10" t="inlineStr"/>
      <c r="F30" s="10" t="inlineStr"/>
      <c r="G30" s="10" t="inlineStr"/>
      <c r="H30" s="10" t="inlineStr">
        <is>
          <t>Reviewed</t>
        </is>
      </c>
      <c r="I30" s="10" t="inlineStr">
        <is>
          <t>Yes</t>
        </is>
      </c>
      <c r="J30" s="10" t="inlineStr">
        <is>
          <t>Project-Based</t>
        </is>
      </c>
      <c r="K30" s="10" t="inlineStr">
        <is>
          <t>Approved</t>
        </is>
      </c>
    </row>
    <row r="31" ht="22" customHeight="1"/>
    <row r="32" ht="24" customHeight="1">
      <c r="B32" s="34" t="inlineStr">
        <is>
          <t>LESSON PLAN COMPLIANCE SUMMARY</t>
        </is>
      </c>
    </row>
    <row r="33" ht="22" customHeight="1">
      <c r="B33" s="42" t="inlineStr">
        <is>
          <t>Total Faculty</t>
        </is>
      </c>
      <c r="F33" s="36">
        <f>COUNTA(B5:B30)</f>
        <v/>
      </c>
    </row>
    <row r="34">
      <c r="B34" s="25" t="inlineStr">
        <is>
          <t>Plans Submitted on Time</t>
        </is>
      </c>
      <c r="F34" s="37">
        <f>COUNTIF(G5:G30,"&lt;&gt;"&amp;"")</f>
        <v/>
      </c>
    </row>
    <row r="35">
      <c r="B35" s="42" t="inlineStr">
        <is>
          <t>HoD Review Completed</t>
        </is>
      </c>
      <c r="F35" s="36">
        <f>COUNTIF(H5:H30,"Reviewed")</f>
        <v/>
      </c>
    </row>
    <row r="36">
      <c r="B36" s="25" t="inlineStr">
        <is>
          <t>CO Mapping Included</t>
        </is>
      </c>
      <c r="F36" s="37">
        <f>COUNTIF(I5:I30,"Yes")</f>
        <v/>
      </c>
    </row>
    <row r="37">
      <c r="B37" s="42" t="inlineStr">
        <is>
          <t>Approved Plans</t>
        </is>
      </c>
      <c r="F37" s="36">
        <f>COUNTIF(K5:K30,"Approved")</f>
        <v/>
      </c>
    </row>
    <row r="38">
      <c r="B38" s="25" t="inlineStr">
        <is>
          <t>Submission Compliance (%)</t>
        </is>
      </c>
      <c r="F38" s="37">
        <f>IFERROR(ROUND(C38/C37*100,1),"")</f>
        <v/>
      </c>
    </row>
  </sheetData>
  <mergeCells count="15">
    <mergeCell ref="F37:K37"/>
    <mergeCell ref="B36:E36"/>
    <mergeCell ref="F34:K34"/>
    <mergeCell ref="F38:K38"/>
    <mergeCell ref="F33:K33"/>
    <mergeCell ref="B32:K32"/>
    <mergeCell ref="B35:E35"/>
    <mergeCell ref="F36:K36"/>
    <mergeCell ref="B37:E37"/>
    <mergeCell ref="B38:E38"/>
    <mergeCell ref="B33:E33"/>
    <mergeCell ref="F35:K35"/>
    <mergeCell ref="B2:K2"/>
    <mergeCell ref="B3:K3"/>
    <mergeCell ref="B34:E3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K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CAC-20: FACULTY DEVELOPMENT PROGRAMME (FDP) REGISTER</t>
        </is>
      </c>
    </row>
    <row r="3" ht="20" customHeight="1">
      <c r="B3" s="2" t="inlineStr">
        <is>
          <t>A.Y.: _______  CAC Coordinator: ___________________  NAAC Ref.: Criterion II.4 / III.2</t>
        </is>
      </c>
    </row>
    <row r="4" ht="25" customHeight="1">
      <c r="B4" s="13" t="inlineStr">
        <is>
          <t>Sl.</t>
        </is>
      </c>
      <c r="C4" s="13" t="inlineStr">
        <is>
          <t>Faculty Name</t>
        </is>
      </c>
      <c r="D4" s="13" t="inlineStr">
        <is>
          <t>Department</t>
        </is>
      </c>
      <c r="E4" s="13" t="inlineStr">
        <is>
          <t>FDP Title</t>
        </is>
      </c>
      <c r="F4" s="13" t="inlineStr">
        <is>
          <t>Organising
Institution</t>
        </is>
      </c>
      <c r="G4" s="13" t="inlineStr">
        <is>
          <t>Level</t>
        </is>
      </c>
      <c r="H4" s="13" t="inlineStr">
        <is>
          <t>Mode</t>
        </is>
      </c>
      <c r="I4" s="13" t="inlineStr">
        <is>
          <t>Date(s)</t>
        </is>
      </c>
      <c r="J4" s="13" t="inlineStr">
        <is>
          <t>Duration
(Days)</t>
        </is>
      </c>
      <c r="K4" s="13" t="inlineStr">
        <is>
          <t>Certificate
Received</t>
        </is>
      </c>
    </row>
    <row r="5" ht="22" customHeight="1">
      <c r="B5" s="14" t="n">
        <v>1</v>
      </c>
      <c r="C5" s="15" t="inlineStr"/>
      <c r="D5" s="16" t="inlineStr">
        <is>
          <t>CSE</t>
        </is>
      </c>
      <c r="E5" s="15" t="inlineStr"/>
      <c r="F5" s="15" t="inlineStr"/>
      <c r="G5" s="16" t="inlineStr">
        <is>
          <t>Institutional (Internal)</t>
        </is>
      </c>
      <c r="H5" s="16" t="inlineStr">
        <is>
          <t>Physical</t>
        </is>
      </c>
      <c r="I5" s="16" t="inlineStr"/>
      <c r="J5" s="16" t="inlineStr"/>
      <c r="K5" s="16" t="inlineStr">
        <is>
          <t>Y</t>
        </is>
      </c>
    </row>
    <row r="6" ht="22" customHeight="1">
      <c r="B6" s="8" t="n">
        <v>2</v>
      </c>
      <c r="C6" s="9" t="inlineStr"/>
      <c r="D6" s="10" t="inlineStr">
        <is>
          <t>ECE</t>
        </is>
      </c>
      <c r="E6" s="9" t="inlineStr"/>
      <c r="F6" s="9" t="inlineStr"/>
      <c r="G6" s="10" t="inlineStr">
        <is>
          <t>State Level</t>
        </is>
      </c>
      <c r="H6" s="10" t="inlineStr">
        <is>
          <t>Physical</t>
        </is>
      </c>
      <c r="I6" s="10" t="inlineStr"/>
      <c r="J6" s="10" t="inlineStr"/>
      <c r="K6" s="10" t="inlineStr">
        <is>
          <t>Y</t>
        </is>
      </c>
    </row>
    <row r="7" ht="22" customHeight="1">
      <c r="B7" s="14" t="n">
        <v>3</v>
      </c>
      <c r="C7" s="15" t="inlineStr"/>
      <c r="D7" s="16" t="inlineStr">
        <is>
          <t>EEE</t>
        </is>
      </c>
      <c r="E7" s="15" t="inlineStr"/>
      <c r="F7" s="15" t="inlineStr"/>
      <c r="G7" s="16" t="inlineStr">
        <is>
          <t>National Level</t>
        </is>
      </c>
      <c r="H7" s="16" t="inlineStr">
        <is>
          <t>Physical</t>
        </is>
      </c>
      <c r="I7" s="16" t="inlineStr"/>
      <c r="J7" s="16" t="inlineStr"/>
      <c r="K7" s="16" t="inlineStr">
        <is>
          <t>Y</t>
        </is>
      </c>
    </row>
    <row r="8" ht="22" customHeight="1">
      <c r="B8" s="8" t="n">
        <v>4</v>
      </c>
      <c r="C8" s="9" t="inlineStr"/>
      <c r="D8" s="10" t="inlineStr">
        <is>
          <t>Mechanical</t>
        </is>
      </c>
      <c r="E8" s="9" t="inlineStr"/>
      <c r="F8" s="9" t="inlineStr"/>
      <c r="G8" s="10" t="inlineStr">
        <is>
          <t>International Level</t>
        </is>
      </c>
      <c r="H8" s="10" t="inlineStr">
        <is>
          <t>Physical</t>
        </is>
      </c>
      <c r="I8" s="10" t="inlineStr"/>
      <c r="J8" s="10" t="inlineStr"/>
      <c r="K8" s="10" t="inlineStr">
        <is>
          <t>Y</t>
        </is>
      </c>
    </row>
    <row r="9" ht="22" customHeight="1">
      <c r="B9" s="14" t="n">
        <v>5</v>
      </c>
      <c r="C9" s="15" t="inlineStr"/>
      <c r="D9" s="16" t="inlineStr">
        <is>
          <t>Civil</t>
        </is>
      </c>
      <c r="E9" s="15" t="inlineStr"/>
      <c r="F9" s="15" t="inlineStr"/>
      <c r="G9" s="16" t="inlineStr">
        <is>
          <t>AICTE Sponsored</t>
        </is>
      </c>
      <c r="H9" s="16" t="inlineStr">
        <is>
          <t>Physical</t>
        </is>
      </c>
      <c r="I9" s="16" t="inlineStr"/>
      <c r="J9" s="16" t="inlineStr"/>
      <c r="K9" s="16" t="inlineStr">
        <is>
          <t>Y</t>
        </is>
      </c>
    </row>
    <row r="10" ht="22" customHeight="1">
      <c r="B10" s="8" t="n">
        <v>6</v>
      </c>
      <c r="C10" s="9" t="inlineStr"/>
      <c r="D10" s="10" t="inlineStr">
        <is>
          <t>S&amp;H</t>
        </is>
      </c>
      <c r="E10" s="9" t="inlineStr"/>
      <c r="F10" s="9" t="inlineStr"/>
      <c r="G10" s="10" t="inlineStr">
        <is>
          <t>UGC Sponsored</t>
        </is>
      </c>
      <c r="H10" s="10" t="inlineStr">
        <is>
          <t>Physical</t>
        </is>
      </c>
      <c r="I10" s="10" t="inlineStr"/>
      <c r="J10" s="10" t="inlineStr"/>
      <c r="K10" s="10" t="inlineStr">
        <is>
          <t>Y</t>
        </is>
      </c>
    </row>
    <row r="11" ht="22" customHeight="1">
      <c r="B11" s="14" t="n">
        <v>7</v>
      </c>
      <c r="C11" s="15" t="inlineStr"/>
      <c r="D11" s="16" t="inlineStr">
        <is>
          <t>MBA</t>
        </is>
      </c>
      <c r="E11" s="15" t="inlineStr"/>
      <c r="F11" s="15" t="inlineStr"/>
      <c r="G11" s="16" t="inlineStr">
        <is>
          <t>Online — SWAYAM/NPTEL</t>
        </is>
      </c>
      <c r="H11" s="16" t="inlineStr">
        <is>
          <t>Physical</t>
        </is>
      </c>
      <c r="I11" s="16" t="inlineStr"/>
      <c r="J11" s="16" t="inlineStr"/>
      <c r="K11" s="16" t="inlineStr">
        <is>
          <t>Y</t>
        </is>
      </c>
    </row>
    <row r="12" ht="22" customHeight="1">
      <c r="B12" s="8" t="n">
        <v>8</v>
      </c>
      <c r="C12" s="9" t="inlineStr"/>
      <c r="D12" s="10" t="inlineStr">
        <is>
          <t>MCA</t>
        </is>
      </c>
      <c r="E12" s="9" t="inlineStr"/>
      <c r="F12" s="9" t="inlineStr"/>
      <c r="G12" s="10" t="inlineStr">
        <is>
          <t>Industry Training</t>
        </is>
      </c>
      <c r="H12" s="10" t="inlineStr">
        <is>
          <t>Physical</t>
        </is>
      </c>
      <c r="I12" s="10" t="inlineStr"/>
      <c r="J12" s="10" t="inlineStr"/>
      <c r="K12" s="10" t="inlineStr">
        <is>
          <t>Y</t>
        </is>
      </c>
    </row>
    <row r="13" ht="22" customHeight="1">
      <c r="B13" s="14" t="n">
        <v>9</v>
      </c>
      <c r="C13" s="15" t="inlineStr"/>
      <c r="D13" s="16" t="inlineStr">
        <is>
          <t>Pharmacy</t>
        </is>
      </c>
      <c r="E13" s="15" t="inlineStr"/>
      <c r="F13" s="15" t="inlineStr"/>
      <c r="G13" s="16" t="inlineStr">
        <is>
          <t>Refresher Course</t>
        </is>
      </c>
      <c r="H13" s="16" t="inlineStr">
        <is>
          <t>Physical</t>
        </is>
      </c>
      <c r="I13" s="16" t="inlineStr"/>
      <c r="J13" s="16" t="inlineStr"/>
      <c r="K13" s="16" t="inlineStr">
        <is>
          <t>Y</t>
        </is>
      </c>
    </row>
    <row r="14" ht="22" customHeight="1">
      <c r="B14" s="8" t="n">
        <v>10</v>
      </c>
      <c r="C14" s="9" t="inlineStr"/>
      <c r="D14" s="10" t="inlineStr">
        <is>
          <t>Architecture</t>
        </is>
      </c>
      <c r="E14" s="9" t="inlineStr"/>
      <c r="F14" s="9" t="inlineStr"/>
      <c r="G14" s="10" t="inlineStr">
        <is>
          <t>Orientation Programme</t>
        </is>
      </c>
      <c r="H14" s="10" t="inlineStr">
        <is>
          <t>Physical</t>
        </is>
      </c>
      <c r="I14" s="10" t="inlineStr"/>
      <c r="J14" s="10" t="inlineStr"/>
      <c r="K14" s="10" t="inlineStr">
        <is>
          <t>Y</t>
        </is>
      </c>
    </row>
    <row r="15" ht="22" customHeight="1">
      <c r="B15" s="14" t="n">
        <v>11</v>
      </c>
      <c r="C15" s="15" t="inlineStr"/>
      <c r="D15" s="16" t="inlineStr">
        <is>
          <t>CSE</t>
        </is>
      </c>
      <c r="E15" s="15" t="inlineStr"/>
      <c r="F15" s="15" t="inlineStr"/>
      <c r="G15" s="16" t="inlineStr">
        <is>
          <t>Institutional (Internal)</t>
        </is>
      </c>
      <c r="H15" s="16" t="inlineStr">
        <is>
          <t>Physical</t>
        </is>
      </c>
      <c r="I15" s="16" t="inlineStr"/>
      <c r="J15" s="16" t="inlineStr"/>
      <c r="K15" s="16" t="inlineStr">
        <is>
          <t>Y</t>
        </is>
      </c>
    </row>
    <row r="16" ht="22" customHeight="1">
      <c r="B16" s="8" t="n">
        <v>12</v>
      </c>
      <c r="C16" s="9" t="inlineStr"/>
      <c r="D16" s="10" t="inlineStr">
        <is>
          <t>ECE</t>
        </is>
      </c>
      <c r="E16" s="9" t="inlineStr"/>
      <c r="F16" s="9" t="inlineStr"/>
      <c r="G16" s="10" t="inlineStr">
        <is>
          <t>State Level</t>
        </is>
      </c>
      <c r="H16" s="10" t="inlineStr">
        <is>
          <t>Physical</t>
        </is>
      </c>
      <c r="I16" s="10" t="inlineStr"/>
      <c r="J16" s="10" t="inlineStr"/>
      <c r="K16" s="10" t="inlineStr">
        <is>
          <t>Y</t>
        </is>
      </c>
    </row>
    <row r="17" ht="22" customHeight="1">
      <c r="B17" s="14" t="n">
        <v>13</v>
      </c>
      <c r="C17" s="15" t="inlineStr"/>
      <c r="D17" s="16" t="inlineStr">
        <is>
          <t>EEE</t>
        </is>
      </c>
      <c r="E17" s="15" t="inlineStr"/>
      <c r="F17" s="15" t="inlineStr"/>
      <c r="G17" s="16" t="inlineStr">
        <is>
          <t>National Level</t>
        </is>
      </c>
      <c r="H17" s="16" t="inlineStr">
        <is>
          <t>Physical</t>
        </is>
      </c>
      <c r="I17" s="16" t="inlineStr"/>
      <c r="J17" s="16" t="inlineStr"/>
      <c r="K17" s="16" t="inlineStr">
        <is>
          <t>Y</t>
        </is>
      </c>
    </row>
    <row r="18" ht="22" customHeight="1">
      <c r="B18" s="8" t="n">
        <v>14</v>
      </c>
      <c r="C18" s="9" t="inlineStr"/>
      <c r="D18" s="10" t="inlineStr">
        <is>
          <t>Mechanical</t>
        </is>
      </c>
      <c r="E18" s="9" t="inlineStr"/>
      <c r="F18" s="9" t="inlineStr"/>
      <c r="G18" s="10" t="inlineStr">
        <is>
          <t>International Level</t>
        </is>
      </c>
      <c r="H18" s="10" t="inlineStr">
        <is>
          <t>Physical</t>
        </is>
      </c>
      <c r="I18" s="10" t="inlineStr"/>
      <c r="J18" s="10" t="inlineStr"/>
      <c r="K18" s="10" t="inlineStr">
        <is>
          <t>Y</t>
        </is>
      </c>
    </row>
    <row r="19" ht="22" customHeight="1">
      <c r="B19" s="14" t="n">
        <v>15</v>
      </c>
      <c r="C19" s="15" t="inlineStr"/>
      <c r="D19" s="16" t="inlineStr">
        <is>
          <t>Civil</t>
        </is>
      </c>
      <c r="E19" s="15" t="inlineStr"/>
      <c r="F19" s="15" t="inlineStr"/>
      <c r="G19" s="16" t="inlineStr">
        <is>
          <t>AICTE Sponsored</t>
        </is>
      </c>
      <c r="H19" s="16" t="inlineStr">
        <is>
          <t>Physical</t>
        </is>
      </c>
      <c r="I19" s="16" t="inlineStr"/>
      <c r="J19" s="16" t="inlineStr"/>
      <c r="K19" s="16" t="inlineStr">
        <is>
          <t>Y</t>
        </is>
      </c>
    </row>
    <row r="20" ht="22" customHeight="1">
      <c r="B20" s="8" t="n">
        <v>16</v>
      </c>
      <c r="C20" s="9" t="inlineStr"/>
      <c r="D20" s="10" t="inlineStr">
        <is>
          <t>S&amp;H</t>
        </is>
      </c>
      <c r="E20" s="9" t="inlineStr"/>
      <c r="F20" s="9" t="inlineStr"/>
      <c r="G20" s="10" t="inlineStr">
        <is>
          <t>UGC Sponsored</t>
        </is>
      </c>
      <c r="H20" s="10" t="inlineStr">
        <is>
          <t>Physical</t>
        </is>
      </c>
      <c r="I20" s="10" t="inlineStr"/>
      <c r="J20" s="10" t="inlineStr"/>
      <c r="K20" s="10" t="inlineStr">
        <is>
          <t>Y</t>
        </is>
      </c>
    </row>
    <row r="21" ht="22" customHeight="1">
      <c r="B21" s="14" t="n">
        <v>17</v>
      </c>
      <c r="C21" s="15" t="inlineStr"/>
      <c r="D21" s="16" t="inlineStr">
        <is>
          <t>MBA</t>
        </is>
      </c>
      <c r="E21" s="15" t="inlineStr"/>
      <c r="F21" s="15" t="inlineStr"/>
      <c r="G21" s="16" t="inlineStr">
        <is>
          <t>Online — SWAYAM/NPTEL</t>
        </is>
      </c>
      <c r="H21" s="16" t="inlineStr">
        <is>
          <t>Physical</t>
        </is>
      </c>
      <c r="I21" s="16" t="inlineStr"/>
      <c r="J21" s="16" t="inlineStr"/>
      <c r="K21" s="16" t="inlineStr">
        <is>
          <t>Y</t>
        </is>
      </c>
    </row>
    <row r="22" ht="22" customHeight="1">
      <c r="B22" s="8" t="n">
        <v>18</v>
      </c>
      <c r="C22" s="9" t="inlineStr"/>
      <c r="D22" s="10" t="inlineStr">
        <is>
          <t>MCA</t>
        </is>
      </c>
      <c r="E22" s="9" t="inlineStr"/>
      <c r="F22" s="9" t="inlineStr"/>
      <c r="G22" s="10" t="inlineStr">
        <is>
          <t>Industry Training</t>
        </is>
      </c>
      <c r="H22" s="10" t="inlineStr">
        <is>
          <t>Physical</t>
        </is>
      </c>
      <c r="I22" s="10" t="inlineStr"/>
      <c r="J22" s="10" t="inlineStr"/>
      <c r="K22" s="10" t="inlineStr">
        <is>
          <t>Y</t>
        </is>
      </c>
    </row>
    <row r="23" ht="22" customHeight="1">
      <c r="B23" s="14" t="n">
        <v>19</v>
      </c>
      <c r="C23" s="15" t="inlineStr"/>
      <c r="D23" s="16" t="inlineStr">
        <is>
          <t>Pharmacy</t>
        </is>
      </c>
      <c r="E23" s="15" t="inlineStr"/>
      <c r="F23" s="15" t="inlineStr"/>
      <c r="G23" s="16" t="inlineStr">
        <is>
          <t>Refresher Course</t>
        </is>
      </c>
      <c r="H23" s="16" t="inlineStr">
        <is>
          <t>Physical</t>
        </is>
      </c>
      <c r="I23" s="16" t="inlineStr"/>
      <c r="J23" s="16" t="inlineStr"/>
      <c r="K23" s="16" t="inlineStr">
        <is>
          <t>Y</t>
        </is>
      </c>
    </row>
    <row r="24" ht="22" customHeight="1">
      <c r="B24" s="8" t="n">
        <v>20</v>
      </c>
      <c r="C24" s="9" t="inlineStr"/>
      <c r="D24" s="10" t="inlineStr">
        <is>
          <t>Architecture</t>
        </is>
      </c>
      <c r="E24" s="9" t="inlineStr"/>
      <c r="F24" s="9" t="inlineStr"/>
      <c r="G24" s="10" t="inlineStr">
        <is>
          <t>Orientation Programme</t>
        </is>
      </c>
      <c r="H24" s="10" t="inlineStr">
        <is>
          <t>Physical</t>
        </is>
      </c>
      <c r="I24" s="10" t="inlineStr"/>
      <c r="J24" s="10" t="inlineStr"/>
      <c r="K24" s="10" t="inlineStr">
        <is>
          <t>Y</t>
        </is>
      </c>
    </row>
    <row r="25" ht="22" customHeight="1">
      <c r="B25" s="14" t="n">
        <v>21</v>
      </c>
      <c r="C25" s="15" t="inlineStr"/>
      <c r="D25" s="16" t="inlineStr">
        <is>
          <t>CSE</t>
        </is>
      </c>
      <c r="E25" s="15" t="inlineStr"/>
      <c r="F25" s="15" t="inlineStr"/>
      <c r="G25" s="16" t="inlineStr">
        <is>
          <t>Institutional (Internal)</t>
        </is>
      </c>
      <c r="H25" s="16" t="inlineStr">
        <is>
          <t>Physical</t>
        </is>
      </c>
      <c r="I25" s="16" t="inlineStr"/>
      <c r="J25" s="16" t="inlineStr"/>
      <c r="K25" s="16" t="inlineStr">
        <is>
          <t>Y</t>
        </is>
      </c>
    </row>
    <row r="26" ht="22" customHeight="1">
      <c r="B26" s="8" t="n">
        <v>22</v>
      </c>
      <c r="C26" s="9" t="inlineStr"/>
      <c r="D26" s="10" t="inlineStr">
        <is>
          <t>ECE</t>
        </is>
      </c>
      <c r="E26" s="9" t="inlineStr"/>
      <c r="F26" s="9" t="inlineStr"/>
      <c r="G26" s="10" t="inlineStr">
        <is>
          <t>State Level</t>
        </is>
      </c>
      <c r="H26" s="10" t="inlineStr">
        <is>
          <t>Physical</t>
        </is>
      </c>
      <c r="I26" s="10" t="inlineStr"/>
      <c r="J26" s="10" t="inlineStr"/>
      <c r="K26" s="10" t="inlineStr">
        <is>
          <t>Y</t>
        </is>
      </c>
    </row>
    <row r="27" ht="22" customHeight="1">
      <c r="B27" s="14" t="n">
        <v>23</v>
      </c>
      <c r="C27" s="15" t="inlineStr"/>
      <c r="D27" s="16" t="inlineStr">
        <is>
          <t>EEE</t>
        </is>
      </c>
      <c r="E27" s="15" t="inlineStr"/>
      <c r="F27" s="15" t="inlineStr"/>
      <c r="G27" s="16" t="inlineStr">
        <is>
          <t>National Level</t>
        </is>
      </c>
      <c r="H27" s="16" t="inlineStr">
        <is>
          <t>Physical</t>
        </is>
      </c>
      <c r="I27" s="16" t="inlineStr"/>
      <c r="J27" s="16" t="inlineStr"/>
      <c r="K27" s="16" t="inlineStr">
        <is>
          <t>Y</t>
        </is>
      </c>
    </row>
    <row r="28" ht="22" customHeight="1">
      <c r="B28" s="8" t="n">
        <v>24</v>
      </c>
      <c r="C28" s="9" t="inlineStr"/>
      <c r="D28" s="10" t="inlineStr">
        <is>
          <t>Mechanical</t>
        </is>
      </c>
      <c r="E28" s="9" t="inlineStr"/>
      <c r="F28" s="9" t="inlineStr"/>
      <c r="G28" s="10" t="inlineStr">
        <is>
          <t>International Level</t>
        </is>
      </c>
      <c r="H28" s="10" t="inlineStr">
        <is>
          <t>Physical</t>
        </is>
      </c>
      <c r="I28" s="10" t="inlineStr"/>
      <c r="J28" s="10" t="inlineStr"/>
      <c r="K28" s="10" t="inlineStr">
        <is>
          <t>Y</t>
        </is>
      </c>
    </row>
    <row r="29" ht="22" customHeight="1">
      <c r="B29" s="14" t="n">
        <v>25</v>
      </c>
      <c r="C29" s="15" t="inlineStr"/>
      <c r="D29" s="16" t="inlineStr">
        <is>
          <t>Civil</t>
        </is>
      </c>
      <c r="E29" s="15" t="inlineStr"/>
      <c r="F29" s="15" t="inlineStr"/>
      <c r="G29" s="16" t="inlineStr">
        <is>
          <t>AICTE Sponsored</t>
        </is>
      </c>
      <c r="H29" s="16" t="inlineStr">
        <is>
          <t>Physical</t>
        </is>
      </c>
      <c r="I29" s="16" t="inlineStr"/>
      <c r="J29" s="16" t="inlineStr"/>
      <c r="K29" s="16" t="inlineStr">
        <is>
          <t>Y</t>
        </is>
      </c>
    </row>
    <row r="30" ht="22" customHeight="1">
      <c r="B30" s="8" t="n">
        <v>26</v>
      </c>
      <c r="C30" s="9" t="inlineStr"/>
      <c r="D30" s="10" t="inlineStr">
        <is>
          <t>S&amp;H</t>
        </is>
      </c>
      <c r="E30" s="9" t="inlineStr"/>
      <c r="F30" s="9" t="inlineStr"/>
      <c r="G30" s="10" t="inlineStr">
        <is>
          <t>UGC Sponsored</t>
        </is>
      </c>
      <c r="H30" s="10" t="inlineStr">
        <is>
          <t>Physical</t>
        </is>
      </c>
      <c r="I30" s="10" t="inlineStr"/>
      <c r="J30" s="10" t="inlineStr"/>
      <c r="K30" s="10" t="inlineStr">
        <is>
          <t>Y</t>
        </is>
      </c>
    </row>
    <row r="31" ht="22" customHeight="1"/>
    <row r="32" ht="24" customHeight="1">
      <c r="B32" s="34" t="inlineStr">
        <is>
          <t>FDP IMPACT SUMMARY</t>
        </is>
      </c>
    </row>
    <row r="33" ht="22" customHeight="1">
      <c r="B33" s="42" t="inlineStr">
        <is>
          <t>Total FDP Participations</t>
        </is>
      </c>
      <c r="F33" s="36">
        <f>COUNTA(B5:B30)</f>
        <v/>
      </c>
    </row>
    <row r="34">
      <c r="B34" s="25" t="inlineStr">
        <is>
          <t>National Level</t>
        </is>
      </c>
      <c r="F34" s="37">
        <f>COUNTIF(G5:G30,"National Level")</f>
        <v/>
      </c>
    </row>
    <row r="35">
      <c r="B35" s="42" t="inlineStr">
        <is>
          <t>International Level</t>
        </is>
      </c>
      <c r="F35" s="36">
        <f>COUNTIF(G5:G30,"International Level")</f>
        <v/>
      </c>
    </row>
    <row r="36">
      <c r="B36" s="25" t="inlineStr">
        <is>
          <t>AICTE / UGC Sponsored</t>
        </is>
      </c>
      <c r="F36" s="37">
        <f>COUNTIF(G5:G30,"AICTE Sponsored")+COUNTIF(G5:G30,"UGC Sponsored")</f>
        <v/>
      </c>
    </row>
    <row r="37">
      <c r="B37" s="42" t="inlineStr">
        <is>
          <t>Faculty with ≥1 FDP this year</t>
        </is>
      </c>
      <c r="F37" s="36" t="inlineStr"/>
    </row>
    <row r="38">
      <c r="B38" s="25" t="inlineStr">
        <is>
          <t>Total FDP Days (Faculty-days)</t>
        </is>
      </c>
      <c r="F38" s="37">
        <f>IFERROR(SUM(J5:J30),"")</f>
        <v/>
      </c>
    </row>
  </sheetData>
  <mergeCells count="15">
    <mergeCell ref="F37:K37"/>
    <mergeCell ref="B36:E36"/>
    <mergeCell ref="F34:K34"/>
    <mergeCell ref="F38:K38"/>
    <mergeCell ref="F33:K33"/>
    <mergeCell ref="B32:K32"/>
    <mergeCell ref="B35:E35"/>
    <mergeCell ref="F36:K36"/>
    <mergeCell ref="B37:E37"/>
    <mergeCell ref="B38:E38"/>
    <mergeCell ref="B33:E33"/>
    <mergeCell ref="F35:K35"/>
    <mergeCell ref="B2:K2"/>
    <mergeCell ref="B3:K3"/>
    <mergeCell ref="B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L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3" customWidth="1" min="13" max="13"/>
  </cols>
  <sheetData>
    <row r="1" ht="10" customHeight="1"/>
    <row r="2" ht="48" customHeight="1">
      <c r="B2" s="12" t="inlineStr">
        <is>
          <t>CAC-25: SEMESTER RESULT ANALYSIS REGISTER — DEPARTMENT-WISE</t>
        </is>
      </c>
    </row>
    <row r="3" ht="20" customHeight="1">
      <c r="B3" s="2" t="inlineStr">
        <is>
          <t>Semester: _______  A.Y.: _______  Exam: _______  CAC Coordinator: ___________________</t>
        </is>
      </c>
    </row>
    <row r="4" ht="25" customHeight="1">
      <c r="B4" s="13" t="inlineStr">
        <is>
          <t>Dept.</t>
        </is>
      </c>
      <c r="C4" s="13" t="inlineStr">
        <is>
          <t>Programme</t>
        </is>
      </c>
      <c r="D4" s="13" t="inlineStr">
        <is>
          <t>Students
Appeared</t>
        </is>
      </c>
      <c r="E4" s="13" t="inlineStr">
        <is>
          <t>Students
Passed</t>
        </is>
      </c>
      <c r="F4" s="13" t="inlineStr">
        <is>
          <t>Pass
%</t>
        </is>
      </c>
      <c r="G4" s="13" t="inlineStr">
        <is>
          <t>Distinction
(%≥75)</t>
        </is>
      </c>
      <c r="H4" s="13" t="inlineStr">
        <is>
          <t>First
Class
(60–74)</t>
        </is>
      </c>
      <c r="I4" s="13" t="inlineStr">
        <is>
          <t>Second
Class
(50–59)</t>
        </is>
      </c>
      <c r="J4" s="13" t="inlineStr">
        <is>
          <t>Below
50%</t>
        </is>
      </c>
      <c r="K4" s="13" t="inlineStr">
        <is>
          <t>Backlogs /
Arrearsed</t>
        </is>
      </c>
      <c r="L4" s="13" t="inlineStr">
        <is>
          <t>Remarks /
Action</t>
        </is>
      </c>
    </row>
    <row r="5" ht="22" customHeight="1">
      <c r="B5" s="14" t="inlineStr">
        <is>
          <t>CSE</t>
        </is>
      </c>
      <c r="C5" s="15" t="inlineStr">
        <is>
          <t>B.E. / B.Tech — CSE</t>
        </is>
      </c>
      <c r="D5" s="16" t="inlineStr"/>
      <c r="E5" s="16" t="inlineStr"/>
      <c r="F5" s="43">
        <f>IFERROR(ROUND(E5/D5*100,1),"")</f>
        <v/>
      </c>
      <c r="G5" s="16" t="inlineStr"/>
      <c r="H5" s="16" t="inlineStr"/>
      <c r="I5" s="16" t="inlineStr"/>
      <c r="J5" s="16" t="inlineStr"/>
      <c r="K5" s="16" t="inlineStr"/>
      <c r="L5" s="15" t="inlineStr"/>
    </row>
    <row r="6" ht="22" customHeight="1">
      <c r="B6" s="8" t="inlineStr">
        <is>
          <t>ECE</t>
        </is>
      </c>
      <c r="C6" s="9" t="inlineStr">
        <is>
          <t>B.E. / B.Tech — ECE</t>
        </is>
      </c>
      <c r="D6" s="10" t="inlineStr"/>
      <c r="E6" s="10" t="inlineStr"/>
      <c r="F6" s="37">
        <f>IFERROR(ROUND(E6/D6*100,1),"")</f>
        <v/>
      </c>
      <c r="G6" s="10" t="inlineStr"/>
      <c r="H6" s="10" t="inlineStr"/>
      <c r="I6" s="10" t="inlineStr"/>
      <c r="J6" s="10" t="inlineStr"/>
      <c r="K6" s="10" t="inlineStr"/>
      <c r="L6" s="9" t="inlineStr"/>
    </row>
    <row r="7" ht="22" customHeight="1">
      <c r="B7" s="14" t="inlineStr">
        <is>
          <t>EEE</t>
        </is>
      </c>
      <c r="C7" s="15" t="inlineStr">
        <is>
          <t>B.E. / B.Tech — EEE</t>
        </is>
      </c>
      <c r="D7" s="16" t="inlineStr"/>
      <c r="E7" s="16" t="inlineStr"/>
      <c r="F7" s="43">
        <f>IFERROR(ROUND(E7/D7*100,1),"")</f>
        <v/>
      </c>
      <c r="G7" s="16" t="inlineStr"/>
      <c r="H7" s="16" t="inlineStr"/>
      <c r="I7" s="16" t="inlineStr"/>
      <c r="J7" s="16" t="inlineStr"/>
      <c r="K7" s="16" t="inlineStr"/>
      <c r="L7" s="15" t="inlineStr"/>
    </row>
    <row r="8" ht="22" customHeight="1">
      <c r="B8" s="8" t="inlineStr">
        <is>
          <t>Mechanical</t>
        </is>
      </c>
      <c r="C8" s="9" t="inlineStr">
        <is>
          <t>B.E. / B.Tech — Mechanical</t>
        </is>
      </c>
      <c r="D8" s="10" t="inlineStr"/>
      <c r="E8" s="10" t="inlineStr"/>
      <c r="F8" s="37">
        <f>IFERROR(ROUND(E8/D8*100,1),"")</f>
        <v/>
      </c>
      <c r="G8" s="10" t="inlineStr"/>
      <c r="H8" s="10" t="inlineStr"/>
      <c r="I8" s="10" t="inlineStr"/>
      <c r="J8" s="10" t="inlineStr"/>
      <c r="K8" s="10" t="inlineStr"/>
      <c r="L8" s="9" t="inlineStr"/>
    </row>
    <row r="9" ht="22" customHeight="1">
      <c r="B9" s="14" t="inlineStr">
        <is>
          <t>Civil</t>
        </is>
      </c>
      <c r="C9" s="15" t="inlineStr">
        <is>
          <t>B.E. / B.Tech — Civil</t>
        </is>
      </c>
      <c r="D9" s="16" t="inlineStr"/>
      <c r="E9" s="16" t="inlineStr"/>
      <c r="F9" s="43">
        <f>IFERROR(ROUND(E9/D9*100,1),"")</f>
        <v/>
      </c>
      <c r="G9" s="16" t="inlineStr"/>
      <c r="H9" s="16" t="inlineStr"/>
      <c r="I9" s="16" t="inlineStr"/>
      <c r="J9" s="16" t="inlineStr"/>
      <c r="K9" s="16" t="inlineStr"/>
      <c r="L9" s="15" t="inlineStr"/>
    </row>
    <row r="10" ht="22" customHeight="1">
      <c r="B10" s="8" t="inlineStr">
        <is>
          <t>IT</t>
        </is>
      </c>
      <c r="C10" s="9" t="inlineStr">
        <is>
          <t>B.E. / B.Tech — IT</t>
        </is>
      </c>
      <c r="D10" s="10" t="inlineStr"/>
      <c r="E10" s="10" t="inlineStr"/>
      <c r="F10" s="37">
        <f>IFERROR(ROUND(E10/D10*100,1),"")</f>
        <v/>
      </c>
      <c r="G10" s="10" t="inlineStr"/>
      <c r="H10" s="10" t="inlineStr"/>
      <c r="I10" s="10" t="inlineStr"/>
      <c r="J10" s="10" t="inlineStr"/>
      <c r="K10" s="10" t="inlineStr"/>
      <c r="L10" s="9" t="inlineStr"/>
    </row>
    <row r="11" ht="22" customHeight="1">
      <c r="B11" s="14" t="inlineStr">
        <is>
          <t>S&amp;H</t>
        </is>
      </c>
      <c r="C11" s="15" t="inlineStr">
        <is>
          <t>Foundation / Science Subjects</t>
        </is>
      </c>
      <c r="D11" s="16" t="inlineStr"/>
      <c r="E11" s="16" t="inlineStr"/>
      <c r="F11" s="43">
        <f>IFERROR(ROUND(E11/D11*100,1),"")</f>
        <v/>
      </c>
      <c r="G11" s="16" t="inlineStr"/>
      <c r="H11" s="16" t="inlineStr"/>
      <c r="I11" s="16" t="inlineStr"/>
      <c r="J11" s="16" t="inlineStr"/>
      <c r="K11" s="16" t="inlineStr"/>
      <c r="L11" s="15" t="inlineStr"/>
    </row>
    <row r="12" ht="22" customHeight="1">
      <c r="B12" s="8" t="inlineStr">
        <is>
          <t>MBA</t>
        </is>
      </c>
      <c r="C12" s="9" t="inlineStr">
        <is>
          <t>M.B.A.</t>
        </is>
      </c>
      <c r="D12" s="10" t="inlineStr"/>
      <c r="E12" s="10" t="inlineStr"/>
      <c r="F12" s="37">
        <f>IFERROR(ROUND(E12/D12*100,1),"")</f>
        <v/>
      </c>
      <c r="G12" s="10" t="inlineStr"/>
      <c r="H12" s="10" t="inlineStr"/>
      <c r="I12" s="10" t="inlineStr"/>
      <c r="J12" s="10" t="inlineStr"/>
      <c r="K12" s="10" t="inlineStr"/>
      <c r="L12" s="9" t="inlineStr"/>
    </row>
    <row r="13" ht="22" customHeight="1">
      <c r="B13" s="14" t="inlineStr">
        <is>
          <t>MCA</t>
        </is>
      </c>
      <c r="C13" s="15" t="inlineStr">
        <is>
          <t>M.C.A.</t>
        </is>
      </c>
      <c r="D13" s="16" t="inlineStr"/>
      <c r="E13" s="16" t="inlineStr"/>
      <c r="F13" s="43">
        <f>IFERROR(ROUND(E13/D13*100,1),"")</f>
        <v/>
      </c>
      <c r="G13" s="16" t="inlineStr"/>
      <c r="H13" s="16" t="inlineStr"/>
      <c r="I13" s="16" t="inlineStr"/>
      <c r="J13" s="16" t="inlineStr"/>
      <c r="K13" s="16" t="inlineStr"/>
      <c r="L13" s="15" t="inlineStr"/>
    </row>
    <row r="14" ht="22" customHeight="1">
      <c r="B14" s="8" t="inlineStr">
        <is>
          <t>Pharmacy</t>
        </is>
      </c>
      <c r="C14" s="9" t="inlineStr">
        <is>
          <t>B.Pharm / D.Pharm</t>
        </is>
      </c>
      <c r="D14" s="10" t="inlineStr"/>
      <c r="E14" s="10" t="inlineStr"/>
      <c r="F14" s="37">
        <f>IFERROR(ROUND(E14/D14*100,1),"")</f>
        <v/>
      </c>
      <c r="G14" s="10" t="inlineStr"/>
      <c r="H14" s="10" t="inlineStr"/>
      <c r="I14" s="10" t="inlineStr"/>
      <c r="J14" s="10" t="inlineStr"/>
      <c r="K14" s="10" t="inlineStr"/>
      <c r="L14" s="9" t="inlineStr"/>
    </row>
    <row r="15" ht="22" customHeight="1"/>
    <row r="16" ht="26" customHeight="1">
      <c r="B16" s="44" t="inlineStr">
        <is>
          <t>INSTITUTION</t>
        </is>
      </c>
      <c r="C16" s="45" t="n"/>
      <c r="D16" s="46">
        <f>IFERROR(SUM(D5:D14),"")</f>
        <v/>
      </c>
      <c r="E16" s="46">
        <f>IFERROR(SUM(E5:E14),"")</f>
        <v/>
      </c>
      <c r="F16" s="46">
        <f>IFERROR(ROUND(E16/D16*100,1),"")</f>
        <v/>
      </c>
      <c r="G16" s="46">
        <f>IFERROR(SUM(G5:G14),"")</f>
        <v/>
      </c>
      <c r="H16" s="46">
        <f>IFERROR(SUM(H5:H14),"")</f>
        <v/>
      </c>
      <c r="I16" s="46">
        <f>IFERROR(SUM(I5:I14),"")</f>
        <v/>
      </c>
      <c r="J16" s="46">
        <f>IFERROR(SUM(J5:J14),"")</f>
        <v/>
      </c>
      <c r="K16" s="46">
        <f>IFERROR(SUM(K5:K14),"")</f>
        <v/>
      </c>
      <c r="L16" s="45" t="n"/>
    </row>
    <row r="17" ht="22" customHeight="1"/>
    <row r="18" ht="24" customHeight="1">
      <c r="B18" s="34" t="inlineStr">
        <is>
          <t>RESULT ANALYSIS OBSERVATIONS</t>
        </is>
      </c>
    </row>
    <row r="19" ht="22" customHeight="1">
      <c r="B19" s="42" t="inlineStr">
        <is>
          <t>Overall Institution Pass %</t>
        </is>
      </c>
      <c r="G19" s="36">
        <f>IFERROR(F16,"")</f>
        <v/>
      </c>
    </row>
    <row r="20" ht="22" customHeight="1">
      <c r="B20" s="25" t="inlineStr">
        <is>
          <t>Best Performing Department</t>
        </is>
      </c>
      <c r="G20" s="37" t="inlineStr"/>
    </row>
    <row r="21" ht="22" customHeight="1">
      <c r="B21" s="42" t="inlineStr">
        <is>
          <t>Department Needing Immediate Support</t>
        </is>
      </c>
      <c r="G21" s="36" t="inlineStr"/>
    </row>
    <row r="22" ht="22" customHeight="1">
      <c r="B22" s="25" t="inlineStr">
        <is>
          <t>Students with Backlog — Institute Total</t>
        </is>
      </c>
      <c r="G22" s="37">
        <f>IFERROR(K16,"")</f>
        <v/>
      </c>
    </row>
    <row r="23" ht="22" customHeight="1">
      <c r="B23" s="42" t="inlineStr">
        <is>
          <t>Courses with Pass % &lt; 50%</t>
        </is>
      </c>
      <c r="G23" s="36" t="inlineStr"/>
    </row>
    <row r="24" ht="22" customHeight="1">
      <c r="B24" s="25" t="inlineStr">
        <is>
          <t>Action Plan Initiated</t>
        </is>
      </c>
      <c r="G24" s="37" t="inlineStr">
        <is>
          <t>Y / N</t>
        </is>
      </c>
    </row>
    <row r="25" ht="22" customHeight="1"/>
    <row r="26" ht="22" customHeight="1"/>
    <row r="27" ht="22" customHeight="1"/>
    <row r="28" ht="22" customHeight="1"/>
    <row r="29" ht="22" customHeight="1"/>
  </sheetData>
  <mergeCells count="15">
    <mergeCell ref="B21:F21"/>
    <mergeCell ref="G24:L24"/>
    <mergeCell ref="G19:L19"/>
    <mergeCell ref="B24:F24"/>
    <mergeCell ref="B20:F20"/>
    <mergeCell ref="G22:L22"/>
    <mergeCell ref="B19:F19"/>
    <mergeCell ref="B2:L2"/>
    <mergeCell ref="B3:L3"/>
    <mergeCell ref="G23:L23"/>
    <mergeCell ref="B23:F23"/>
    <mergeCell ref="B22:F22"/>
    <mergeCell ref="G20:L20"/>
    <mergeCell ref="B18:L18"/>
    <mergeCell ref="G21:L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L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3" customWidth="1" min="13" max="13"/>
  </cols>
  <sheetData>
    <row r="1" ht="10" customHeight="1"/>
    <row r="2" ht="48" customHeight="1">
      <c r="B2" s="12" t="inlineStr">
        <is>
          <t>CAC-31: DEPARTMENT-WISE MONTHLY ATTENDANCE SUMMARY</t>
        </is>
      </c>
    </row>
    <row r="3" ht="20" customHeight="1">
      <c r="B3" s="2" t="inlineStr">
        <is>
          <t>Month: _______  Semester: _______  A.Y.: _______  CAC Coordinator: ___________________</t>
        </is>
      </c>
    </row>
    <row r="4" ht="25" customHeight="1">
      <c r="B4" s="13" t="inlineStr">
        <is>
          <t>Dept.</t>
        </is>
      </c>
      <c r="C4" s="13" t="inlineStr">
        <is>
          <t>Programme</t>
        </is>
      </c>
      <c r="D4" s="13" t="inlineStr">
        <is>
          <t>Total
Students</t>
        </is>
      </c>
      <c r="E4" s="13" t="inlineStr">
        <is>
          <t>Avg.
Attendance
%</t>
        </is>
      </c>
      <c r="F4" s="13" t="inlineStr">
        <is>
          <t>Students
≥ 75%</t>
        </is>
      </c>
      <c r="G4" s="13" t="inlineStr">
        <is>
          <t>Students
65–74%</t>
        </is>
      </c>
      <c r="H4" s="13" t="inlineStr">
        <is>
          <t>Students
&lt; 65%</t>
        </is>
      </c>
      <c r="I4" s="13" t="inlineStr">
        <is>
          <t>Students
Below
Minimum</t>
        </is>
      </c>
      <c r="J4" s="13" t="inlineStr">
        <is>
          <t>Condonation
Applied</t>
        </is>
      </c>
      <c r="K4" s="13" t="inlineStr">
        <is>
          <t>Defaulter
List
Circulated</t>
        </is>
      </c>
      <c r="L4" s="13" t="inlineStr">
        <is>
          <t>Action
Plan</t>
        </is>
      </c>
    </row>
    <row r="5" ht="22" customHeight="1">
      <c r="B5" s="14" t="inlineStr">
        <is>
          <t>CSE</t>
        </is>
      </c>
      <c r="C5" s="15" t="inlineStr">
        <is>
          <t>B.E. / B.Tech — CSE</t>
        </is>
      </c>
      <c r="D5" s="16" t="inlineStr"/>
      <c r="E5" s="43" t="inlineStr"/>
      <c r="F5" s="16" t="inlineStr"/>
      <c r="G5" s="16" t="inlineStr"/>
      <c r="H5" s="16" t="inlineStr"/>
      <c r="I5" s="16" t="inlineStr"/>
      <c r="J5" s="16" t="inlineStr"/>
      <c r="K5" s="16" t="inlineStr">
        <is>
          <t>Y</t>
        </is>
      </c>
      <c r="L5" s="15" t="inlineStr"/>
    </row>
    <row r="6" ht="22" customHeight="1">
      <c r="B6" s="8" t="inlineStr">
        <is>
          <t>ECE</t>
        </is>
      </c>
      <c r="C6" s="9" t="inlineStr">
        <is>
          <t>B.E. / B.Tech — ECE</t>
        </is>
      </c>
      <c r="D6" s="10" t="inlineStr"/>
      <c r="E6" s="37" t="inlineStr"/>
      <c r="F6" s="10" t="inlineStr"/>
      <c r="G6" s="10" t="inlineStr"/>
      <c r="H6" s="10" t="inlineStr"/>
      <c r="I6" s="10" t="inlineStr"/>
      <c r="J6" s="10" t="inlineStr"/>
      <c r="K6" s="10" t="inlineStr">
        <is>
          <t>Y</t>
        </is>
      </c>
      <c r="L6" s="9" t="inlineStr"/>
    </row>
    <row r="7" ht="22" customHeight="1">
      <c r="B7" s="14" t="inlineStr">
        <is>
          <t>EEE</t>
        </is>
      </c>
      <c r="C7" s="15" t="inlineStr">
        <is>
          <t>B.E. / B.Tech — EEE</t>
        </is>
      </c>
      <c r="D7" s="16" t="inlineStr"/>
      <c r="E7" s="43" t="inlineStr"/>
      <c r="F7" s="16" t="inlineStr"/>
      <c r="G7" s="16" t="inlineStr"/>
      <c r="H7" s="16" t="inlineStr"/>
      <c r="I7" s="16" t="inlineStr"/>
      <c r="J7" s="16" t="inlineStr"/>
      <c r="K7" s="16" t="inlineStr">
        <is>
          <t>Y</t>
        </is>
      </c>
      <c r="L7" s="15" t="inlineStr"/>
    </row>
    <row r="8" ht="22" customHeight="1">
      <c r="B8" s="8" t="inlineStr">
        <is>
          <t>Mechanical</t>
        </is>
      </c>
      <c r="C8" s="9" t="inlineStr">
        <is>
          <t>B.E. / B.Tech — Mechanical</t>
        </is>
      </c>
      <c r="D8" s="10" t="inlineStr"/>
      <c r="E8" s="37" t="inlineStr"/>
      <c r="F8" s="10" t="inlineStr"/>
      <c r="G8" s="10" t="inlineStr"/>
      <c r="H8" s="10" t="inlineStr"/>
      <c r="I8" s="10" t="inlineStr"/>
      <c r="J8" s="10" t="inlineStr"/>
      <c r="K8" s="10" t="inlineStr">
        <is>
          <t>Y</t>
        </is>
      </c>
      <c r="L8" s="9" t="inlineStr"/>
    </row>
    <row r="9" ht="22" customHeight="1">
      <c r="B9" s="14" t="inlineStr">
        <is>
          <t>Civil</t>
        </is>
      </c>
      <c r="C9" s="15" t="inlineStr">
        <is>
          <t>B.E. / B.Tech — Civil</t>
        </is>
      </c>
      <c r="D9" s="16" t="inlineStr"/>
      <c r="E9" s="43" t="inlineStr"/>
      <c r="F9" s="16" t="inlineStr"/>
      <c r="G9" s="16" t="inlineStr"/>
      <c r="H9" s="16" t="inlineStr"/>
      <c r="I9" s="16" t="inlineStr"/>
      <c r="J9" s="16" t="inlineStr"/>
      <c r="K9" s="16" t="inlineStr">
        <is>
          <t>Y</t>
        </is>
      </c>
      <c r="L9" s="15" t="inlineStr"/>
    </row>
    <row r="10" ht="22" customHeight="1">
      <c r="B10" s="8" t="inlineStr">
        <is>
          <t>IT</t>
        </is>
      </c>
      <c r="C10" s="9" t="inlineStr">
        <is>
          <t>B.E. / B.Tech — IT</t>
        </is>
      </c>
      <c r="D10" s="10" t="inlineStr"/>
      <c r="E10" s="37" t="inlineStr"/>
      <c r="F10" s="10" t="inlineStr"/>
      <c r="G10" s="10" t="inlineStr"/>
      <c r="H10" s="10" t="inlineStr"/>
      <c r="I10" s="10" t="inlineStr"/>
      <c r="J10" s="10" t="inlineStr"/>
      <c r="K10" s="10" t="inlineStr">
        <is>
          <t>Y</t>
        </is>
      </c>
      <c r="L10" s="9" t="inlineStr"/>
    </row>
    <row r="11" ht="22" customHeight="1">
      <c r="B11" s="14" t="inlineStr">
        <is>
          <t>S&amp;H</t>
        </is>
      </c>
      <c r="C11" s="15" t="inlineStr">
        <is>
          <t>Foundation / Science Subjects</t>
        </is>
      </c>
      <c r="D11" s="16" t="inlineStr"/>
      <c r="E11" s="43" t="inlineStr"/>
      <c r="F11" s="16" t="inlineStr"/>
      <c r="G11" s="16" t="inlineStr"/>
      <c r="H11" s="16" t="inlineStr"/>
      <c r="I11" s="16" t="inlineStr"/>
      <c r="J11" s="16" t="inlineStr"/>
      <c r="K11" s="16" t="inlineStr">
        <is>
          <t>Y</t>
        </is>
      </c>
      <c r="L11" s="15" t="inlineStr"/>
    </row>
    <row r="12" ht="22" customHeight="1">
      <c r="B12" s="8" t="inlineStr">
        <is>
          <t>MBA</t>
        </is>
      </c>
      <c r="C12" s="9" t="inlineStr">
        <is>
          <t>M.B.A.</t>
        </is>
      </c>
      <c r="D12" s="10" t="inlineStr"/>
      <c r="E12" s="37" t="inlineStr"/>
      <c r="F12" s="10" t="inlineStr"/>
      <c r="G12" s="10" t="inlineStr"/>
      <c r="H12" s="10" t="inlineStr"/>
      <c r="I12" s="10" t="inlineStr"/>
      <c r="J12" s="10" t="inlineStr"/>
      <c r="K12" s="10" t="inlineStr">
        <is>
          <t>Y</t>
        </is>
      </c>
      <c r="L12" s="9" t="inlineStr"/>
    </row>
    <row r="13" ht="22" customHeight="1">
      <c r="B13" s="14" t="inlineStr">
        <is>
          <t>MCA</t>
        </is>
      </c>
      <c r="C13" s="15" t="inlineStr">
        <is>
          <t>M.C.A.</t>
        </is>
      </c>
      <c r="D13" s="16" t="inlineStr"/>
      <c r="E13" s="43" t="inlineStr"/>
      <c r="F13" s="16" t="inlineStr"/>
      <c r="G13" s="16" t="inlineStr"/>
      <c r="H13" s="16" t="inlineStr"/>
      <c r="I13" s="16" t="inlineStr"/>
      <c r="J13" s="16" t="inlineStr"/>
      <c r="K13" s="16" t="inlineStr">
        <is>
          <t>Y</t>
        </is>
      </c>
      <c r="L13" s="15" t="inlineStr"/>
    </row>
    <row r="14" ht="22" customHeight="1">
      <c r="B14" s="8" t="inlineStr">
        <is>
          <t>Pharmacy</t>
        </is>
      </c>
      <c r="C14" s="9" t="inlineStr">
        <is>
          <t>B.Pharm / D.Pharm</t>
        </is>
      </c>
      <c r="D14" s="10" t="inlineStr"/>
      <c r="E14" s="37" t="inlineStr"/>
      <c r="F14" s="10" t="inlineStr"/>
      <c r="G14" s="10" t="inlineStr"/>
      <c r="H14" s="10" t="inlineStr"/>
      <c r="I14" s="10" t="inlineStr"/>
      <c r="J14" s="10" t="inlineStr"/>
      <c r="K14" s="10" t="inlineStr">
        <is>
          <t>Y</t>
        </is>
      </c>
      <c r="L14" s="9" t="inlineStr"/>
    </row>
    <row r="15" ht="22" customHeight="1"/>
    <row r="16" ht="24" customHeight="1">
      <c r="B16" s="34" t="inlineStr">
        <is>
          <t>ATTENDANCE SUMMARY — INSTITUTION</t>
        </is>
      </c>
    </row>
    <row r="17" ht="22" customHeight="1">
      <c r="B17" s="42" t="inlineStr">
        <is>
          <t>Total Students — Institution</t>
        </is>
      </c>
      <c r="G17" s="36">
        <f>IFERROR(SUM(D5:D14),"")</f>
        <v/>
      </c>
    </row>
    <row r="18" ht="22" customHeight="1">
      <c r="B18" s="25" t="inlineStr">
        <is>
          <t>Students with ≥75% Attendance</t>
        </is>
      </c>
      <c r="G18" s="37">
        <f>IFERROR(SUM(F5:F14),"")</f>
        <v/>
      </c>
    </row>
    <row r="19" ht="22" customHeight="1">
      <c r="B19" s="42" t="inlineStr">
        <is>
          <t>Students 65–74% (Warning Zone)</t>
        </is>
      </c>
      <c r="G19" s="36">
        <f>IFERROR(SUM(G5:G14),"")</f>
        <v/>
      </c>
    </row>
    <row r="20" ht="22" customHeight="1">
      <c r="B20" s="25" t="inlineStr">
        <is>
          <t>Students &lt; 65% (Defaulters)</t>
        </is>
      </c>
      <c r="G20" s="37">
        <f>IFERROR(SUM(H5:H14),"")</f>
        <v/>
      </c>
    </row>
    <row r="21" ht="22" customHeight="1">
      <c r="B21" s="42" t="inlineStr">
        <is>
          <t>Institution Average Attendance (%)</t>
        </is>
      </c>
      <c r="G21" s="36">
        <f>IFERROR(ROUND(AVERAGE(E5:E14),1),"")</f>
        <v/>
      </c>
    </row>
    <row r="22" ht="22" customHeight="1">
      <c r="B22" s="25" t="inlineStr">
        <is>
          <t>Condonation Applications</t>
        </is>
      </c>
      <c r="G22" s="37">
        <f>IFERROR(SUM(J5:J14),"")</f>
        <v/>
      </c>
    </row>
    <row r="23" ht="22" customHeight="1"/>
    <row r="24" ht="22" customHeight="1"/>
    <row r="25" ht="22" customHeight="1"/>
    <row r="26" ht="22" customHeight="1"/>
    <row r="27" ht="22" customHeight="1"/>
  </sheetData>
  <mergeCells count="15">
    <mergeCell ref="B21:F21"/>
    <mergeCell ref="G19:L19"/>
    <mergeCell ref="B16:L16"/>
    <mergeCell ref="B20:F20"/>
    <mergeCell ref="G22:L22"/>
    <mergeCell ref="B3:L3"/>
    <mergeCell ref="B2:L2"/>
    <mergeCell ref="G18:L18"/>
    <mergeCell ref="G17:L17"/>
    <mergeCell ref="B19:F19"/>
    <mergeCell ref="B22:F22"/>
    <mergeCell ref="G20:L20"/>
    <mergeCell ref="B17:F17"/>
    <mergeCell ref="B18:F18"/>
    <mergeCell ref="G21:L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0" customWidth="1" min="5" max="5"/>
    <col width="12" customWidth="1" min="6" max="6"/>
    <col width="14" customWidth="1" min="7" max="7"/>
    <col width="14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CAC-15: MENTOR-MENTEE PROGRAMME REGISTER</t>
        </is>
      </c>
    </row>
    <row r="3" ht="20" customHeight="1">
      <c r="B3" s="2" t="inlineStr">
        <is>
          <t>Semester: _______  A.Y.: _______  CAC Coordinator: ___________________</t>
        </is>
      </c>
    </row>
    <row r="4" ht="25" customHeight="1">
      <c r="B4" s="13" t="inlineStr">
        <is>
          <t>Mentor
Ref.</t>
        </is>
      </c>
      <c r="C4" s="13" t="inlineStr">
        <is>
          <t>Mentor Name</t>
        </is>
      </c>
      <c r="D4" s="13" t="inlineStr">
        <is>
          <t>Dept.</t>
        </is>
      </c>
      <c r="E4" s="13" t="inlineStr">
        <is>
          <t>No. of
Mentees</t>
        </is>
      </c>
      <c r="F4" s="13" t="inlineStr">
        <is>
          <t>Sessions
Conducted</t>
        </is>
      </c>
      <c r="G4" s="13" t="inlineStr">
        <is>
          <t>Issues
Identified</t>
        </is>
      </c>
      <c r="H4" s="13" t="inlineStr">
        <is>
          <t>Action
Taken</t>
        </is>
      </c>
      <c r="I4" s="13" t="inlineStr">
        <is>
          <t>Parent
Meeting</t>
        </is>
      </c>
      <c r="J4" s="13" t="inlineStr">
        <is>
          <t>Status</t>
        </is>
      </c>
    </row>
    <row r="5" ht="22" customHeight="1">
      <c r="B5" s="14" t="inlineStr">
        <is>
          <t>M-001</t>
        </is>
      </c>
      <c r="C5" s="15" t="inlineStr"/>
      <c r="D5" s="16" t="inlineStr">
        <is>
          <t>CSE</t>
        </is>
      </c>
      <c r="E5" s="16" t="inlineStr"/>
      <c r="F5" s="16" t="inlineStr"/>
      <c r="G5" s="15" t="inlineStr">
        <is>
          <t>Academic difficulty / low attendance</t>
        </is>
      </c>
      <c r="H5" s="15" t="inlineStr"/>
      <c r="I5" s="16" t="inlineStr">
        <is>
          <t>Y</t>
        </is>
      </c>
      <c r="J5" s="16" t="inlineStr">
        <is>
          <t>Active</t>
        </is>
      </c>
    </row>
    <row r="6" ht="22" customHeight="1">
      <c r="B6" s="8" t="inlineStr">
        <is>
          <t>M-002</t>
        </is>
      </c>
      <c r="C6" s="9" t="inlineStr"/>
      <c r="D6" s="10" t="inlineStr">
        <is>
          <t>ECE</t>
        </is>
      </c>
      <c r="E6" s="10" t="inlineStr"/>
      <c r="F6" s="10" t="inlineStr"/>
      <c r="G6" s="9" t="inlineStr">
        <is>
          <t>Personal / family problem</t>
        </is>
      </c>
      <c r="H6" s="9" t="inlineStr"/>
      <c r="I6" s="10" t="inlineStr">
        <is>
          <t>Y</t>
        </is>
      </c>
      <c r="J6" s="10" t="inlineStr">
        <is>
          <t>Active</t>
        </is>
      </c>
    </row>
    <row r="7" ht="22" customHeight="1">
      <c r="B7" s="14" t="inlineStr">
        <is>
          <t>M-003</t>
        </is>
      </c>
      <c r="C7" s="15" t="inlineStr"/>
      <c r="D7" s="16" t="inlineStr">
        <is>
          <t>EEE</t>
        </is>
      </c>
      <c r="E7" s="16" t="inlineStr"/>
      <c r="F7" s="16" t="inlineStr"/>
      <c r="G7" s="15" t="inlineStr">
        <is>
          <t>Career confusion</t>
        </is>
      </c>
      <c r="H7" s="15" t="inlineStr"/>
      <c r="I7" s="16" t="inlineStr">
        <is>
          <t>Y</t>
        </is>
      </c>
      <c r="J7" s="16" t="inlineStr">
        <is>
          <t>Active</t>
        </is>
      </c>
    </row>
    <row r="8" ht="22" customHeight="1">
      <c r="B8" s="8" t="inlineStr">
        <is>
          <t>M-004</t>
        </is>
      </c>
      <c r="C8" s="9" t="inlineStr"/>
      <c r="D8" s="10" t="inlineStr">
        <is>
          <t>Mechanical</t>
        </is>
      </c>
      <c r="E8" s="10" t="inlineStr"/>
      <c r="F8" s="10" t="inlineStr"/>
      <c r="G8" s="9" t="inlineStr">
        <is>
          <t>Financial stress</t>
        </is>
      </c>
      <c r="H8" s="9" t="inlineStr"/>
      <c r="I8" s="10" t="inlineStr">
        <is>
          <t>Y</t>
        </is>
      </c>
      <c r="J8" s="10" t="inlineStr">
        <is>
          <t>Active</t>
        </is>
      </c>
    </row>
    <row r="9" ht="22" customHeight="1">
      <c r="B9" s="14" t="inlineStr">
        <is>
          <t>M-005</t>
        </is>
      </c>
      <c r="C9" s="15" t="inlineStr"/>
      <c r="D9" s="16" t="inlineStr">
        <is>
          <t>Civil</t>
        </is>
      </c>
      <c r="E9" s="16" t="inlineStr"/>
      <c r="F9" s="16" t="inlineStr"/>
      <c r="G9" s="15" t="inlineStr">
        <is>
          <t>Peer relationship issue</t>
        </is>
      </c>
      <c r="H9" s="15" t="inlineStr"/>
      <c r="I9" s="16" t="inlineStr">
        <is>
          <t>Y</t>
        </is>
      </c>
      <c r="J9" s="16" t="inlineStr">
        <is>
          <t>Active</t>
        </is>
      </c>
    </row>
    <row r="10" ht="22" customHeight="1">
      <c r="B10" s="8" t="inlineStr">
        <is>
          <t>M-006</t>
        </is>
      </c>
      <c r="C10" s="9" t="inlineStr"/>
      <c r="D10" s="10" t="inlineStr">
        <is>
          <t>S&amp;H</t>
        </is>
      </c>
      <c r="E10" s="10" t="inlineStr"/>
      <c r="F10" s="10" t="inlineStr"/>
      <c r="G10" s="9" t="inlineStr">
        <is>
          <t>Health concern</t>
        </is>
      </c>
      <c r="H10" s="9" t="inlineStr"/>
      <c r="I10" s="10" t="inlineStr">
        <is>
          <t>Y</t>
        </is>
      </c>
      <c r="J10" s="10" t="inlineStr">
        <is>
          <t>Active</t>
        </is>
      </c>
    </row>
    <row r="11" ht="22" customHeight="1">
      <c r="B11" s="14" t="inlineStr">
        <is>
          <t>M-007</t>
        </is>
      </c>
      <c r="C11" s="15" t="inlineStr"/>
      <c r="D11" s="16" t="inlineStr">
        <is>
          <t>MBA</t>
        </is>
      </c>
      <c r="E11" s="16" t="inlineStr"/>
      <c r="F11" s="16" t="inlineStr"/>
      <c r="G11" s="15" t="inlineStr">
        <is>
          <t>Placement anxiety</t>
        </is>
      </c>
      <c r="H11" s="15" t="inlineStr"/>
      <c r="I11" s="16" t="inlineStr">
        <is>
          <t>Y</t>
        </is>
      </c>
      <c r="J11" s="16" t="inlineStr">
        <is>
          <t>Active</t>
        </is>
      </c>
    </row>
    <row r="12" ht="22" customHeight="1">
      <c r="B12" s="8" t="inlineStr">
        <is>
          <t>M-008</t>
        </is>
      </c>
      <c r="C12" s="9" t="inlineStr"/>
      <c r="D12" s="10" t="inlineStr">
        <is>
          <t>MCA</t>
        </is>
      </c>
      <c r="E12" s="10" t="inlineStr"/>
      <c r="F12" s="10" t="inlineStr"/>
      <c r="G12" s="9" t="inlineStr">
        <is>
          <t>None — all well</t>
        </is>
      </c>
      <c r="H12" s="9" t="inlineStr"/>
      <c r="I12" s="10" t="inlineStr">
        <is>
          <t>Y</t>
        </is>
      </c>
      <c r="J12" s="10" t="inlineStr">
        <is>
          <t>Active</t>
        </is>
      </c>
    </row>
    <row r="13" ht="22" customHeight="1">
      <c r="B13" s="14" t="inlineStr">
        <is>
          <t>M-009</t>
        </is>
      </c>
      <c r="C13" s="15" t="inlineStr"/>
      <c r="D13" s="16" t="inlineStr">
        <is>
          <t>Pharmacy</t>
        </is>
      </c>
      <c r="E13" s="16" t="inlineStr"/>
      <c r="F13" s="16" t="inlineStr"/>
      <c r="G13" s="15" t="inlineStr">
        <is>
          <t>Academic difficulty / low attendance</t>
        </is>
      </c>
      <c r="H13" s="15" t="inlineStr"/>
      <c r="I13" s="16" t="inlineStr">
        <is>
          <t>Y</t>
        </is>
      </c>
      <c r="J13" s="16" t="inlineStr">
        <is>
          <t>Active</t>
        </is>
      </c>
    </row>
    <row r="14" ht="22" customHeight="1">
      <c r="B14" s="8" t="inlineStr">
        <is>
          <t>M-010</t>
        </is>
      </c>
      <c r="C14" s="9" t="inlineStr"/>
      <c r="D14" s="10" t="inlineStr">
        <is>
          <t>Architecture</t>
        </is>
      </c>
      <c r="E14" s="10" t="inlineStr"/>
      <c r="F14" s="10" t="inlineStr"/>
      <c r="G14" s="9" t="inlineStr">
        <is>
          <t>Personal / family problem</t>
        </is>
      </c>
      <c r="H14" s="9" t="inlineStr"/>
      <c r="I14" s="10" t="inlineStr">
        <is>
          <t>Y</t>
        </is>
      </c>
      <c r="J14" s="10" t="inlineStr">
        <is>
          <t>Active</t>
        </is>
      </c>
    </row>
    <row r="15" ht="22" customHeight="1">
      <c r="B15" s="14" t="inlineStr">
        <is>
          <t>M-011</t>
        </is>
      </c>
      <c r="C15" s="15" t="inlineStr"/>
      <c r="D15" s="16" t="inlineStr">
        <is>
          <t>CSE</t>
        </is>
      </c>
      <c r="E15" s="16" t="inlineStr"/>
      <c r="F15" s="16" t="inlineStr"/>
      <c r="G15" s="15" t="inlineStr">
        <is>
          <t>Career confusion</t>
        </is>
      </c>
      <c r="H15" s="15" t="inlineStr"/>
      <c r="I15" s="16" t="inlineStr">
        <is>
          <t>Y</t>
        </is>
      </c>
      <c r="J15" s="16" t="inlineStr">
        <is>
          <t>Active</t>
        </is>
      </c>
    </row>
    <row r="16" ht="22" customHeight="1">
      <c r="B16" s="8" t="inlineStr">
        <is>
          <t>M-012</t>
        </is>
      </c>
      <c r="C16" s="9" t="inlineStr"/>
      <c r="D16" s="10" t="inlineStr">
        <is>
          <t>ECE</t>
        </is>
      </c>
      <c r="E16" s="10" t="inlineStr"/>
      <c r="F16" s="10" t="inlineStr"/>
      <c r="G16" s="9" t="inlineStr">
        <is>
          <t>Financial stress</t>
        </is>
      </c>
      <c r="H16" s="9" t="inlineStr"/>
      <c r="I16" s="10" t="inlineStr">
        <is>
          <t>Y</t>
        </is>
      </c>
      <c r="J16" s="10" t="inlineStr">
        <is>
          <t>Active</t>
        </is>
      </c>
    </row>
    <row r="17" ht="22" customHeight="1">
      <c r="B17" s="14" t="inlineStr">
        <is>
          <t>M-013</t>
        </is>
      </c>
      <c r="C17" s="15" t="inlineStr"/>
      <c r="D17" s="16" t="inlineStr">
        <is>
          <t>EEE</t>
        </is>
      </c>
      <c r="E17" s="16" t="inlineStr"/>
      <c r="F17" s="16" t="inlineStr"/>
      <c r="G17" s="15" t="inlineStr">
        <is>
          <t>Peer relationship issue</t>
        </is>
      </c>
      <c r="H17" s="15" t="inlineStr"/>
      <c r="I17" s="16" t="inlineStr">
        <is>
          <t>Y</t>
        </is>
      </c>
      <c r="J17" s="16" t="inlineStr">
        <is>
          <t>Active</t>
        </is>
      </c>
    </row>
    <row r="18" ht="22" customHeight="1">
      <c r="B18" s="8" t="inlineStr">
        <is>
          <t>M-014</t>
        </is>
      </c>
      <c r="C18" s="9" t="inlineStr"/>
      <c r="D18" s="10" t="inlineStr">
        <is>
          <t>Mechanical</t>
        </is>
      </c>
      <c r="E18" s="10" t="inlineStr"/>
      <c r="F18" s="10" t="inlineStr"/>
      <c r="G18" s="9" t="inlineStr">
        <is>
          <t>Health concern</t>
        </is>
      </c>
      <c r="H18" s="9" t="inlineStr"/>
      <c r="I18" s="10" t="inlineStr">
        <is>
          <t>Y</t>
        </is>
      </c>
      <c r="J18" s="10" t="inlineStr">
        <is>
          <t>Active</t>
        </is>
      </c>
    </row>
    <row r="19" ht="22" customHeight="1">
      <c r="B19" s="14" t="inlineStr">
        <is>
          <t>M-015</t>
        </is>
      </c>
      <c r="C19" s="15" t="inlineStr"/>
      <c r="D19" s="16" t="inlineStr">
        <is>
          <t>Civil</t>
        </is>
      </c>
      <c r="E19" s="16" t="inlineStr"/>
      <c r="F19" s="16" t="inlineStr"/>
      <c r="G19" s="15" t="inlineStr">
        <is>
          <t>Placement anxiety</t>
        </is>
      </c>
      <c r="H19" s="15" t="inlineStr"/>
      <c r="I19" s="16" t="inlineStr">
        <is>
          <t>Y</t>
        </is>
      </c>
      <c r="J19" s="16" t="inlineStr">
        <is>
          <t>Active</t>
        </is>
      </c>
    </row>
    <row r="20" ht="22" customHeight="1">
      <c r="B20" s="8" t="inlineStr">
        <is>
          <t>M-016</t>
        </is>
      </c>
      <c r="C20" s="9" t="inlineStr"/>
      <c r="D20" s="10" t="inlineStr">
        <is>
          <t>S&amp;H</t>
        </is>
      </c>
      <c r="E20" s="10" t="inlineStr"/>
      <c r="F20" s="10" t="inlineStr"/>
      <c r="G20" s="9" t="inlineStr">
        <is>
          <t>None — all well</t>
        </is>
      </c>
      <c r="H20" s="9" t="inlineStr"/>
      <c r="I20" s="10" t="inlineStr">
        <is>
          <t>Y</t>
        </is>
      </c>
      <c r="J20" s="10" t="inlineStr">
        <is>
          <t>Active</t>
        </is>
      </c>
    </row>
    <row r="21" ht="22" customHeight="1">
      <c r="B21" s="14" t="inlineStr">
        <is>
          <t>M-017</t>
        </is>
      </c>
      <c r="C21" s="15" t="inlineStr"/>
      <c r="D21" s="16" t="inlineStr">
        <is>
          <t>MBA</t>
        </is>
      </c>
      <c r="E21" s="16" t="inlineStr"/>
      <c r="F21" s="16" t="inlineStr"/>
      <c r="G21" s="15" t="inlineStr">
        <is>
          <t>Academic difficulty / low attendance</t>
        </is>
      </c>
      <c r="H21" s="15" t="inlineStr"/>
      <c r="I21" s="16" t="inlineStr">
        <is>
          <t>Y</t>
        </is>
      </c>
      <c r="J21" s="16" t="inlineStr">
        <is>
          <t>Active</t>
        </is>
      </c>
    </row>
    <row r="22" ht="22" customHeight="1">
      <c r="B22" s="8" t="inlineStr">
        <is>
          <t>M-018</t>
        </is>
      </c>
      <c r="C22" s="9" t="inlineStr"/>
      <c r="D22" s="10" t="inlineStr">
        <is>
          <t>MCA</t>
        </is>
      </c>
      <c r="E22" s="10" t="inlineStr"/>
      <c r="F22" s="10" t="inlineStr"/>
      <c r="G22" s="9" t="inlineStr">
        <is>
          <t>Personal / family problem</t>
        </is>
      </c>
      <c r="H22" s="9" t="inlineStr"/>
      <c r="I22" s="10" t="inlineStr">
        <is>
          <t>Y</t>
        </is>
      </c>
      <c r="J22" s="10" t="inlineStr">
        <is>
          <t>Active</t>
        </is>
      </c>
    </row>
    <row r="23" ht="22" customHeight="1">
      <c r="B23" s="14" t="inlineStr">
        <is>
          <t>M-019</t>
        </is>
      </c>
      <c r="C23" s="15" t="inlineStr"/>
      <c r="D23" s="16" t="inlineStr">
        <is>
          <t>Pharmacy</t>
        </is>
      </c>
      <c r="E23" s="16" t="inlineStr"/>
      <c r="F23" s="16" t="inlineStr"/>
      <c r="G23" s="15" t="inlineStr">
        <is>
          <t>Career confusion</t>
        </is>
      </c>
      <c r="H23" s="15" t="inlineStr"/>
      <c r="I23" s="16" t="inlineStr">
        <is>
          <t>Y</t>
        </is>
      </c>
      <c r="J23" s="16" t="inlineStr">
        <is>
          <t>Active</t>
        </is>
      </c>
    </row>
    <row r="24" ht="22" customHeight="1">
      <c r="B24" s="8" t="inlineStr">
        <is>
          <t>M-020</t>
        </is>
      </c>
      <c r="C24" s="9" t="inlineStr"/>
      <c r="D24" s="10" t="inlineStr">
        <is>
          <t>Architecture</t>
        </is>
      </c>
      <c r="E24" s="10" t="inlineStr"/>
      <c r="F24" s="10" t="inlineStr"/>
      <c r="G24" s="9" t="inlineStr">
        <is>
          <t>Financial stress</t>
        </is>
      </c>
      <c r="H24" s="9" t="inlineStr"/>
      <c r="I24" s="10" t="inlineStr">
        <is>
          <t>Y</t>
        </is>
      </c>
      <c r="J24" s="10" t="inlineStr">
        <is>
          <t>Active</t>
        </is>
      </c>
    </row>
    <row r="25" ht="22" customHeight="1">
      <c r="B25" s="14" t="inlineStr">
        <is>
          <t>M-021</t>
        </is>
      </c>
      <c r="C25" s="15" t="inlineStr"/>
      <c r="D25" s="16" t="inlineStr">
        <is>
          <t>CSE</t>
        </is>
      </c>
      <c r="E25" s="16" t="inlineStr"/>
      <c r="F25" s="16" t="inlineStr"/>
      <c r="G25" s="15" t="inlineStr">
        <is>
          <t>Peer relationship issue</t>
        </is>
      </c>
      <c r="H25" s="15" t="inlineStr"/>
      <c r="I25" s="16" t="inlineStr">
        <is>
          <t>Y</t>
        </is>
      </c>
      <c r="J25" s="16" t="inlineStr">
        <is>
          <t>Active</t>
        </is>
      </c>
    </row>
    <row r="26" ht="22" customHeight="1">
      <c r="B26" s="8" t="inlineStr">
        <is>
          <t>M-022</t>
        </is>
      </c>
      <c r="C26" s="9" t="inlineStr"/>
      <c r="D26" s="10" t="inlineStr">
        <is>
          <t>ECE</t>
        </is>
      </c>
      <c r="E26" s="10" t="inlineStr"/>
      <c r="F26" s="10" t="inlineStr"/>
      <c r="G26" s="9" t="inlineStr">
        <is>
          <t>Health concern</t>
        </is>
      </c>
      <c r="H26" s="9" t="inlineStr"/>
      <c r="I26" s="10" t="inlineStr">
        <is>
          <t>Y</t>
        </is>
      </c>
      <c r="J26" s="10" t="inlineStr">
        <is>
          <t>Active</t>
        </is>
      </c>
    </row>
    <row r="27" ht="22" customHeight="1">
      <c r="B27" s="14" t="inlineStr">
        <is>
          <t>M-023</t>
        </is>
      </c>
      <c r="C27" s="15" t="inlineStr"/>
      <c r="D27" s="16" t="inlineStr">
        <is>
          <t>EEE</t>
        </is>
      </c>
      <c r="E27" s="16" t="inlineStr"/>
      <c r="F27" s="16" t="inlineStr"/>
      <c r="G27" s="15" t="inlineStr">
        <is>
          <t>Placement anxiety</t>
        </is>
      </c>
      <c r="H27" s="15" t="inlineStr"/>
      <c r="I27" s="16" t="inlineStr">
        <is>
          <t>Y</t>
        </is>
      </c>
      <c r="J27" s="16" t="inlineStr">
        <is>
          <t>Active</t>
        </is>
      </c>
    </row>
    <row r="28" ht="22" customHeight="1">
      <c r="B28" s="8" t="inlineStr">
        <is>
          <t>M-024</t>
        </is>
      </c>
      <c r="C28" s="9" t="inlineStr"/>
      <c r="D28" s="10" t="inlineStr">
        <is>
          <t>Mechanical</t>
        </is>
      </c>
      <c r="E28" s="10" t="inlineStr"/>
      <c r="F28" s="10" t="inlineStr"/>
      <c r="G28" s="9" t="inlineStr">
        <is>
          <t>None — all well</t>
        </is>
      </c>
      <c r="H28" s="9" t="inlineStr"/>
      <c r="I28" s="10" t="inlineStr">
        <is>
          <t>Y</t>
        </is>
      </c>
      <c r="J28" s="10" t="inlineStr">
        <is>
          <t>Active</t>
        </is>
      </c>
    </row>
    <row r="29" ht="22" customHeight="1"/>
    <row r="30" ht="24" customHeight="1">
      <c r="B30" s="34" t="inlineStr">
        <is>
          <t>MENTORING PROGRAMME SUMMARY</t>
        </is>
      </c>
    </row>
    <row r="31" ht="22" customHeight="1">
      <c r="B31" s="42" t="inlineStr">
        <is>
          <t>Total Mentors</t>
        </is>
      </c>
      <c r="F31" s="36">
        <f>COUNTA(B5:B28)</f>
        <v/>
      </c>
    </row>
    <row r="32">
      <c r="B32" s="25" t="inlineStr">
        <is>
          <t>Total Mentees (approx.)</t>
        </is>
      </c>
      <c r="F32" s="37">
        <f>IFERROR(SUM(E5:E28),"")</f>
        <v/>
      </c>
    </row>
    <row r="33">
      <c r="B33" s="42" t="inlineStr">
        <is>
          <t>Total Sessions Conducted</t>
        </is>
      </c>
      <c r="F33" s="36">
        <f>IFERROR(SUM(F5:F28),"")</f>
        <v/>
      </c>
    </row>
    <row r="34">
      <c r="B34" s="25" t="inlineStr">
        <is>
          <t>Cases with Issues Identified</t>
        </is>
      </c>
      <c r="F34" s="37">
        <f>COUNTIF(G5:G28,"&lt;&gt;"&amp;"None — all well")</f>
        <v/>
      </c>
    </row>
    <row r="35">
      <c r="B35" s="42" t="inlineStr">
        <is>
          <t>Parent Meetings Conducted</t>
        </is>
      </c>
      <c r="F35" s="36">
        <f>COUNTIF(I5:I28,"Y")</f>
        <v/>
      </c>
    </row>
    <row r="36">
      <c r="B36" s="25" t="inlineStr">
        <is>
          <t>Average Mentees per Mentor</t>
        </is>
      </c>
      <c r="F36" s="37">
        <f>IFERROR(ROUND(AVERAGE(E5:E28),0),"")</f>
        <v/>
      </c>
    </row>
  </sheetData>
  <mergeCells count="15">
    <mergeCell ref="B31:E31"/>
    <mergeCell ref="B36:E36"/>
    <mergeCell ref="B3:J3"/>
    <mergeCell ref="B35:E35"/>
    <mergeCell ref="F35:J35"/>
    <mergeCell ref="F34:J34"/>
    <mergeCell ref="F36:J36"/>
    <mergeCell ref="B33:E33"/>
    <mergeCell ref="F33:J33"/>
    <mergeCell ref="F31:J31"/>
    <mergeCell ref="B34:E34"/>
    <mergeCell ref="F32:J32"/>
    <mergeCell ref="B30:J30"/>
    <mergeCell ref="B2:J2"/>
    <mergeCell ref="B32:E3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I5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" customWidth="1" min="10" max="10"/>
  </cols>
  <sheetData>
    <row r="1" ht="10" customHeight="1"/>
    <row r="2" ht="48" customHeight="1">
      <c r="B2" s="12" t="inlineStr">
        <is>
          <t>CAC-38: STUDENT FEEDBACK ON TEACHING — COURSE-WISE ANALYSIS</t>
        </is>
      </c>
    </row>
    <row r="3" ht="25" customHeight="1">
      <c r="B3" s="2" t="inlineStr">
        <is>
          <t>Semester: _______  A.Y.: _______  Respondents: _______  Date: _______  CAC Coordinator: ___________________</t>
        </is>
      </c>
    </row>
    <row r="4" ht="22" customHeight="1">
      <c r="B4" s="47" t="inlineStr">
        <is>
          <t>Scale: 1 = Strongly Disagree  |  2 = Disagree  |  3 = Neutral  |  4 = Agree  |  5 = Strongly Agree</t>
        </is>
      </c>
    </row>
    <row r="5" ht="24" customHeight="1">
      <c r="B5" s="19" t="inlineStr">
        <is>
          <t>A. TEACHING EFFECTIVENESS</t>
        </is>
      </c>
    </row>
    <row r="6" ht="22" customHeight="1">
      <c r="B6" s="13" t="inlineStr">
        <is>
          <t>Q.</t>
        </is>
      </c>
      <c r="C6" s="13" t="inlineStr">
        <is>
          <t>Survey Statement</t>
        </is>
      </c>
      <c r="D6" s="13" t="inlineStr">
        <is>
          <t>Strongly
Agree (5)</t>
        </is>
      </c>
      <c r="E6" s="13" t="inlineStr">
        <is>
          <t>Agree
(4)</t>
        </is>
      </c>
      <c r="F6" s="13" t="inlineStr">
        <is>
          <t>Neutral
(3)</t>
        </is>
      </c>
      <c r="G6" s="13" t="inlineStr">
        <is>
          <t>Disagree
(2)</t>
        </is>
      </c>
      <c r="H6" s="13" t="inlineStr">
        <is>
          <t>Strongly
Disagree (1)</t>
        </is>
      </c>
      <c r="I6" s="13" t="inlineStr">
        <is>
          <t>Avg Score</t>
        </is>
      </c>
    </row>
    <row r="7" ht="22" customHeight="1">
      <c r="B7" s="14" t="inlineStr">
        <is>
          <t>Q1</t>
        </is>
      </c>
      <c r="C7" s="15" t="inlineStr">
        <is>
          <t>Faculty explains concepts clearly and systematically</t>
        </is>
      </c>
      <c r="D7" s="16" t="inlineStr"/>
      <c r="E7" s="16" t="inlineStr"/>
      <c r="F7" s="16" t="inlineStr"/>
      <c r="G7" s="16" t="inlineStr"/>
      <c r="H7" s="16" t="inlineStr"/>
      <c r="I7" s="43">
        <f>IFERROR(ROUND((D7*5+E7*4+F7*3+G7*2+H7)/SUM(D7:H7),2),"")</f>
        <v/>
      </c>
    </row>
    <row r="8" ht="22" customHeight="1">
      <c r="B8" s="8" t="inlineStr">
        <is>
          <t>Q2</t>
        </is>
      </c>
      <c r="C8" s="9" t="inlineStr">
        <is>
          <t>Faculty uses examples, case studies and real-world applications</t>
        </is>
      </c>
      <c r="D8" s="10" t="inlineStr"/>
      <c r="E8" s="10" t="inlineStr"/>
      <c r="F8" s="10" t="inlineStr"/>
      <c r="G8" s="10" t="inlineStr"/>
      <c r="H8" s="10" t="inlineStr"/>
      <c r="I8" s="37">
        <f>IFERROR(ROUND((D8*5+E8*4+F8*3+G8*2+H8)/SUM(D8:H8),2),"")</f>
        <v/>
      </c>
    </row>
    <row r="9" ht="22" customHeight="1">
      <c r="B9" s="14" t="inlineStr">
        <is>
          <t>Q3</t>
        </is>
      </c>
      <c r="C9" s="15" t="inlineStr">
        <is>
          <t>Faculty encourages questions and class participation</t>
        </is>
      </c>
      <c r="D9" s="16" t="inlineStr"/>
      <c r="E9" s="16" t="inlineStr"/>
      <c r="F9" s="16" t="inlineStr"/>
      <c r="G9" s="16" t="inlineStr"/>
      <c r="H9" s="16" t="inlineStr"/>
      <c r="I9" s="43">
        <f>IFERROR(ROUND((D9*5+E9*4+F9*3+G9*2+H9)/SUM(D9:H9),2),"")</f>
        <v/>
      </c>
    </row>
    <row r="10" ht="22" customHeight="1">
      <c r="B10" s="8" t="inlineStr">
        <is>
          <t>Q4</t>
        </is>
      </c>
      <c r="C10" s="9" t="inlineStr">
        <is>
          <t>Faculty uses varied teaching methods (beyond just lecture)</t>
        </is>
      </c>
      <c r="D10" s="10" t="inlineStr"/>
      <c r="E10" s="10" t="inlineStr"/>
      <c r="F10" s="10" t="inlineStr"/>
      <c r="G10" s="10" t="inlineStr"/>
      <c r="H10" s="10" t="inlineStr"/>
      <c r="I10" s="37">
        <f>IFERROR(ROUND((D10*5+E10*4+F10*3+G10*2+H10)/SUM(D10:H10),2),"")</f>
        <v/>
      </c>
    </row>
    <row r="11" ht="22" customHeight="1">
      <c r="B11" s="14" t="inlineStr">
        <is>
          <t>Q5</t>
        </is>
      </c>
      <c r="C11" s="15" t="inlineStr">
        <is>
          <t>Faculty is well-prepared and punctual for classes</t>
        </is>
      </c>
      <c r="D11" s="16" t="inlineStr"/>
      <c r="E11" s="16" t="inlineStr"/>
      <c r="F11" s="16" t="inlineStr"/>
      <c r="G11" s="16" t="inlineStr"/>
      <c r="H11" s="16" t="inlineStr"/>
      <c r="I11" s="43">
        <f>IFERROR(ROUND((D11*5+E11*4+F11*3+G11*2+H11)/SUM(D11:H11),2),"")</f>
        <v/>
      </c>
    </row>
    <row r="12" ht="22" customHeight="1">
      <c r="B12" s="8" t="inlineStr">
        <is>
          <t>Q6</t>
        </is>
      </c>
      <c r="C12" s="9" t="inlineStr">
        <is>
          <t>Faculty provides adequate time for understanding each topic</t>
        </is>
      </c>
      <c r="D12" s="10" t="inlineStr"/>
      <c r="E12" s="10" t="inlineStr"/>
      <c r="F12" s="10" t="inlineStr"/>
      <c r="G12" s="10" t="inlineStr"/>
      <c r="H12" s="10" t="inlineStr"/>
      <c r="I12" s="37">
        <f>IFERROR(ROUND((D12*5+E12*4+F12*3+G12*2+H12)/SUM(D12:H12),2),"")</f>
        <v/>
      </c>
    </row>
    <row r="13" ht="22" customHeight="1"/>
    <row r="14" ht="24" customHeight="1">
      <c r="B14" s="38" t="inlineStr">
        <is>
          <t>B. CURRICULUM &amp; COURSE CONTENT</t>
        </is>
      </c>
    </row>
    <row r="15" ht="22" customHeight="1">
      <c r="B15" s="48" t="inlineStr">
        <is>
          <t>Q.</t>
        </is>
      </c>
      <c r="C15" s="48" t="inlineStr">
        <is>
          <t>Survey Statement</t>
        </is>
      </c>
      <c r="D15" s="48" t="inlineStr">
        <is>
          <t>Strongly
Agree (5)</t>
        </is>
      </c>
      <c r="E15" s="48" t="inlineStr">
        <is>
          <t>Agree
(4)</t>
        </is>
      </c>
      <c r="F15" s="48" t="inlineStr">
        <is>
          <t>Neutral
(3)</t>
        </is>
      </c>
      <c r="G15" s="48" t="inlineStr">
        <is>
          <t>Disagree
(2)</t>
        </is>
      </c>
      <c r="H15" s="48" t="inlineStr">
        <is>
          <t>Strongly
Disagree (1)</t>
        </is>
      </c>
      <c r="I15" s="48" t="inlineStr">
        <is>
          <t>Avg Score</t>
        </is>
      </c>
    </row>
    <row r="16" ht="22" customHeight="1">
      <c r="B16" s="39" t="inlineStr">
        <is>
          <t>Q7</t>
        </is>
      </c>
      <c r="C16" s="40" t="inlineStr">
        <is>
          <t>Course content is relevant to current industry needs</t>
        </is>
      </c>
      <c r="D16" s="41" t="inlineStr"/>
      <c r="E16" s="41" t="inlineStr"/>
      <c r="F16" s="41" t="inlineStr"/>
      <c r="G16" s="41" t="inlineStr"/>
      <c r="H16" s="41" t="inlineStr"/>
      <c r="I16" s="49">
        <f>IFERROR(ROUND((D16*5+E16*4+F16*3+G16*2+H16)/SUM(D16:H16),2),"")</f>
        <v/>
      </c>
    </row>
    <row r="17" ht="22" customHeight="1">
      <c r="B17" s="8" t="inlineStr">
        <is>
          <t>Q8</t>
        </is>
      </c>
      <c r="C17" s="9" t="inlineStr">
        <is>
          <t>Syllabus coverage is complete and on schedule</t>
        </is>
      </c>
      <c r="D17" s="10" t="inlineStr"/>
      <c r="E17" s="10" t="inlineStr"/>
      <c r="F17" s="10" t="inlineStr"/>
      <c r="G17" s="10" t="inlineStr"/>
      <c r="H17" s="10" t="inlineStr"/>
      <c r="I17" s="37">
        <f>IFERROR(ROUND((D17*5+E17*4+F17*3+G17*2+H17)/SUM(D17:H17),2),"")</f>
        <v/>
      </c>
    </row>
    <row r="18" ht="22" customHeight="1">
      <c r="B18" s="39" t="inlineStr">
        <is>
          <t>Q9</t>
        </is>
      </c>
      <c r="C18" s="40" t="inlineStr">
        <is>
          <t>The course load / credit is appropriate</t>
        </is>
      </c>
      <c r="D18" s="41" t="inlineStr"/>
      <c r="E18" s="41" t="inlineStr"/>
      <c r="F18" s="41" t="inlineStr"/>
      <c r="G18" s="41" t="inlineStr"/>
      <c r="H18" s="41" t="inlineStr"/>
      <c r="I18" s="49">
        <f>IFERROR(ROUND((D18*5+E18*4+F18*3+G18*2+H18)/SUM(D18:H18),2),"")</f>
        <v/>
      </c>
    </row>
    <row r="19" ht="22" customHeight="1">
      <c r="B19" s="8" t="inlineStr">
        <is>
          <t>Q10</t>
        </is>
      </c>
      <c r="C19" s="9" t="inlineStr">
        <is>
          <t>The course has practical / hands-on components where needed</t>
        </is>
      </c>
      <c r="D19" s="10" t="inlineStr"/>
      <c r="E19" s="10" t="inlineStr"/>
      <c r="F19" s="10" t="inlineStr"/>
      <c r="G19" s="10" t="inlineStr"/>
      <c r="H19" s="10" t="inlineStr"/>
      <c r="I19" s="37">
        <f>IFERROR(ROUND((D19*5+E19*4+F19*3+G19*2+H19)/SUM(D19:H19),2),"")</f>
        <v/>
      </c>
    </row>
    <row r="20" ht="22" customHeight="1">
      <c r="B20" s="39" t="inlineStr">
        <is>
          <t>Q11</t>
        </is>
      </c>
      <c r="C20" s="40" t="inlineStr">
        <is>
          <t>Reading materials and references are adequate and accessible</t>
        </is>
      </c>
      <c r="D20" s="41" t="inlineStr"/>
      <c r="E20" s="41" t="inlineStr"/>
      <c r="F20" s="41" t="inlineStr"/>
      <c r="G20" s="41" t="inlineStr"/>
      <c r="H20" s="41" t="inlineStr"/>
      <c r="I20" s="49">
        <f>IFERROR(ROUND((D20*5+E20*4+F20*3+G20*2+H20)/SUM(D20:H20),2),"")</f>
        <v/>
      </c>
    </row>
    <row r="21" ht="22" customHeight="1">
      <c r="B21" s="8" t="inlineStr">
        <is>
          <t>Q12</t>
        </is>
      </c>
      <c r="C21" s="9" t="inlineStr">
        <is>
          <t>Course Outcomes (COs) are clearly communicated</t>
        </is>
      </c>
      <c r="D21" s="10" t="inlineStr"/>
      <c r="E21" s="10" t="inlineStr"/>
      <c r="F21" s="10" t="inlineStr"/>
      <c r="G21" s="10" t="inlineStr"/>
      <c r="H21" s="10" t="inlineStr"/>
      <c r="I21" s="37">
        <f>IFERROR(ROUND((D21*5+E21*4+F21*3+G21*2+H21)/SUM(D21:H21),2),"")</f>
        <v/>
      </c>
    </row>
    <row r="22" ht="22" customHeight="1"/>
    <row r="23" ht="24" customHeight="1">
      <c r="B23" s="34" t="inlineStr">
        <is>
          <t>C. ASSESSMENT &amp; EVALUATION</t>
        </is>
      </c>
    </row>
    <row r="24" ht="22" customHeight="1">
      <c r="B24" s="30" t="inlineStr">
        <is>
          <t>Q.</t>
        </is>
      </c>
      <c r="C24" s="30" t="inlineStr">
        <is>
          <t>Survey Statement</t>
        </is>
      </c>
      <c r="D24" s="30" t="inlineStr">
        <is>
          <t>Strongly
Agree (5)</t>
        </is>
      </c>
      <c r="E24" s="30" t="inlineStr">
        <is>
          <t>Agree
(4)</t>
        </is>
      </c>
      <c r="F24" s="30" t="inlineStr">
        <is>
          <t>Neutral
(3)</t>
        </is>
      </c>
      <c r="G24" s="30" t="inlineStr">
        <is>
          <t>Disagree
(2)</t>
        </is>
      </c>
      <c r="H24" s="30" t="inlineStr">
        <is>
          <t>Strongly
Disagree (1)</t>
        </is>
      </c>
      <c r="I24" s="30" t="inlineStr">
        <is>
          <t>Avg Score</t>
        </is>
      </c>
    </row>
    <row r="25" ht="22" customHeight="1">
      <c r="B25" s="31" t="inlineStr">
        <is>
          <t>Q13</t>
        </is>
      </c>
      <c r="C25" s="32" t="inlineStr">
        <is>
          <t>Internal assessment is conducted fairly and transparently</t>
        </is>
      </c>
      <c r="D25" s="33" t="inlineStr"/>
      <c r="E25" s="33" t="inlineStr"/>
      <c r="F25" s="33" t="inlineStr"/>
      <c r="G25" s="33" t="inlineStr"/>
      <c r="H25" s="33" t="inlineStr"/>
      <c r="I25" s="50">
        <f>IFERROR(ROUND((D25*5+E25*4+F25*3+G25*2+H25)/SUM(D25:H25),2),"")</f>
        <v/>
      </c>
    </row>
    <row r="26" ht="22" customHeight="1">
      <c r="B26" s="8" t="inlineStr">
        <is>
          <t>Q14</t>
        </is>
      </c>
      <c r="C26" s="9" t="inlineStr">
        <is>
          <t>Assignments and projects are relevant and challenging</t>
        </is>
      </c>
      <c r="D26" s="10" t="inlineStr"/>
      <c r="E26" s="10" t="inlineStr"/>
      <c r="F26" s="10" t="inlineStr"/>
      <c r="G26" s="10" t="inlineStr"/>
      <c r="H26" s="10" t="inlineStr"/>
      <c r="I26" s="37">
        <f>IFERROR(ROUND((D26*5+E26*4+F26*3+G26*2+H26)/SUM(D26:H26),2),"")</f>
        <v/>
      </c>
    </row>
    <row r="27" ht="22" customHeight="1">
      <c r="B27" s="31" t="inlineStr">
        <is>
          <t>Q15</t>
        </is>
      </c>
      <c r="C27" s="32" t="inlineStr">
        <is>
          <t>Feedback on tests and assignments is given promptly</t>
        </is>
      </c>
      <c r="D27" s="33" t="inlineStr"/>
      <c r="E27" s="33" t="inlineStr"/>
      <c r="F27" s="33" t="inlineStr"/>
      <c r="G27" s="33" t="inlineStr"/>
      <c r="H27" s="33" t="inlineStr"/>
      <c r="I27" s="50">
        <f>IFERROR(ROUND((D27*5+E27*4+F27*3+G27*2+H27)/SUM(D27:H27),2),"")</f>
        <v/>
      </c>
    </row>
    <row r="28" ht="22" customHeight="1">
      <c r="B28" s="8" t="inlineStr">
        <is>
          <t>Q16</t>
        </is>
      </c>
      <c r="C28" s="9" t="inlineStr">
        <is>
          <t>Evaluation criteria are clearly explained before assessment</t>
        </is>
      </c>
      <c r="D28" s="10" t="inlineStr"/>
      <c r="E28" s="10" t="inlineStr"/>
      <c r="F28" s="10" t="inlineStr"/>
      <c r="G28" s="10" t="inlineStr"/>
      <c r="H28" s="10" t="inlineStr"/>
      <c r="I28" s="37">
        <f>IFERROR(ROUND((D28*5+E28*4+F28*3+G28*2+H28)/SUM(D28:H28),2),"")</f>
        <v/>
      </c>
    </row>
    <row r="29" ht="22" customHeight="1">
      <c r="B29" s="31" t="inlineStr">
        <is>
          <t>Q17</t>
        </is>
      </c>
      <c r="C29" s="32" t="inlineStr">
        <is>
          <t>The difficulty level of assessments is appropriate</t>
        </is>
      </c>
      <c r="D29" s="33" t="inlineStr"/>
      <c r="E29" s="33" t="inlineStr"/>
      <c r="F29" s="33" t="inlineStr"/>
      <c r="G29" s="33" t="inlineStr"/>
      <c r="H29" s="33" t="inlineStr"/>
      <c r="I29" s="50">
        <f>IFERROR(ROUND((D29*5+E29*4+F29*3+G29*2+H29)/SUM(D29:H29),2),"")</f>
        <v/>
      </c>
    </row>
    <row r="30" ht="22" customHeight="1"/>
    <row r="31" ht="24" customHeight="1">
      <c r="B31" s="51" t="inlineStr">
        <is>
          <t>D. LEARNING RESOURCES &amp; INFRASTRUCTURE</t>
        </is>
      </c>
    </row>
    <row r="32" ht="22" customHeight="1">
      <c r="B32" s="52" t="inlineStr">
        <is>
          <t>Q.</t>
        </is>
      </c>
      <c r="C32" s="52" t="inlineStr">
        <is>
          <t>Survey Statement</t>
        </is>
      </c>
      <c r="D32" s="52" t="inlineStr">
        <is>
          <t>Strongly
Agree (5)</t>
        </is>
      </c>
      <c r="E32" s="52" t="inlineStr">
        <is>
          <t>Agree
(4)</t>
        </is>
      </c>
      <c r="F32" s="52" t="inlineStr">
        <is>
          <t>Neutral
(3)</t>
        </is>
      </c>
      <c r="G32" s="52" t="inlineStr">
        <is>
          <t>Disagree
(2)</t>
        </is>
      </c>
      <c r="H32" s="52" t="inlineStr">
        <is>
          <t>Strongly
Disagree (1)</t>
        </is>
      </c>
      <c r="I32" s="52" t="inlineStr">
        <is>
          <t>Avg Score</t>
        </is>
      </c>
    </row>
    <row r="33" ht="22" customHeight="1">
      <c r="B33" s="53" t="inlineStr">
        <is>
          <t>Q18</t>
        </is>
      </c>
      <c r="C33" s="54" t="inlineStr">
        <is>
          <t>Classrooms are equipped with adequate AV facilities</t>
        </is>
      </c>
      <c r="D33" s="55" t="inlineStr"/>
      <c r="E33" s="55" t="inlineStr"/>
      <c r="F33" s="55" t="inlineStr"/>
      <c r="G33" s="55" t="inlineStr"/>
      <c r="H33" s="55" t="inlineStr"/>
      <c r="I33" s="56">
        <f>IFERROR(ROUND((D33*5+E33*4+F33*3+G33*2+H33)/SUM(D33:H33),2),"")</f>
        <v/>
      </c>
    </row>
    <row r="34" ht="22" customHeight="1">
      <c r="B34" s="8" t="inlineStr">
        <is>
          <t>Q19</t>
        </is>
      </c>
      <c r="C34" s="9" t="inlineStr">
        <is>
          <t>Library resources (books, journals, e-resources) are adequate</t>
        </is>
      </c>
      <c r="D34" s="10" t="inlineStr"/>
      <c r="E34" s="10" t="inlineStr"/>
      <c r="F34" s="10" t="inlineStr"/>
      <c r="G34" s="10" t="inlineStr"/>
      <c r="H34" s="10" t="inlineStr"/>
      <c r="I34" s="37">
        <f>IFERROR(ROUND((D34*5+E34*4+F34*3+G34*2+H34)/SUM(D34:H34),2),"")</f>
        <v/>
      </c>
    </row>
    <row r="35" ht="22" customHeight="1">
      <c r="B35" s="53" t="inlineStr">
        <is>
          <t>Q20</t>
        </is>
      </c>
      <c r="C35" s="54" t="inlineStr">
        <is>
          <t>Lab facilities and equipment are sufficient and functional</t>
        </is>
      </c>
      <c r="D35" s="55" t="inlineStr"/>
      <c r="E35" s="55" t="inlineStr"/>
      <c r="F35" s="55" t="inlineStr"/>
      <c r="G35" s="55" t="inlineStr"/>
      <c r="H35" s="55" t="inlineStr"/>
      <c r="I35" s="56">
        <f>IFERROR(ROUND((D35*5+E35*4+F35*3+G35*2+H35)/SUM(D35:H35),2),"")</f>
        <v/>
      </c>
    </row>
    <row r="36" ht="22" customHeight="1">
      <c r="B36" s="8" t="inlineStr">
        <is>
          <t>Q21</t>
        </is>
      </c>
      <c r="C36" s="9" t="inlineStr">
        <is>
          <t>Online resources / LMS (if used) are effective</t>
        </is>
      </c>
      <c r="D36" s="10" t="inlineStr"/>
      <c r="E36" s="10" t="inlineStr"/>
      <c r="F36" s="10" t="inlineStr"/>
      <c r="G36" s="10" t="inlineStr"/>
      <c r="H36" s="10" t="inlineStr"/>
      <c r="I36" s="37">
        <f>IFERROR(ROUND((D36*5+E36*4+F36*3+G36*2+H36)/SUM(D36:H36),2),"")</f>
        <v/>
      </c>
    </row>
    <row r="37" ht="22" customHeight="1"/>
    <row r="38" ht="24" customHeight="1">
      <c r="B38" s="57" t="inlineStr">
        <is>
          <t>E. STUDENT SUPPORT</t>
        </is>
      </c>
    </row>
    <row r="39" ht="22" customHeight="1">
      <c r="B39" s="58" t="inlineStr">
        <is>
          <t>Q.</t>
        </is>
      </c>
      <c r="C39" s="58" t="inlineStr">
        <is>
          <t>Survey Statement</t>
        </is>
      </c>
      <c r="D39" s="58" t="inlineStr">
        <is>
          <t>Strongly
Agree (5)</t>
        </is>
      </c>
      <c r="E39" s="58" t="inlineStr">
        <is>
          <t>Agree
(4)</t>
        </is>
      </c>
      <c r="F39" s="58" t="inlineStr">
        <is>
          <t>Neutral
(3)</t>
        </is>
      </c>
      <c r="G39" s="58" t="inlineStr">
        <is>
          <t>Disagree
(2)</t>
        </is>
      </c>
      <c r="H39" s="58" t="inlineStr">
        <is>
          <t>Strongly
Disagree (1)</t>
        </is>
      </c>
      <c r="I39" s="58" t="inlineStr">
        <is>
          <t>Avg Score</t>
        </is>
      </c>
    </row>
    <row r="40" ht="22" customHeight="1">
      <c r="B40" s="59" t="inlineStr">
        <is>
          <t>Q22</t>
        </is>
      </c>
      <c r="C40" s="60" t="inlineStr">
        <is>
          <t>Faculty is accessible for doubt-clearing beyond class hours</t>
        </is>
      </c>
      <c r="D40" s="61" t="inlineStr"/>
      <c r="E40" s="61" t="inlineStr"/>
      <c r="F40" s="61" t="inlineStr"/>
      <c r="G40" s="61" t="inlineStr"/>
      <c r="H40" s="61" t="inlineStr"/>
      <c r="I40" s="62">
        <f>IFERROR(ROUND((D40*5+E40*4+F40*3+G40*2+H40)/SUM(D40:H40),2),"")</f>
        <v/>
      </c>
    </row>
    <row r="41" ht="22" customHeight="1">
      <c r="B41" s="8" t="inlineStr">
        <is>
          <t>Q23</t>
        </is>
      </c>
      <c r="C41" s="9" t="inlineStr">
        <is>
          <t>Mentoring / student support is available when needed</t>
        </is>
      </c>
      <c r="D41" s="10" t="inlineStr"/>
      <c r="E41" s="10" t="inlineStr"/>
      <c r="F41" s="10" t="inlineStr"/>
      <c r="G41" s="10" t="inlineStr"/>
      <c r="H41" s="10" t="inlineStr"/>
      <c r="I41" s="37">
        <f>IFERROR(ROUND((D41*5+E41*4+F41*3+G41*2+H41)/SUM(D41:H41),2),"")</f>
        <v/>
      </c>
    </row>
    <row r="42" ht="22" customHeight="1">
      <c r="B42" s="59" t="inlineStr">
        <is>
          <t>Q24</t>
        </is>
      </c>
      <c r="C42" s="60" t="inlineStr">
        <is>
          <t>Faculty creates an inclusive and respectful learning environment</t>
        </is>
      </c>
      <c r="D42" s="61" t="inlineStr"/>
      <c r="E42" s="61" t="inlineStr"/>
      <c r="F42" s="61" t="inlineStr"/>
      <c r="G42" s="61" t="inlineStr"/>
      <c r="H42" s="61" t="inlineStr"/>
      <c r="I42" s="62">
        <f>IFERROR(ROUND((D42*5+E42*4+F42*3+G42*2+H42)/SUM(D42:H42),2),"")</f>
        <v/>
      </c>
    </row>
    <row r="43" ht="22" customHeight="1">
      <c r="B43" s="8" t="inlineStr">
        <is>
          <t>Q25</t>
        </is>
      </c>
      <c r="C43" s="9" t="inlineStr">
        <is>
          <t>Overall satisfaction with the academic experience this semester</t>
        </is>
      </c>
      <c r="D43" s="10" t="inlineStr"/>
      <c r="E43" s="10" t="inlineStr"/>
      <c r="F43" s="10" t="inlineStr"/>
      <c r="G43" s="10" t="inlineStr"/>
      <c r="H43" s="10" t="inlineStr"/>
      <c r="I43" s="37">
        <f>IFERROR(ROUND((D43*5+E43*4+F43*3+G43*2+H43)/SUM(D43:H43),2),"")</f>
        <v/>
      </c>
    </row>
    <row r="44" ht="22" customHeight="1"/>
    <row r="45" ht="24" customHeight="1">
      <c r="B45" s="27" t="inlineStr">
        <is>
          <t>FEEDBACK ANALYSIS — SECTION-WISE SUMMARY</t>
        </is>
      </c>
    </row>
    <row r="46" ht="22" customHeight="1">
      <c r="B46" s="28" t="inlineStr">
        <is>
          <t>Section</t>
        </is>
      </c>
      <c r="C46" s="28" t="inlineStr">
        <is>
          <t>Avg Score (/5)</t>
        </is>
      </c>
      <c r="D46" s="28" t="inlineStr">
        <is>
          <t>Satisfaction %</t>
        </is>
      </c>
      <c r="E46" s="28" t="inlineStr">
        <is>
          <t>Benchmark
(≥3.5)</t>
        </is>
      </c>
      <c r="F46" s="28" t="inlineStr">
        <is>
          <t>Gap</t>
        </is>
      </c>
      <c r="G46" s="28" t="inlineStr">
        <is>
          <t>Status</t>
        </is>
      </c>
      <c r="H46" s="28" t="inlineStr">
        <is>
          <t>Priority Action</t>
        </is>
      </c>
    </row>
    <row r="47" ht="22" customHeight="1">
      <c r="B47" s="42" t="inlineStr">
        <is>
          <t>TEACHING EFFECTIVENESS</t>
        </is>
      </c>
      <c r="C47" s="16" t="inlineStr"/>
      <c r="D47" s="16">
        <f>IFERROR(ROUND(C47/5*100,1),"")</f>
        <v/>
      </c>
      <c r="E47" s="16" t="n">
        <v>3.5</v>
      </c>
      <c r="F47" s="16">
        <f>IFERROR(ROUND(C47-E47,2),"")</f>
        <v/>
      </c>
      <c r="G47" s="16">
        <f>IFERROR(IF(C47&gt;=3.5,"Satisfactory","Needs Attention"),"")</f>
        <v/>
      </c>
      <c r="H47" s="15" t="inlineStr"/>
      <c r="I47" s="63" t="n"/>
    </row>
    <row r="48" ht="22" customHeight="1">
      <c r="B48" s="25" t="inlineStr">
        <is>
          <t>CURRICULUM &amp; COURSE CONTENT</t>
        </is>
      </c>
      <c r="C48" s="10" t="inlineStr"/>
      <c r="D48" s="10">
        <f>IFERROR(ROUND(C48/5*100,1),"")</f>
        <v/>
      </c>
      <c r="E48" s="10" t="n">
        <v>3.5</v>
      </c>
      <c r="F48" s="10">
        <f>IFERROR(ROUND(C48-E48,2),"")</f>
        <v/>
      </c>
      <c r="G48" s="10">
        <f>IFERROR(IF(C48&gt;=3.5,"Satisfactory","Needs Attention"),"")</f>
        <v/>
      </c>
      <c r="H48" s="9" t="inlineStr"/>
      <c r="I48" s="64" t="n"/>
    </row>
    <row r="49" ht="22" customHeight="1">
      <c r="B49" s="42" t="inlineStr">
        <is>
          <t>ASSESSMENT &amp; EVALUATION</t>
        </is>
      </c>
      <c r="C49" s="16" t="inlineStr"/>
      <c r="D49" s="16">
        <f>IFERROR(ROUND(C49/5*100,1),"")</f>
        <v/>
      </c>
      <c r="E49" s="16" t="n">
        <v>3.5</v>
      </c>
      <c r="F49" s="16">
        <f>IFERROR(ROUND(C49-E49,2),"")</f>
        <v/>
      </c>
      <c r="G49" s="16">
        <f>IFERROR(IF(C49&gt;=3.5,"Satisfactory","Needs Attention"),"")</f>
        <v/>
      </c>
      <c r="H49" s="15" t="inlineStr"/>
      <c r="I49" s="63" t="n"/>
    </row>
    <row r="50" ht="22" customHeight="1">
      <c r="B50" s="25" t="inlineStr">
        <is>
          <t>LEARNING RESOURCES &amp; INFRASTRUCTURE</t>
        </is>
      </c>
      <c r="C50" s="10" t="inlineStr"/>
      <c r="D50" s="10">
        <f>IFERROR(ROUND(C50/5*100,1),"")</f>
        <v/>
      </c>
      <c r="E50" s="10" t="n">
        <v>3.5</v>
      </c>
      <c r="F50" s="10">
        <f>IFERROR(ROUND(C50-E50,2),"")</f>
        <v/>
      </c>
      <c r="G50" s="10">
        <f>IFERROR(IF(C50&gt;=3.5,"Satisfactory","Needs Attention"),"")</f>
        <v/>
      </c>
      <c r="H50" s="9" t="inlineStr"/>
      <c r="I50" s="64" t="n"/>
    </row>
    <row r="51" ht="22" customHeight="1">
      <c r="B51" s="42" t="inlineStr">
        <is>
          <t>STUDENT SUPPORT</t>
        </is>
      </c>
      <c r="C51" s="16" t="inlineStr"/>
      <c r="D51" s="16">
        <f>IFERROR(ROUND(C51/5*100,1),"")</f>
        <v/>
      </c>
      <c r="E51" s="16" t="n">
        <v>3.5</v>
      </c>
      <c r="F51" s="16">
        <f>IFERROR(ROUND(C51-E51,2),"")</f>
        <v/>
      </c>
      <c r="G51" s="16">
        <f>IFERROR(IF(C51&gt;=3.5,"Satisfactory","Needs Attention"),"")</f>
        <v/>
      </c>
      <c r="H51" s="15" t="inlineStr"/>
      <c r="I51" s="63" t="n"/>
    </row>
  </sheetData>
  <mergeCells count="9">
    <mergeCell ref="B45:I45"/>
    <mergeCell ref="B38:I38"/>
    <mergeCell ref="B2:I2"/>
    <mergeCell ref="B3:I3"/>
    <mergeCell ref="B5:I5"/>
    <mergeCell ref="B14:I14"/>
    <mergeCell ref="B31:I31"/>
    <mergeCell ref="B23:I23"/>
    <mergeCell ref="B4:I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2" t="inlineStr">
        <is>
          <t>CAC-42: ANNUAL ACADEMIC AUDIT — DEPARTMENT-WISE CHECKLIST</t>
        </is>
      </c>
    </row>
    <row r="3" ht="20" customHeight="1">
      <c r="B3" s="17" t="inlineStr">
        <is>
          <t>Rating: 1 = Not Compliant  2 = Partially Compliant  3 = Mostly Compliant  4 = Fully Compliant  5 = Exemplary. All departments must score ≥ 3.5 average.</t>
        </is>
      </c>
    </row>
    <row r="4" ht="25" customHeight="1">
      <c r="B4" s="2" t="inlineStr">
        <is>
          <t>Department: _______  A.Y.: _______  Auditor: ___________________  Date: _______</t>
        </is>
      </c>
    </row>
    <row r="5" ht="26" customHeight="1">
      <c r="B5" s="13" t="inlineStr">
        <is>
          <t>Sl.</t>
        </is>
      </c>
      <c r="C5" s="13" t="inlineStr">
        <is>
          <t>Audit Parameter</t>
        </is>
      </c>
      <c r="D5" s="13" t="inlineStr">
        <is>
          <t>NAAC
Ref.</t>
        </is>
      </c>
      <c r="E5" s="13" t="inlineStr">
        <is>
          <t>Rating
(1–5)</t>
        </is>
      </c>
      <c r="F5" s="13" t="inlineStr">
        <is>
          <t>Evidence
Available</t>
        </is>
      </c>
      <c r="G5" s="13" t="inlineStr">
        <is>
          <t>Observation</t>
        </is>
      </c>
      <c r="H5" s="13" t="inlineStr">
        <is>
          <t>Action
Required</t>
        </is>
      </c>
    </row>
    <row r="6" ht="24" customHeight="1">
      <c r="B6" s="19" t="inlineStr">
        <is>
          <t>I. CURRICULUM &amp; COURSE DELIVERY</t>
        </is>
      </c>
    </row>
    <row r="7" ht="26" customHeight="1">
      <c r="B7" s="65" t="n">
        <v>1</v>
      </c>
      <c r="C7" s="66" t="inlineStr">
        <is>
          <t>Teaching plans submitted on time by all faculty</t>
        </is>
      </c>
      <c r="D7" s="67" t="inlineStr">
        <is>
          <t>Criterion II.1</t>
        </is>
      </c>
      <c r="E7" s="67" t="inlineStr"/>
      <c r="F7" s="67" t="inlineStr">
        <is>
          <t>Y</t>
        </is>
      </c>
      <c r="G7" s="66" t="inlineStr"/>
      <c r="H7" s="66" t="inlineStr"/>
    </row>
    <row r="8" ht="26" customHeight="1">
      <c r="B8" s="68" t="n">
        <v>2</v>
      </c>
      <c r="C8" s="69" t="inlineStr">
        <is>
          <t>Lesson plans include CO mapping and variety of methods</t>
        </is>
      </c>
      <c r="D8" s="70" t="inlineStr">
        <is>
          <t>Criterion II.1</t>
        </is>
      </c>
      <c r="E8" s="70" t="inlineStr"/>
      <c r="F8" s="70" t="inlineStr">
        <is>
          <t>Y</t>
        </is>
      </c>
      <c r="G8" s="69" t="inlineStr"/>
      <c r="H8" s="69" t="inlineStr"/>
    </row>
    <row r="9" ht="26" customHeight="1">
      <c r="B9" s="65" t="n">
        <v>3</v>
      </c>
      <c r="C9" s="66" t="inlineStr">
        <is>
          <t>Syllabus coverage ≥ 90% verified</t>
        </is>
      </c>
      <c r="D9" s="67" t="inlineStr">
        <is>
          <t>Criterion II.1</t>
        </is>
      </c>
      <c r="E9" s="67" t="inlineStr"/>
      <c r="F9" s="67" t="inlineStr">
        <is>
          <t>Y</t>
        </is>
      </c>
      <c r="G9" s="66" t="inlineStr"/>
      <c r="H9" s="66" t="inlineStr"/>
    </row>
    <row r="10" ht="26" customHeight="1">
      <c r="B10" s="68" t="n">
        <v>4</v>
      </c>
      <c r="C10" s="69" t="inlineStr">
        <is>
          <t>New / elective courses offered as per BoS approval</t>
        </is>
      </c>
      <c r="D10" s="70" t="inlineStr">
        <is>
          <t>Criterion II.1</t>
        </is>
      </c>
      <c r="E10" s="70" t="inlineStr"/>
      <c r="F10" s="70" t="inlineStr">
        <is>
          <t>Y</t>
        </is>
      </c>
      <c r="G10" s="69" t="inlineStr"/>
      <c r="H10" s="69" t="inlineStr"/>
    </row>
    <row r="11" ht="26" customHeight="1">
      <c r="B11" s="65" t="n">
        <v>5</v>
      </c>
      <c r="C11" s="66" t="inlineStr">
        <is>
          <t>Industry input in curriculum (at least annual review)</t>
        </is>
      </c>
      <c r="D11" s="67" t="inlineStr">
        <is>
          <t>Criterion II.1</t>
        </is>
      </c>
      <c r="E11" s="67" t="inlineStr"/>
      <c r="F11" s="67" t="inlineStr">
        <is>
          <t>Y</t>
        </is>
      </c>
      <c r="G11" s="66" t="inlineStr"/>
      <c r="H11" s="66" t="inlineStr"/>
    </row>
    <row r="12" ht="26" customHeight="1">
      <c r="B12" s="68" t="n">
        <v>6</v>
      </c>
      <c r="C12" s="69" t="inlineStr">
        <is>
          <t>Value-added / skill courses offered</t>
        </is>
      </c>
      <c r="D12" s="70" t="inlineStr">
        <is>
          <t>Criterion II.1</t>
        </is>
      </c>
      <c r="E12" s="70" t="inlineStr"/>
      <c r="F12" s="70" t="inlineStr">
        <is>
          <t>Y</t>
        </is>
      </c>
      <c r="G12" s="69" t="inlineStr"/>
      <c r="H12" s="69" t="inlineStr"/>
    </row>
    <row r="13" ht="26" customHeight="1"/>
    <row r="14" ht="24" customHeight="1">
      <c r="B14" s="38" t="inlineStr">
        <is>
          <t>II. TEACHING-LEARNING PROCESS</t>
        </is>
      </c>
    </row>
    <row r="15" ht="26" customHeight="1">
      <c r="B15" s="71" t="n">
        <v>7</v>
      </c>
      <c r="C15" s="72" t="inlineStr">
        <is>
          <t>Innovative teaching methods used (ICT, flipped, PBL)</t>
        </is>
      </c>
      <c r="D15" s="73" t="inlineStr">
        <is>
          <t>Criterion II.3</t>
        </is>
      </c>
      <c r="E15" s="73" t="inlineStr"/>
      <c r="F15" s="73" t="inlineStr">
        <is>
          <t>Y</t>
        </is>
      </c>
      <c r="G15" s="72" t="inlineStr"/>
      <c r="H15" s="72" t="inlineStr"/>
    </row>
    <row r="16" ht="26" customHeight="1">
      <c r="B16" s="68" t="n">
        <v>8</v>
      </c>
      <c r="C16" s="69" t="inlineStr">
        <is>
          <t>Guest lectures / industrial visits conducted</t>
        </is>
      </c>
      <c r="D16" s="70" t="inlineStr">
        <is>
          <t>Criterion II.3</t>
        </is>
      </c>
      <c r="E16" s="70" t="inlineStr"/>
      <c r="F16" s="70" t="inlineStr">
        <is>
          <t>Y</t>
        </is>
      </c>
      <c r="G16" s="69" t="inlineStr"/>
      <c r="H16" s="69" t="inlineStr"/>
    </row>
    <row r="17" ht="26" customHeight="1">
      <c r="B17" s="71" t="n">
        <v>9</v>
      </c>
      <c r="C17" s="72" t="inlineStr">
        <is>
          <t>Slow learner identification and support given</t>
        </is>
      </c>
      <c r="D17" s="73" t="inlineStr">
        <is>
          <t>Criterion II.3</t>
        </is>
      </c>
      <c r="E17" s="73" t="inlineStr"/>
      <c r="F17" s="73" t="inlineStr">
        <is>
          <t>Y</t>
        </is>
      </c>
      <c r="G17" s="72" t="inlineStr"/>
      <c r="H17" s="72" t="inlineStr"/>
    </row>
    <row r="18" ht="26" customHeight="1">
      <c r="B18" s="68" t="n">
        <v>10</v>
      </c>
      <c r="C18" s="69" t="inlineStr">
        <is>
          <t>Advanced learner enrichment provided</t>
        </is>
      </c>
      <c r="D18" s="70" t="inlineStr">
        <is>
          <t>Criterion II.3</t>
        </is>
      </c>
      <c r="E18" s="70" t="inlineStr"/>
      <c r="F18" s="70" t="inlineStr">
        <is>
          <t>Y</t>
        </is>
      </c>
      <c r="G18" s="69" t="inlineStr"/>
      <c r="H18" s="69" t="inlineStr"/>
    </row>
    <row r="19" ht="26" customHeight="1">
      <c r="B19" s="71" t="n">
        <v>11</v>
      </c>
      <c r="C19" s="72" t="inlineStr">
        <is>
          <t>Mentor-mentee sessions conducted (min. 3/semester)</t>
        </is>
      </c>
      <c r="D19" s="73" t="inlineStr">
        <is>
          <t>Criterion II.3</t>
        </is>
      </c>
      <c r="E19" s="73" t="inlineStr"/>
      <c r="F19" s="73" t="inlineStr">
        <is>
          <t>Y</t>
        </is>
      </c>
      <c r="G19" s="72" t="inlineStr"/>
      <c r="H19" s="72" t="inlineStr"/>
    </row>
    <row r="20" ht="26" customHeight="1">
      <c r="B20" s="68" t="n">
        <v>12</v>
      </c>
      <c r="C20" s="69" t="inlineStr">
        <is>
          <t>Student feedback collected and acted upon</t>
        </is>
      </c>
      <c r="D20" s="70" t="inlineStr">
        <is>
          <t>Criterion II.3</t>
        </is>
      </c>
      <c r="E20" s="70" t="inlineStr"/>
      <c r="F20" s="70" t="inlineStr">
        <is>
          <t>Y</t>
        </is>
      </c>
      <c r="G20" s="69" t="inlineStr"/>
      <c r="H20" s="69" t="inlineStr"/>
    </row>
    <row r="21" ht="26" customHeight="1"/>
    <row r="22" ht="24" customHeight="1">
      <c r="B22" s="34" t="inlineStr">
        <is>
          <t>III. ATTENDANCE &amp; ASSESSMENT</t>
        </is>
      </c>
    </row>
    <row r="23" ht="26" customHeight="1">
      <c r="B23" s="74" t="n">
        <v>13</v>
      </c>
      <c r="C23" s="75" t="inlineStr">
        <is>
          <t>Attendance register maintained and updated daily</t>
        </is>
      </c>
      <c r="D23" s="76" t="inlineStr">
        <is>
          <t>Criterion II.2</t>
        </is>
      </c>
      <c r="E23" s="76" t="inlineStr"/>
      <c r="F23" s="76" t="inlineStr">
        <is>
          <t>Y</t>
        </is>
      </c>
      <c r="G23" s="75" t="inlineStr"/>
      <c r="H23" s="75" t="inlineStr"/>
    </row>
    <row r="24" ht="26" customHeight="1">
      <c r="B24" s="68" t="n">
        <v>14</v>
      </c>
      <c r="C24" s="69" t="inlineStr">
        <is>
          <t>Defaulter list circulated monthly</t>
        </is>
      </c>
      <c r="D24" s="70" t="inlineStr">
        <is>
          <t>Criterion II.2</t>
        </is>
      </c>
      <c r="E24" s="70" t="inlineStr"/>
      <c r="F24" s="70" t="inlineStr">
        <is>
          <t>Y</t>
        </is>
      </c>
      <c r="G24" s="69" t="inlineStr"/>
      <c r="H24" s="69" t="inlineStr"/>
    </row>
    <row r="25" ht="26" customHeight="1">
      <c r="B25" s="74" t="n">
        <v>15</v>
      </c>
      <c r="C25" s="75" t="inlineStr">
        <is>
          <t>Three internal assessments conducted as per schedule</t>
        </is>
      </c>
      <c r="D25" s="76" t="inlineStr">
        <is>
          <t>Criterion II.4</t>
        </is>
      </c>
      <c r="E25" s="76" t="inlineStr"/>
      <c r="F25" s="76" t="inlineStr">
        <is>
          <t>Y</t>
        </is>
      </c>
      <c r="G25" s="75" t="inlineStr"/>
      <c r="H25" s="75" t="inlineStr"/>
    </row>
    <row r="26" ht="26" customHeight="1">
      <c r="B26" s="68" t="n">
        <v>16</v>
      </c>
      <c r="C26" s="69" t="inlineStr">
        <is>
          <t>CIE marks displayed and reviewed with students</t>
        </is>
      </c>
      <c r="D26" s="70" t="inlineStr">
        <is>
          <t>Criterion II.4</t>
        </is>
      </c>
      <c r="E26" s="70" t="inlineStr"/>
      <c r="F26" s="70" t="inlineStr">
        <is>
          <t>Y</t>
        </is>
      </c>
      <c r="G26" s="69" t="inlineStr"/>
      <c r="H26" s="69" t="inlineStr"/>
    </row>
    <row r="27" ht="26" customHeight="1">
      <c r="B27" s="74" t="n">
        <v>17</v>
      </c>
      <c r="C27" s="75" t="inlineStr">
        <is>
          <t>Question paper pattern compliant with university norms</t>
        </is>
      </c>
      <c r="D27" s="76" t="inlineStr">
        <is>
          <t>Criterion II.4</t>
        </is>
      </c>
      <c r="E27" s="76" t="inlineStr"/>
      <c r="F27" s="76" t="inlineStr">
        <is>
          <t>Y</t>
        </is>
      </c>
      <c r="G27" s="75" t="inlineStr"/>
      <c r="H27" s="75" t="inlineStr"/>
    </row>
    <row r="28" ht="26" customHeight="1">
      <c r="B28" s="68" t="n">
        <v>18</v>
      </c>
      <c r="C28" s="69" t="inlineStr">
        <is>
          <t>Retest / makeup exams conducted for genuine absentees</t>
        </is>
      </c>
      <c r="D28" s="70" t="inlineStr">
        <is>
          <t>Criterion II.4</t>
        </is>
      </c>
      <c r="E28" s="70" t="inlineStr"/>
      <c r="F28" s="70" t="inlineStr">
        <is>
          <t>Y</t>
        </is>
      </c>
      <c r="G28" s="69" t="inlineStr"/>
      <c r="H28" s="69" t="inlineStr"/>
    </row>
    <row r="29" ht="26" customHeight="1"/>
    <row r="30" ht="24" customHeight="1">
      <c r="B30" s="57" t="inlineStr">
        <is>
          <t>IV. FACULTY DEVELOPMENT</t>
        </is>
      </c>
    </row>
    <row r="31" ht="26" customHeight="1">
      <c r="B31" s="77" t="n">
        <v>19</v>
      </c>
      <c r="C31" s="78" t="inlineStr">
        <is>
          <t>All faculty attended min. 1 FDP this year</t>
        </is>
      </c>
      <c r="D31" s="79" t="inlineStr">
        <is>
          <t>Criterion II.4</t>
        </is>
      </c>
      <c r="E31" s="79" t="inlineStr"/>
      <c r="F31" s="79" t="inlineStr">
        <is>
          <t>Y</t>
        </is>
      </c>
      <c r="G31" s="78" t="inlineStr"/>
      <c r="H31" s="78" t="inlineStr"/>
    </row>
    <row r="32" ht="26" customHeight="1">
      <c r="B32" s="68" t="n">
        <v>20</v>
      </c>
      <c r="C32" s="69" t="inlineStr">
        <is>
          <t>Faculty pursuing Ph.D. / research</t>
        </is>
      </c>
      <c r="D32" s="70" t="inlineStr">
        <is>
          <t>Criterion III.2</t>
        </is>
      </c>
      <c r="E32" s="70" t="inlineStr"/>
      <c r="F32" s="70" t="inlineStr">
        <is>
          <t>Y</t>
        </is>
      </c>
      <c r="G32" s="69" t="inlineStr"/>
      <c r="H32" s="69" t="inlineStr"/>
    </row>
    <row r="33" ht="26" customHeight="1">
      <c r="B33" s="77" t="n">
        <v>21</v>
      </c>
      <c r="C33" s="78" t="inlineStr">
        <is>
          <t>Publications / papers this year</t>
        </is>
      </c>
      <c r="D33" s="79" t="inlineStr">
        <is>
          <t>Criterion III.3</t>
        </is>
      </c>
      <c r="E33" s="79" t="inlineStr"/>
      <c r="F33" s="79" t="inlineStr">
        <is>
          <t>Y</t>
        </is>
      </c>
      <c r="G33" s="78" t="inlineStr"/>
      <c r="H33" s="78" t="inlineStr"/>
    </row>
    <row r="34" ht="26" customHeight="1">
      <c r="B34" s="68" t="n">
        <v>22</v>
      </c>
      <c r="C34" s="69" t="inlineStr">
        <is>
          <t>Faculty appraisal (PBAS) completed</t>
        </is>
      </c>
      <c r="D34" s="70" t="inlineStr">
        <is>
          <t>Criterion II.4</t>
        </is>
      </c>
      <c r="E34" s="70" t="inlineStr"/>
      <c r="F34" s="70" t="inlineStr">
        <is>
          <t>Y</t>
        </is>
      </c>
      <c r="G34" s="69" t="inlineStr"/>
      <c r="H34" s="69" t="inlineStr"/>
    </row>
    <row r="35" ht="26" customHeight="1">
      <c r="B35" s="77" t="n">
        <v>23</v>
      </c>
      <c r="C35" s="78" t="inlineStr">
        <is>
          <t>Faculty qualification compliance (UGC norms)</t>
        </is>
      </c>
      <c r="D35" s="79" t="inlineStr">
        <is>
          <t>Criterion II.4</t>
        </is>
      </c>
      <c r="E35" s="79" t="inlineStr"/>
      <c r="F35" s="79" t="inlineStr">
        <is>
          <t>Y</t>
        </is>
      </c>
      <c r="G35" s="78" t="inlineStr"/>
      <c r="H35" s="78" t="inlineStr"/>
    </row>
    <row r="36" ht="26" customHeight="1"/>
    <row r="37" ht="24" customHeight="1">
      <c r="B37" s="51" t="inlineStr">
        <is>
          <t>V. STUDENT OUTCOMES</t>
        </is>
      </c>
    </row>
    <row r="38" ht="26" customHeight="1">
      <c r="B38" s="80" t="n">
        <v>24</v>
      </c>
      <c r="C38" s="81" t="inlineStr">
        <is>
          <t>Pass % improved or maintained vs. last year</t>
        </is>
      </c>
      <c r="D38" s="82" t="inlineStr">
        <is>
          <t>Criterion II.6</t>
        </is>
      </c>
      <c r="E38" s="82" t="inlineStr"/>
      <c r="F38" s="82" t="inlineStr">
        <is>
          <t>Y</t>
        </is>
      </c>
      <c r="G38" s="81" t="inlineStr"/>
      <c r="H38" s="81" t="inlineStr"/>
    </row>
    <row r="39" ht="26" customHeight="1">
      <c r="B39" s="68" t="n">
        <v>25</v>
      </c>
      <c r="C39" s="69" t="inlineStr">
        <is>
          <t>Backlog / detained students &lt; 10% of batch</t>
        </is>
      </c>
      <c r="D39" s="70" t="inlineStr">
        <is>
          <t>Criterion II.6</t>
        </is>
      </c>
      <c r="E39" s="70" t="inlineStr"/>
      <c r="F39" s="70" t="inlineStr">
        <is>
          <t>Y</t>
        </is>
      </c>
      <c r="G39" s="69" t="inlineStr"/>
      <c r="H39" s="69" t="inlineStr"/>
    </row>
    <row r="40" ht="26" customHeight="1">
      <c r="B40" s="80" t="n">
        <v>26</v>
      </c>
      <c r="C40" s="81" t="inlineStr">
        <is>
          <t>CO attainment calculated and reviewed</t>
        </is>
      </c>
      <c r="D40" s="82" t="inlineStr">
        <is>
          <t>Criterion II.6</t>
        </is>
      </c>
      <c r="E40" s="82" t="inlineStr"/>
      <c r="F40" s="82" t="inlineStr">
        <is>
          <t>Y</t>
        </is>
      </c>
      <c r="G40" s="81" t="inlineStr"/>
      <c r="H40" s="81" t="inlineStr"/>
    </row>
    <row r="41" ht="26" customHeight="1">
      <c r="B41" s="68" t="n">
        <v>27</v>
      </c>
      <c r="C41" s="69" t="inlineStr">
        <is>
          <t>PO attainment calculated (for NBA/accredited)</t>
        </is>
      </c>
      <c r="D41" s="70" t="inlineStr">
        <is>
          <t>Criterion II.6</t>
        </is>
      </c>
      <c r="E41" s="70" t="inlineStr"/>
      <c r="F41" s="70" t="inlineStr">
        <is>
          <t>Y</t>
        </is>
      </c>
      <c r="G41" s="69" t="inlineStr"/>
      <c r="H41" s="69" t="inlineStr"/>
    </row>
    <row r="42" ht="26" customHeight="1">
      <c r="B42" s="80" t="n">
        <v>28</v>
      </c>
      <c r="C42" s="81" t="inlineStr">
        <is>
          <t>Student progression data (placement/higher studies)</t>
        </is>
      </c>
      <c r="D42" s="82" t="inlineStr">
        <is>
          <t>Criterion V.2</t>
        </is>
      </c>
      <c r="E42" s="82" t="inlineStr"/>
      <c r="F42" s="82" t="inlineStr">
        <is>
          <t>Y</t>
        </is>
      </c>
      <c r="G42" s="81" t="inlineStr"/>
      <c r="H42" s="81" t="inlineStr"/>
    </row>
    <row r="43" ht="26" customHeight="1"/>
    <row r="44" ht="24" customHeight="1">
      <c r="B44" s="34" t="inlineStr">
        <is>
          <t>ACADEMIC AUDIT SCORE SUMMARY</t>
        </is>
      </c>
    </row>
    <row r="45" ht="26" customHeight="1">
      <c r="B45" s="35" t="inlineStr">
        <is>
          <t>Total Parameters Audited</t>
        </is>
      </c>
      <c r="F45" s="83" t="inlineStr"/>
    </row>
    <row r="46" ht="26" customHeight="1">
      <c r="B46" s="25" t="inlineStr">
        <is>
          <t>Score ≥ 4 (Good / Excellent)</t>
        </is>
      </c>
      <c r="F46" s="84">
        <f>COUNTIF(E6:E47,"&gt;="&amp;4)</f>
        <v/>
      </c>
    </row>
    <row r="47" ht="26" customHeight="1">
      <c r="B47" s="35" t="inlineStr">
        <is>
          <t>Score 2–3 (Needs Improvement)</t>
        </is>
      </c>
      <c r="F47" s="83">
        <f>COUNTIF(E6:E47,"&lt;"&amp;4)-COUNTIF(E6:E47,"&lt;"&amp;2)</f>
        <v/>
      </c>
    </row>
    <row r="48" ht="26" customHeight="1">
      <c r="B48" s="25" t="inlineStr">
        <is>
          <t>Average Audit Score (/5)</t>
        </is>
      </c>
      <c r="F48" s="84">
        <f>IFERROR(ROUND(AVERAGE(E6:E47),2),"")</f>
        <v/>
      </c>
    </row>
    <row r="49" ht="26" customHeight="1">
      <c r="B49" s="35" t="inlineStr">
        <is>
          <t>Dept. Compliance Rating</t>
        </is>
      </c>
      <c r="F49" s="46">
        <f>IFERROR(IF(AVERAGE(E6:E47)&gt;=3.5,"SATISFACTORY","NEEDS IMPROVEMENT"),"")</f>
        <v/>
      </c>
    </row>
    <row r="50" ht="26" customHeight="1">
      <c r="B50" s="25" t="inlineStr">
        <is>
          <t>Audit Completed by</t>
        </is>
      </c>
      <c r="F50" s="84" t="inlineStr"/>
    </row>
  </sheetData>
  <mergeCells count="21">
    <mergeCell ref="B49:E49"/>
    <mergeCell ref="F45:H45"/>
    <mergeCell ref="F50:H50"/>
    <mergeCell ref="B6:H6"/>
    <mergeCell ref="B30:H30"/>
    <mergeCell ref="F47:H47"/>
    <mergeCell ref="B45:E45"/>
    <mergeCell ref="F46:H46"/>
    <mergeCell ref="B50:E50"/>
    <mergeCell ref="B4:H4"/>
    <mergeCell ref="B47:E47"/>
    <mergeCell ref="F48:H48"/>
    <mergeCell ref="B3:H3"/>
    <mergeCell ref="B46:E46"/>
    <mergeCell ref="B22:H22"/>
    <mergeCell ref="F49:H49"/>
    <mergeCell ref="B48:E48"/>
    <mergeCell ref="B2:H2"/>
    <mergeCell ref="B14:H14"/>
    <mergeCell ref="B44:H44"/>
    <mergeCell ref="B37:H3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CAC-16: GUEST LECTURE &amp; RESOURCE PERSON REGISTER</t>
        </is>
      </c>
    </row>
    <row r="3" ht="25" customHeight="1">
      <c r="B3" s="2" t="inlineStr">
        <is>
          <t>A.Y.: _______  CAC Coordinator: ___________________  NAAC Ref.: Criterion II.3 / III.1</t>
        </is>
      </c>
    </row>
    <row r="4" ht="25" customHeight="1">
      <c r="B4" s="13" t="inlineStr">
        <is>
          <t>Event
Ref.</t>
        </is>
      </c>
      <c r="C4" s="13" t="inlineStr">
        <is>
          <t>Expert / Speaker</t>
        </is>
      </c>
      <c r="D4" s="13" t="inlineStr">
        <is>
          <t>Organisation &amp;
Designation</t>
        </is>
      </c>
      <c r="E4" s="13" t="inlineStr">
        <is>
          <t>Topic / Title</t>
        </is>
      </c>
      <c r="F4" s="13" t="inlineStr">
        <is>
          <t>Organising
Dept.</t>
        </is>
      </c>
      <c r="G4" s="13" t="inlineStr">
        <is>
          <t>Date</t>
        </is>
      </c>
      <c r="H4" s="13" t="inlineStr">
        <is>
          <t>Mode</t>
        </is>
      </c>
      <c r="I4" s="13" t="inlineStr">
        <is>
          <t>Students
Attended</t>
        </is>
      </c>
      <c r="J4" s="13" t="inlineStr">
        <is>
          <t>Feedback
Score (/5)</t>
        </is>
      </c>
    </row>
    <row r="5" ht="22" customHeight="1">
      <c r="B5" s="14" t="inlineStr">
        <is>
          <t>GL/001</t>
        </is>
      </c>
      <c r="C5" s="15" t="inlineStr"/>
      <c r="D5" s="15" t="inlineStr"/>
      <c r="E5" s="15" t="inlineStr">
        <is>
          <t>Industry 4.0 &amp; Digital Transformation</t>
        </is>
      </c>
      <c r="F5" s="16" t="inlineStr">
        <is>
          <t>CSE</t>
        </is>
      </c>
      <c r="G5" s="16" t="inlineStr"/>
      <c r="H5" s="16" t="inlineStr">
        <is>
          <t>Physical</t>
        </is>
      </c>
      <c r="I5" s="16" t="inlineStr"/>
      <c r="J5" s="16" t="inlineStr"/>
    </row>
    <row r="6" ht="22" customHeight="1">
      <c r="B6" s="8" t="inlineStr">
        <is>
          <t>GL/002</t>
        </is>
      </c>
      <c r="C6" s="9" t="inlineStr"/>
      <c r="D6" s="9" t="inlineStr"/>
      <c r="E6" s="9" t="inlineStr">
        <is>
          <t>AI &amp; Machine Learning Applications</t>
        </is>
      </c>
      <c r="F6" s="10" t="inlineStr">
        <is>
          <t>ECE</t>
        </is>
      </c>
      <c r="G6" s="10" t="inlineStr"/>
      <c r="H6" s="10" t="inlineStr">
        <is>
          <t>Physical</t>
        </is>
      </c>
      <c r="I6" s="10" t="inlineStr"/>
      <c r="J6" s="10" t="inlineStr"/>
    </row>
    <row r="7" ht="22" customHeight="1">
      <c r="B7" s="14" t="inlineStr">
        <is>
          <t>GL/003</t>
        </is>
      </c>
      <c r="C7" s="15" t="inlineStr"/>
      <c r="D7" s="15" t="inlineStr"/>
      <c r="E7" s="15" t="inlineStr">
        <is>
          <t>Sustainable Engineering Practices</t>
        </is>
      </c>
      <c r="F7" s="16" t="inlineStr">
        <is>
          <t>EEE</t>
        </is>
      </c>
      <c r="G7" s="16" t="inlineStr"/>
      <c r="H7" s="16" t="inlineStr">
        <is>
          <t>Physical</t>
        </is>
      </c>
      <c r="I7" s="16" t="inlineStr"/>
      <c r="J7" s="16" t="inlineStr"/>
    </row>
    <row r="8" ht="22" customHeight="1">
      <c r="B8" s="8" t="inlineStr">
        <is>
          <t>GL/004</t>
        </is>
      </c>
      <c r="C8" s="9" t="inlineStr"/>
      <c r="D8" s="9" t="inlineStr"/>
      <c r="E8" s="9" t="inlineStr">
        <is>
          <t>Entrepreneurship &amp; Startup Journey</t>
        </is>
      </c>
      <c r="F8" s="10" t="inlineStr">
        <is>
          <t>Mechanical</t>
        </is>
      </c>
      <c r="G8" s="10" t="inlineStr"/>
      <c r="H8" s="10" t="inlineStr">
        <is>
          <t>Physical</t>
        </is>
      </c>
      <c r="I8" s="10" t="inlineStr"/>
      <c r="J8" s="10" t="inlineStr"/>
    </row>
    <row r="9" ht="22" customHeight="1">
      <c r="B9" s="14" t="inlineStr">
        <is>
          <t>GL/005</t>
        </is>
      </c>
      <c r="C9" s="15" t="inlineStr"/>
      <c r="D9" s="15" t="inlineStr"/>
      <c r="E9" s="15" t="inlineStr">
        <is>
          <t>Research Methodology &amp; Paper Writing</t>
        </is>
      </c>
      <c r="F9" s="16" t="inlineStr">
        <is>
          <t>Civil</t>
        </is>
      </c>
      <c r="G9" s="16" t="inlineStr"/>
      <c r="H9" s="16" t="inlineStr">
        <is>
          <t>Physical</t>
        </is>
      </c>
      <c r="I9" s="16" t="inlineStr"/>
      <c r="J9" s="16" t="inlineStr"/>
    </row>
    <row r="10" ht="22" customHeight="1">
      <c r="B10" s="8" t="inlineStr">
        <is>
          <t>GL/006</t>
        </is>
      </c>
      <c r="C10" s="9" t="inlineStr"/>
      <c r="D10" s="9" t="inlineStr"/>
      <c r="E10" s="9" t="inlineStr">
        <is>
          <t>Career Pathways in Engineering</t>
        </is>
      </c>
      <c r="F10" s="10" t="inlineStr">
        <is>
          <t>S&amp;H</t>
        </is>
      </c>
      <c r="G10" s="10" t="inlineStr"/>
      <c r="H10" s="10" t="inlineStr">
        <is>
          <t>Physical</t>
        </is>
      </c>
      <c r="I10" s="10" t="inlineStr"/>
      <c r="J10" s="10" t="inlineStr"/>
    </row>
    <row r="11" ht="22" customHeight="1">
      <c r="B11" s="14" t="inlineStr">
        <is>
          <t>GL/007</t>
        </is>
      </c>
      <c r="C11" s="15" t="inlineStr"/>
      <c r="D11" s="15" t="inlineStr"/>
      <c r="E11" s="15" t="inlineStr">
        <is>
          <t>Green Energy &amp; Renewable Technologies</t>
        </is>
      </c>
      <c r="F11" s="16" t="inlineStr">
        <is>
          <t>MBA</t>
        </is>
      </c>
      <c r="G11" s="16" t="inlineStr"/>
      <c r="H11" s="16" t="inlineStr">
        <is>
          <t>Physical</t>
        </is>
      </c>
      <c r="I11" s="16" t="inlineStr"/>
      <c r="J11" s="16" t="inlineStr"/>
    </row>
    <row r="12" ht="22" customHeight="1">
      <c r="B12" s="8" t="inlineStr">
        <is>
          <t>GL/008</t>
        </is>
      </c>
      <c r="C12" s="9" t="inlineStr"/>
      <c r="D12" s="9" t="inlineStr"/>
      <c r="E12" s="9" t="inlineStr">
        <is>
          <t>Cybersecurity &amp; Data Privacy</t>
        </is>
      </c>
      <c r="F12" s="10" t="inlineStr">
        <is>
          <t>MCA</t>
        </is>
      </c>
      <c r="G12" s="10" t="inlineStr"/>
      <c r="H12" s="10" t="inlineStr">
        <is>
          <t>Physical</t>
        </is>
      </c>
      <c r="I12" s="10" t="inlineStr"/>
      <c r="J12" s="10" t="inlineStr"/>
    </row>
    <row r="13" ht="22" customHeight="1">
      <c r="B13" s="14" t="inlineStr">
        <is>
          <t>GL/009</t>
        </is>
      </c>
      <c r="C13" s="15" t="inlineStr"/>
      <c r="D13" s="15" t="inlineStr"/>
      <c r="E13" s="15" t="inlineStr">
        <is>
          <t>Project Management &amp; Agile</t>
        </is>
      </c>
      <c r="F13" s="16" t="inlineStr">
        <is>
          <t>Pharmacy</t>
        </is>
      </c>
      <c r="G13" s="16" t="inlineStr"/>
      <c r="H13" s="16" t="inlineStr">
        <is>
          <t>Physical</t>
        </is>
      </c>
      <c r="I13" s="16" t="inlineStr"/>
      <c r="J13" s="16" t="inlineStr"/>
    </row>
    <row r="14" ht="22" customHeight="1">
      <c r="B14" s="8" t="inlineStr">
        <is>
          <t>GL/010</t>
        </is>
      </c>
      <c r="C14" s="9" t="inlineStr"/>
      <c r="D14" s="9" t="inlineStr"/>
      <c r="E14" s="9" t="inlineStr">
        <is>
          <t>Financial Literacy for Engineers</t>
        </is>
      </c>
      <c r="F14" s="10" t="inlineStr">
        <is>
          <t>Architecture</t>
        </is>
      </c>
      <c r="G14" s="10" t="inlineStr"/>
      <c r="H14" s="10" t="inlineStr">
        <is>
          <t>Physical</t>
        </is>
      </c>
      <c r="I14" s="10" t="inlineStr"/>
      <c r="J14" s="10" t="inlineStr"/>
    </row>
    <row r="15" ht="22" customHeight="1">
      <c r="B15" s="14" t="inlineStr">
        <is>
          <t>GL/011</t>
        </is>
      </c>
      <c r="C15" s="15" t="inlineStr"/>
      <c r="D15" s="15" t="inlineStr"/>
      <c r="E15" s="15" t="inlineStr">
        <is>
          <t>Intellectual Property Rights &amp; Patents</t>
        </is>
      </c>
      <c r="F15" s="16" t="inlineStr">
        <is>
          <t>CSE</t>
        </is>
      </c>
      <c r="G15" s="16" t="inlineStr"/>
      <c r="H15" s="16" t="inlineStr">
        <is>
          <t>Physical</t>
        </is>
      </c>
      <c r="I15" s="16" t="inlineStr"/>
      <c r="J15" s="16" t="inlineStr"/>
    </row>
    <row r="16" ht="22" customHeight="1">
      <c r="B16" s="8" t="inlineStr">
        <is>
          <t>GL/012</t>
        </is>
      </c>
      <c r="C16" s="9" t="inlineStr"/>
      <c r="D16" s="9" t="inlineStr"/>
      <c r="E16" s="9" t="inlineStr">
        <is>
          <t>International Opportunities in Engineering</t>
        </is>
      </c>
      <c r="F16" s="10" t="inlineStr">
        <is>
          <t>ECE</t>
        </is>
      </c>
      <c r="G16" s="10" t="inlineStr"/>
      <c r="H16" s="10" t="inlineStr">
        <is>
          <t>Physical</t>
        </is>
      </c>
      <c r="I16" s="10" t="inlineStr"/>
      <c r="J16" s="10" t="inlineStr"/>
    </row>
    <row r="17" ht="22" customHeight="1">
      <c r="B17" s="14" t="inlineStr">
        <is>
          <t>GL/013</t>
        </is>
      </c>
      <c r="C17" s="15" t="inlineStr"/>
      <c r="D17" s="15" t="inlineStr"/>
      <c r="E17" s="15" t="inlineStr">
        <is>
          <t>Emotional Intelligence &amp; Leadership</t>
        </is>
      </c>
      <c r="F17" s="16" t="inlineStr">
        <is>
          <t>EEE</t>
        </is>
      </c>
      <c r="G17" s="16" t="inlineStr"/>
      <c r="H17" s="16" t="inlineStr">
        <is>
          <t>Physical</t>
        </is>
      </c>
      <c r="I17" s="16" t="inlineStr"/>
      <c r="J17" s="16" t="inlineStr"/>
    </row>
    <row r="18" ht="22" customHeight="1">
      <c r="B18" s="8" t="inlineStr">
        <is>
          <t>GL/014</t>
        </is>
      </c>
      <c r="C18" s="9" t="inlineStr"/>
      <c r="D18" s="9" t="inlineStr"/>
      <c r="E18" s="9" t="inlineStr">
        <is>
          <t>Diversity &amp; Inclusion in the Workplace</t>
        </is>
      </c>
      <c r="F18" s="10" t="inlineStr">
        <is>
          <t>Mechanical</t>
        </is>
      </c>
      <c r="G18" s="10" t="inlineStr"/>
      <c r="H18" s="10" t="inlineStr">
        <is>
          <t>Physical</t>
        </is>
      </c>
      <c r="I18" s="10" t="inlineStr"/>
      <c r="J18" s="10" t="inlineStr"/>
    </row>
    <row r="19" ht="22" customHeight="1">
      <c r="B19" s="14" t="inlineStr">
        <is>
          <t>GL/015</t>
        </is>
      </c>
      <c r="C19" s="15" t="inlineStr"/>
      <c r="D19" s="15" t="inlineStr"/>
      <c r="E19" s="15" t="inlineStr">
        <is>
          <t>Advanced Materials &amp; Nanotechnology</t>
        </is>
      </c>
      <c r="F19" s="16" t="inlineStr">
        <is>
          <t>Civil</t>
        </is>
      </c>
      <c r="G19" s="16" t="inlineStr"/>
      <c r="H19" s="16" t="inlineStr">
        <is>
          <t>Physical</t>
        </is>
      </c>
      <c r="I19" s="16" t="inlineStr"/>
      <c r="J19" s="16" t="inlineStr"/>
    </row>
    <row r="20" ht="22" customHeight="1">
      <c r="B20" s="8" t="inlineStr">
        <is>
          <t>GL/016</t>
        </is>
      </c>
      <c r="C20" s="9" t="inlineStr"/>
      <c r="D20" s="9" t="inlineStr"/>
      <c r="E20" s="9" t="inlineStr">
        <is>
          <t>IoT &amp; Smart Systems</t>
        </is>
      </c>
      <c r="F20" s="10" t="inlineStr">
        <is>
          <t>S&amp;H</t>
        </is>
      </c>
      <c r="G20" s="10" t="inlineStr"/>
      <c r="H20" s="10" t="inlineStr">
        <is>
          <t>Physical</t>
        </is>
      </c>
      <c r="I20" s="10" t="inlineStr"/>
      <c r="J20" s="10" t="inlineStr"/>
    </row>
    <row r="21" ht="22" customHeight="1">
      <c r="B21" s="14" t="inlineStr">
        <is>
          <t>GL/017</t>
        </is>
      </c>
      <c r="C21" s="15" t="inlineStr"/>
      <c r="D21" s="15" t="inlineStr"/>
      <c r="E21" s="15" t="inlineStr">
        <is>
          <t>Blockchain &amp; Fintech</t>
        </is>
      </c>
      <c r="F21" s="16" t="inlineStr">
        <is>
          <t>MBA</t>
        </is>
      </c>
      <c r="G21" s="16" t="inlineStr"/>
      <c r="H21" s="16" t="inlineStr">
        <is>
          <t>Physical</t>
        </is>
      </c>
      <c r="I21" s="16" t="inlineStr"/>
      <c r="J21" s="16" t="inlineStr"/>
    </row>
    <row r="22" ht="22" customHeight="1">
      <c r="B22" s="8" t="inlineStr">
        <is>
          <t>GL/018</t>
        </is>
      </c>
      <c r="C22" s="9" t="inlineStr"/>
      <c r="D22" s="9" t="inlineStr"/>
      <c r="E22" s="9" t="inlineStr">
        <is>
          <t>Ethics in Engineering &amp; Technology</t>
        </is>
      </c>
      <c r="F22" s="10" t="inlineStr">
        <is>
          <t>MCA</t>
        </is>
      </c>
      <c r="G22" s="10" t="inlineStr"/>
      <c r="H22" s="10" t="inlineStr">
        <is>
          <t>Physical</t>
        </is>
      </c>
      <c r="I22" s="10" t="inlineStr"/>
      <c r="J22" s="10" t="inlineStr"/>
    </row>
    <row r="23" ht="22" customHeight="1">
      <c r="B23" s="14" t="inlineStr">
        <is>
          <t>GL/019</t>
        </is>
      </c>
      <c r="C23" s="15" t="inlineStr"/>
      <c r="D23" s="15" t="inlineStr"/>
      <c r="E23" s="15" t="inlineStr">
        <is>
          <t>Communication Skills for Professionals</t>
        </is>
      </c>
      <c r="F23" s="16" t="inlineStr">
        <is>
          <t>Pharmacy</t>
        </is>
      </c>
      <c r="G23" s="16" t="inlineStr"/>
      <c r="H23" s="16" t="inlineStr">
        <is>
          <t>Physical</t>
        </is>
      </c>
      <c r="I23" s="16" t="inlineStr"/>
      <c r="J23" s="16" t="inlineStr"/>
    </row>
    <row r="24" ht="22" customHeight="1">
      <c r="B24" s="8" t="inlineStr">
        <is>
          <t>GL/020</t>
        </is>
      </c>
      <c r="C24" s="9" t="inlineStr"/>
      <c r="D24" s="9" t="inlineStr"/>
      <c r="E24" s="9" t="inlineStr">
        <is>
          <t>Design Thinking &amp; Innovation</t>
        </is>
      </c>
      <c r="F24" s="10" t="inlineStr">
        <is>
          <t>Architecture</t>
        </is>
      </c>
      <c r="G24" s="10" t="inlineStr"/>
      <c r="H24" s="10" t="inlineStr">
        <is>
          <t>Physical</t>
        </is>
      </c>
      <c r="I24" s="10" t="inlineStr"/>
      <c r="J24" s="10" t="inlineStr"/>
    </row>
    <row r="25" ht="22" customHeight="1">
      <c r="B25" s="14" t="inlineStr">
        <is>
          <t>GL/021</t>
        </is>
      </c>
      <c r="C25" s="15" t="inlineStr"/>
      <c r="D25" s="15" t="inlineStr"/>
      <c r="E25" s="15" t="inlineStr">
        <is>
          <t>Industry 4.0 &amp; Digital Transformation</t>
        </is>
      </c>
      <c r="F25" s="16" t="inlineStr">
        <is>
          <t>CSE</t>
        </is>
      </c>
      <c r="G25" s="16" t="inlineStr"/>
      <c r="H25" s="16" t="inlineStr">
        <is>
          <t>Physical</t>
        </is>
      </c>
      <c r="I25" s="16" t="inlineStr"/>
      <c r="J25" s="16" t="inlineStr"/>
    </row>
    <row r="26" ht="22" customHeight="1">
      <c r="B26" s="8" t="inlineStr">
        <is>
          <t>GL/022</t>
        </is>
      </c>
      <c r="C26" s="9" t="inlineStr"/>
      <c r="D26" s="9" t="inlineStr"/>
      <c r="E26" s="9" t="inlineStr">
        <is>
          <t>AI &amp; Machine Learning Applications</t>
        </is>
      </c>
      <c r="F26" s="10" t="inlineStr">
        <is>
          <t>ECE</t>
        </is>
      </c>
      <c r="G26" s="10" t="inlineStr"/>
      <c r="H26" s="10" t="inlineStr">
        <is>
          <t>Physical</t>
        </is>
      </c>
      <c r="I26" s="10" t="inlineStr"/>
      <c r="J26" s="10" t="inlineStr"/>
    </row>
    <row r="27" ht="22" customHeight="1"/>
    <row r="28" ht="24" customHeight="1">
      <c r="B28" s="34" t="inlineStr">
        <is>
          <t>GUEST LECTURE IMPACT SUMMARY</t>
        </is>
      </c>
    </row>
    <row r="29" ht="22" customHeight="1">
      <c r="B29" s="42" t="inlineStr">
        <is>
          <t>Total Guest Lectures</t>
        </is>
      </c>
      <c r="F29" s="36">
        <f>COUNTA(B5:B26)</f>
        <v/>
      </c>
    </row>
    <row r="30">
      <c r="B30" s="25" t="inlineStr">
        <is>
          <t>Total Students Reached</t>
        </is>
      </c>
      <c r="F30" s="37">
        <f>IFERROR(SUM(I5:I26),"")</f>
        <v/>
      </c>
    </row>
    <row r="31">
      <c r="B31" s="42" t="inlineStr">
        <is>
          <t>Average Feedback Score (/5)</t>
        </is>
      </c>
      <c r="F31" s="36">
        <f>IFERROR(ROUND(AVERAGE(J5:J26),2),"")</f>
        <v/>
      </c>
    </row>
    <row r="32">
      <c r="B32" s="25" t="inlineStr">
        <is>
          <t>Industry Experts</t>
        </is>
      </c>
      <c r="F32" s="37" t="inlineStr"/>
    </row>
    <row r="33">
      <c r="B33" s="42" t="inlineStr">
        <is>
          <t>Academic Experts</t>
        </is>
      </c>
      <c r="F33" s="36" t="inlineStr"/>
    </row>
    <row r="34">
      <c r="B34" s="25" t="inlineStr">
        <is>
          <t>Talks Scoring &lt; 3.5</t>
        </is>
      </c>
      <c r="F34" s="37">
        <f>COUNTIF(J5:J26,"&lt;"&amp;3.5)</f>
        <v/>
      </c>
    </row>
  </sheetData>
  <mergeCells count="15">
    <mergeCell ref="B31:E31"/>
    <mergeCell ref="F30:J30"/>
    <mergeCell ref="B3:J3"/>
    <mergeCell ref="F29:J29"/>
    <mergeCell ref="B28:J28"/>
    <mergeCell ref="F34:J34"/>
    <mergeCell ref="B30:E30"/>
    <mergeCell ref="B29:E29"/>
    <mergeCell ref="B33:E33"/>
    <mergeCell ref="F33:J33"/>
    <mergeCell ref="F31:J31"/>
    <mergeCell ref="B34:E34"/>
    <mergeCell ref="F32:J32"/>
    <mergeCell ref="B2:J2"/>
    <mergeCell ref="B32:E3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K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CAC-19: FACULTY QUALIFICATION &amp; ELIGIBILITY REGISTER</t>
        </is>
      </c>
    </row>
    <row r="3" ht="20" customHeight="1">
      <c r="B3" s="2" t="inlineStr">
        <is>
          <t>A.Y.: _______  CAC Coordinator: ___________________  NAAC Ref.: Criterion II.4</t>
        </is>
      </c>
    </row>
    <row r="4" ht="25" customHeight="1">
      <c r="B4" s="13" t="inlineStr">
        <is>
          <t>Sl.</t>
        </is>
      </c>
      <c r="C4" s="13" t="inlineStr">
        <is>
          <t>Faculty Name</t>
        </is>
      </c>
      <c r="D4" s="13" t="inlineStr">
        <is>
          <t>Dept.</t>
        </is>
      </c>
      <c r="E4" s="13" t="inlineStr">
        <is>
          <t>Designation</t>
        </is>
      </c>
      <c r="F4" s="13" t="inlineStr">
        <is>
          <t>Highest
Qualification</t>
        </is>
      </c>
      <c r="G4" s="13" t="inlineStr">
        <is>
          <t>Ph.D.
Status</t>
        </is>
      </c>
      <c r="H4" s="13" t="inlineStr">
        <is>
          <t>NET / SET
Qualified</t>
        </is>
      </c>
      <c r="I4" s="13" t="inlineStr">
        <is>
          <t>UGC
Eligibility
Met</t>
        </is>
      </c>
      <c r="J4" s="13" t="inlineStr">
        <is>
          <t>Experience
(Years)</t>
        </is>
      </c>
      <c r="K4" s="13" t="inlineStr">
        <is>
          <t>Remarks</t>
        </is>
      </c>
    </row>
    <row r="5" ht="22" customHeight="1">
      <c r="B5" s="14" t="n">
        <v>1</v>
      </c>
      <c r="C5" s="15" t="inlineStr"/>
      <c r="D5" s="16" t="inlineStr">
        <is>
          <t>CSE</t>
        </is>
      </c>
      <c r="E5" s="16" t="inlineStr">
        <is>
          <t>Professor</t>
        </is>
      </c>
      <c r="F5" s="16" t="inlineStr">
        <is>
          <t>Ph.D.</t>
        </is>
      </c>
      <c r="G5" s="16" t="inlineStr">
        <is>
          <t>Awarded</t>
        </is>
      </c>
      <c r="H5" s="16" t="inlineStr">
        <is>
          <t>Yes</t>
        </is>
      </c>
      <c r="I5" s="16" t="inlineStr">
        <is>
          <t>Yes</t>
        </is>
      </c>
      <c r="J5" s="16" t="inlineStr"/>
      <c r="K5" s="15" t="inlineStr"/>
    </row>
    <row r="6" ht="22" customHeight="1">
      <c r="B6" s="8" t="n">
        <v>2</v>
      </c>
      <c r="C6" s="9" t="inlineStr"/>
      <c r="D6" s="10" t="inlineStr">
        <is>
          <t>ECE</t>
        </is>
      </c>
      <c r="E6" s="10" t="inlineStr">
        <is>
          <t>Associate Professor</t>
        </is>
      </c>
      <c r="F6" s="10" t="inlineStr">
        <is>
          <t>M.E./M.Tech + Ph.D. (Pursuing)</t>
        </is>
      </c>
      <c r="G6" s="10" t="inlineStr">
        <is>
          <t>Submitted</t>
        </is>
      </c>
      <c r="H6" s="10" t="inlineStr">
        <is>
          <t>Yes</t>
        </is>
      </c>
      <c r="I6" s="10" t="inlineStr">
        <is>
          <t>Yes</t>
        </is>
      </c>
      <c r="J6" s="10" t="inlineStr"/>
      <c r="K6" s="9" t="inlineStr"/>
    </row>
    <row r="7" ht="22" customHeight="1">
      <c r="B7" s="14" t="n">
        <v>3</v>
      </c>
      <c r="C7" s="15" t="inlineStr"/>
      <c r="D7" s="16" t="inlineStr">
        <is>
          <t>EEE</t>
        </is>
      </c>
      <c r="E7" s="16" t="inlineStr">
        <is>
          <t>Assistant Professor (Snr.)</t>
        </is>
      </c>
      <c r="F7" s="16" t="inlineStr">
        <is>
          <t>M.E./M.Tech</t>
        </is>
      </c>
      <c r="G7" s="16" t="inlineStr">
        <is>
          <t>Pursuing — Reg.</t>
        </is>
      </c>
      <c r="H7" s="16" t="inlineStr">
        <is>
          <t>Yes</t>
        </is>
      </c>
      <c r="I7" s="16" t="inlineStr">
        <is>
          <t>Yes</t>
        </is>
      </c>
      <c r="J7" s="16" t="inlineStr"/>
      <c r="K7" s="15" t="inlineStr"/>
    </row>
    <row r="8" ht="22" customHeight="1">
      <c r="B8" s="8" t="n">
        <v>4</v>
      </c>
      <c r="C8" s="9" t="inlineStr"/>
      <c r="D8" s="10" t="inlineStr">
        <is>
          <t>Mechanical</t>
        </is>
      </c>
      <c r="E8" s="10" t="inlineStr">
        <is>
          <t>Assistant Professor</t>
        </is>
      </c>
      <c r="F8" s="10" t="inlineStr">
        <is>
          <t>M.B.A.</t>
        </is>
      </c>
      <c r="G8" s="10" t="inlineStr">
        <is>
          <t>Not Pursuing</t>
        </is>
      </c>
      <c r="H8" s="10" t="inlineStr">
        <is>
          <t>Yes</t>
        </is>
      </c>
      <c r="I8" s="10" t="inlineStr">
        <is>
          <t>Yes</t>
        </is>
      </c>
      <c r="J8" s="10" t="inlineStr"/>
      <c r="K8" s="9" t="inlineStr"/>
    </row>
    <row r="9" ht="22" customHeight="1">
      <c r="B9" s="14" t="n">
        <v>5</v>
      </c>
      <c r="C9" s="15" t="inlineStr"/>
      <c r="D9" s="16" t="inlineStr">
        <is>
          <t>Civil</t>
        </is>
      </c>
      <c r="E9" s="16" t="inlineStr">
        <is>
          <t>Lecturer</t>
        </is>
      </c>
      <c r="F9" s="16" t="inlineStr">
        <is>
          <t>M.Sc.</t>
        </is>
      </c>
      <c r="G9" s="16" t="inlineStr">
        <is>
          <t>Awarded</t>
        </is>
      </c>
      <c r="H9" s="16" t="inlineStr">
        <is>
          <t>Yes</t>
        </is>
      </c>
      <c r="I9" s="16" t="inlineStr">
        <is>
          <t>Pending — Upgrade Needed</t>
        </is>
      </c>
      <c r="J9" s="16" t="inlineStr"/>
      <c r="K9" s="15" t="inlineStr"/>
    </row>
    <row r="10" ht="22" customHeight="1">
      <c r="B10" s="8" t="n">
        <v>6</v>
      </c>
      <c r="C10" s="9" t="inlineStr"/>
      <c r="D10" s="10" t="inlineStr">
        <is>
          <t>S&amp;H</t>
        </is>
      </c>
      <c r="E10" s="10" t="inlineStr">
        <is>
          <t>Visiting Faculty</t>
        </is>
      </c>
      <c r="F10" s="10" t="inlineStr">
        <is>
          <t>M.Phil.</t>
        </is>
      </c>
      <c r="G10" s="10" t="inlineStr">
        <is>
          <t>Submitted</t>
        </is>
      </c>
      <c r="H10" s="10" t="inlineStr">
        <is>
          <t>No</t>
        </is>
      </c>
      <c r="I10" s="10" t="inlineStr">
        <is>
          <t>Yes</t>
        </is>
      </c>
      <c r="J10" s="10" t="inlineStr"/>
      <c r="K10" s="9" t="inlineStr"/>
    </row>
    <row r="11" ht="22" customHeight="1">
      <c r="B11" s="14" t="n">
        <v>7</v>
      </c>
      <c r="C11" s="15" t="inlineStr"/>
      <c r="D11" s="16" t="inlineStr">
        <is>
          <t>MBA</t>
        </is>
      </c>
      <c r="E11" s="16" t="inlineStr">
        <is>
          <t>Professor</t>
        </is>
      </c>
      <c r="F11" s="16" t="inlineStr">
        <is>
          <t>Ph.D.</t>
        </is>
      </c>
      <c r="G11" s="16" t="inlineStr">
        <is>
          <t>Pursuing — Reg.</t>
        </is>
      </c>
      <c r="H11" s="16" t="inlineStr">
        <is>
          <t>Yes</t>
        </is>
      </c>
      <c r="I11" s="16" t="inlineStr">
        <is>
          <t>Yes</t>
        </is>
      </c>
      <c r="J11" s="16" t="inlineStr"/>
      <c r="K11" s="15" t="inlineStr"/>
    </row>
    <row r="12" ht="22" customHeight="1">
      <c r="B12" s="8" t="n">
        <v>8</v>
      </c>
      <c r="C12" s="9" t="inlineStr"/>
      <c r="D12" s="10" t="inlineStr">
        <is>
          <t>MCA</t>
        </is>
      </c>
      <c r="E12" s="10" t="inlineStr">
        <is>
          <t>Associate Professor</t>
        </is>
      </c>
      <c r="F12" s="10" t="inlineStr">
        <is>
          <t>M.E./M.Tech + Ph.D. (Pursuing)</t>
        </is>
      </c>
      <c r="G12" s="10" t="inlineStr">
        <is>
          <t>Not Pursuing</t>
        </is>
      </c>
      <c r="H12" s="10" t="inlineStr">
        <is>
          <t>Yes</t>
        </is>
      </c>
      <c r="I12" s="10" t="inlineStr">
        <is>
          <t>Yes</t>
        </is>
      </c>
      <c r="J12" s="10" t="inlineStr"/>
      <c r="K12" s="9" t="inlineStr"/>
    </row>
    <row r="13" ht="22" customHeight="1">
      <c r="B13" s="14" t="n">
        <v>9</v>
      </c>
      <c r="C13" s="15" t="inlineStr"/>
      <c r="D13" s="16" t="inlineStr">
        <is>
          <t>Pharmacy</t>
        </is>
      </c>
      <c r="E13" s="16" t="inlineStr">
        <is>
          <t>Assistant Professor (Snr.)</t>
        </is>
      </c>
      <c r="F13" s="16" t="inlineStr">
        <is>
          <t>M.E./M.Tech</t>
        </is>
      </c>
      <c r="G13" s="16" t="inlineStr">
        <is>
          <t>Awarded</t>
        </is>
      </c>
      <c r="H13" s="16" t="inlineStr">
        <is>
          <t>Yes</t>
        </is>
      </c>
      <c r="I13" s="16" t="inlineStr">
        <is>
          <t>Yes</t>
        </is>
      </c>
      <c r="J13" s="16" t="inlineStr"/>
      <c r="K13" s="15" t="inlineStr"/>
    </row>
    <row r="14" ht="22" customHeight="1">
      <c r="B14" s="8" t="n">
        <v>10</v>
      </c>
      <c r="C14" s="9" t="inlineStr"/>
      <c r="D14" s="10" t="inlineStr">
        <is>
          <t>Architecture</t>
        </is>
      </c>
      <c r="E14" s="10" t="inlineStr">
        <is>
          <t>Assistant Professor</t>
        </is>
      </c>
      <c r="F14" s="10" t="inlineStr">
        <is>
          <t>M.B.A.</t>
        </is>
      </c>
      <c r="G14" s="10" t="inlineStr">
        <is>
          <t>Submitted</t>
        </is>
      </c>
      <c r="H14" s="10" t="inlineStr">
        <is>
          <t>Yes</t>
        </is>
      </c>
      <c r="I14" s="10" t="inlineStr">
        <is>
          <t>Pending — Upgrade Needed</t>
        </is>
      </c>
      <c r="J14" s="10" t="inlineStr"/>
      <c r="K14" s="9" t="inlineStr"/>
    </row>
    <row r="15" ht="22" customHeight="1">
      <c r="B15" s="14" t="n">
        <v>11</v>
      </c>
      <c r="C15" s="15" t="inlineStr"/>
      <c r="D15" s="16" t="inlineStr">
        <is>
          <t>CSE</t>
        </is>
      </c>
      <c r="E15" s="16" t="inlineStr">
        <is>
          <t>Lecturer</t>
        </is>
      </c>
      <c r="F15" s="16" t="inlineStr">
        <is>
          <t>M.Sc.</t>
        </is>
      </c>
      <c r="G15" s="16" t="inlineStr">
        <is>
          <t>Pursuing — Reg.</t>
        </is>
      </c>
      <c r="H15" s="16" t="inlineStr">
        <is>
          <t>Yes</t>
        </is>
      </c>
      <c r="I15" s="16" t="inlineStr">
        <is>
          <t>Yes</t>
        </is>
      </c>
      <c r="J15" s="16" t="inlineStr"/>
      <c r="K15" s="15" t="inlineStr"/>
    </row>
    <row r="16" ht="22" customHeight="1">
      <c r="B16" s="8" t="n">
        <v>12</v>
      </c>
      <c r="C16" s="9" t="inlineStr"/>
      <c r="D16" s="10" t="inlineStr">
        <is>
          <t>ECE</t>
        </is>
      </c>
      <c r="E16" s="10" t="inlineStr">
        <is>
          <t>Visiting Faculty</t>
        </is>
      </c>
      <c r="F16" s="10" t="inlineStr">
        <is>
          <t>M.Phil.</t>
        </is>
      </c>
      <c r="G16" s="10" t="inlineStr">
        <is>
          <t>Not Pursuing</t>
        </is>
      </c>
      <c r="H16" s="10" t="inlineStr">
        <is>
          <t>No</t>
        </is>
      </c>
      <c r="I16" s="10" t="inlineStr">
        <is>
          <t>Yes</t>
        </is>
      </c>
      <c r="J16" s="10" t="inlineStr"/>
      <c r="K16" s="9" t="inlineStr"/>
    </row>
    <row r="17" ht="22" customHeight="1">
      <c r="B17" s="14" t="n">
        <v>13</v>
      </c>
      <c r="C17" s="15" t="inlineStr"/>
      <c r="D17" s="16" t="inlineStr">
        <is>
          <t>EEE</t>
        </is>
      </c>
      <c r="E17" s="16" t="inlineStr">
        <is>
          <t>Professor</t>
        </is>
      </c>
      <c r="F17" s="16" t="inlineStr">
        <is>
          <t>Ph.D.</t>
        </is>
      </c>
      <c r="G17" s="16" t="inlineStr">
        <is>
          <t>Awarded</t>
        </is>
      </c>
      <c r="H17" s="16" t="inlineStr">
        <is>
          <t>Yes</t>
        </is>
      </c>
      <c r="I17" s="16" t="inlineStr">
        <is>
          <t>Yes</t>
        </is>
      </c>
      <c r="J17" s="16" t="inlineStr"/>
      <c r="K17" s="15" t="inlineStr"/>
    </row>
    <row r="18" ht="22" customHeight="1">
      <c r="B18" s="8" t="n">
        <v>14</v>
      </c>
      <c r="C18" s="9" t="inlineStr"/>
      <c r="D18" s="10" t="inlineStr">
        <is>
          <t>Mechanical</t>
        </is>
      </c>
      <c r="E18" s="10" t="inlineStr">
        <is>
          <t>Associate Professor</t>
        </is>
      </c>
      <c r="F18" s="10" t="inlineStr">
        <is>
          <t>M.E./M.Tech + Ph.D. (Pursuing)</t>
        </is>
      </c>
      <c r="G18" s="10" t="inlineStr">
        <is>
          <t>Submitted</t>
        </is>
      </c>
      <c r="H18" s="10" t="inlineStr">
        <is>
          <t>Yes</t>
        </is>
      </c>
      <c r="I18" s="10" t="inlineStr">
        <is>
          <t>Yes</t>
        </is>
      </c>
      <c r="J18" s="10" t="inlineStr"/>
      <c r="K18" s="9" t="inlineStr"/>
    </row>
    <row r="19" ht="22" customHeight="1">
      <c r="B19" s="14" t="n">
        <v>15</v>
      </c>
      <c r="C19" s="15" t="inlineStr"/>
      <c r="D19" s="16" t="inlineStr">
        <is>
          <t>Civil</t>
        </is>
      </c>
      <c r="E19" s="16" t="inlineStr">
        <is>
          <t>Assistant Professor (Snr.)</t>
        </is>
      </c>
      <c r="F19" s="16" t="inlineStr">
        <is>
          <t>M.E./M.Tech</t>
        </is>
      </c>
      <c r="G19" s="16" t="inlineStr">
        <is>
          <t>Pursuing — Reg.</t>
        </is>
      </c>
      <c r="H19" s="16" t="inlineStr">
        <is>
          <t>Yes</t>
        </is>
      </c>
      <c r="I19" s="16" t="inlineStr">
        <is>
          <t>Pending — Upgrade Needed</t>
        </is>
      </c>
      <c r="J19" s="16" t="inlineStr"/>
      <c r="K19" s="15" t="inlineStr"/>
    </row>
    <row r="20" ht="22" customHeight="1">
      <c r="B20" s="8" t="n">
        <v>16</v>
      </c>
      <c r="C20" s="9" t="inlineStr"/>
      <c r="D20" s="10" t="inlineStr">
        <is>
          <t>S&amp;H</t>
        </is>
      </c>
      <c r="E20" s="10" t="inlineStr">
        <is>
          <t>Assistant Professor</t>
        </is>
      </c>
      <c r="F20" s="10" t="inlineStr">
        <is>
          <t>M.B.A.</t>
        </is>
      </c>
      <c r="G20" s="10" t="inlineStr">
        <is>
          <t>Not Pursuing</t>
        </is>
      </c>
      <c r="H20" s="10" t="inlineStr">
        <is>
          <t>Yes</t>
        </is>
      </c>
      <c r="I20" s="10" t="inlineStr">
        <is>
          <t>Yes</t>
        </is>
      </c>
      <c r="J20" s="10" t="inlineStr"/>
      <c r="K20" s="9" t="inlineStr"/>
    </row>
    <row r="21" ht="22" customHeight="1">
      <c r="B21" s="14" t="n">
        <v>17</v>
      </c>
      <c r="C21" s="15" t="inlineStr"/>
      <c r="D21" s="16" t="inlineStr">
        <is>
          <t>MBA</t>
        </is>
      </c>
      <c r="E21" s="16" t="inlineStr">
        <is>
          <t>Lecturer</t>
        </is>
      </c>
      <c r="F21" s="16" t="inlineStr">
        <is>
          <t>M.Sc.</t>
        </is>
      </c>
      <c r="G21" s="16" t="inlineStr">
        <is>
          <t>Awarded</t>
        </is>
      </c>
      <c r="H21" s="16" t="inlineStr">
        <is>
          <t>Yes</t>
        </is>
      </c>
      <c r="I21" s="16" t="inlineStr">
        <is>
          <t>Yes</t>
        </is>
      </c>
      <c r="J21" s="16" t="inlineStr"/>
      <c r="K21" s="15" t="inlineStr"/>
    </row>
    <row r="22" ht="22" customHeight="1">
      <c r="B22" s="8" t="n">
        <v>18</v>
      </c>
      <c r="C22" s="9" t="inlineStr"/>
      <c r="D22" s="10" t="inlineStr">
        <is>
          <t>MCA</t>
        </is>
      </c>
      <c r="E22" s="10" t="inlineStr">
        <is>
          <t>Visiting Faculty</t>
        </is>
      </c>
      <c r="F22" s="10" t="inlineStr">
        <is>
          <t>M.Phil.</t>
        </is>
      </c>
      <c r="G22" s="10" t="inlineStr">
        <is>
          <t>Submitted</t>
        </is>
      </c>
      <c r="H22" s="10" t="inlineStr">
        <is>
          <t>No</t>
        </is>
      </c>
      <c r="I22" s="10" t="inlineStr">
        <is>
          <t>Yes</t>
        </is>
      </c>
      <c r="J22" s="10" t="inlineStr"/>
      <c r="K22" s="9" t="inlineStr"/>
    </row>
    <row r="23" ht="22" customHeight="1">
      <c r="B23" s="14" t="n">
        <v>19</v>
      </c>
      <c r="C23" s="15" t="inlineStr"/>
      <c r="D23" s="16" t="inlineStr">
        <is>
          <t>Pharmacy</t>
        </is>
      </c>
      <c r="E23" s="16" t="inlineStr">
        <is>
          <t>Professor</t>
        </is>
      </c>
      <c r="F23" s="16" t="inlineStr">
        <is>
          <t>Ph.D.</t>
        </is>
      </c>
      <c r="G23" s="16" t="inlineStr">
        <is>
          <t>Pursuing — Reg.</t>
        </is>
      </c>
      <c r="H23" s="16" t="inlineStr">
        <is>
          <t>Yes</t>
        </is>
      </c>
      <c r="I23" s="16" t="inlineStr">
        <is>
          <t>Yes</t>
        </is>
      </c>
      <c r="J23" s="16" t="inlineStr"/>
      <c r="K23" s="15" t="inlineStr"/>
    </row>
    <row r="24" ht="22" customHeight="1">
      <c r="B24" s="8" t="n">
        <v>20</v>
      </c>
      <c r="C24" s="9" t="inlineStr"/>
      <c r="D24" s="10" t="inlineStr">
        <is>
          <t>Architecture</t>
        </is>
      </c>
      <c r="E24" s="10" t="inlineStr">
        <is>
          <t>Associate Professor</t>
        </is>
      </c>
      <c r="F24" s="10" t="inlineStr">
        <is>
          <t>M.E./M.Tech + Ph.D. (Pursuing)</t>
        </is>
      </c>
      <c r="G24" s="10" t="inlineStr">
        <is>
          <t>Not Pursuing</t>
        </is>
      </c>
      <c r="H24" s="10" t="inlineStr">
        <is>
          <t>Yes</t>
        </is>
      </c>
      <c r="I24" s="10" t="inlineStr">
        <is>
          <t>Pending — Upgrade Needed</t>
        </is>
      </c>
      <c r="J24" s="10" t="inlineStr"/>
      <c r="K24" s="9" t="inlineStr"/>
    </row>
    <row r="25" ht="22" customHeight="1">
      <c r="B25" s="14" t="n">
        <v>21</v>
      </c>
      <c r="C25" s="15" t="inlineStr"/>
      <c r="D25" s="16" t="inlineStr">
        <is>
          <t>CSE</t>
        </is>
      </c>
      <c r="E25" s="16" t="inlineStr">
        <is>
          <t>Assistant Professor (Snr.)</t>
        </is>
      </c>
      <c r="F25" s="16" t="inlineStr">
        <is>
          <t>M.E./M.Tech</t>
        </is>
      </c>
      <c r="G25" s="16" t="inlineStr">
        <is>
          <t>Awarded</t>
        </is>
      </c>
      <c r="H25" s="16" t="inlineStr">
        <is>
          <t>Yes</t>
        </is>
      </c>
      <c r="I25" s="16" t="inlineStr">
        <is>
          <t>Yes</t>
        </is>
      </c>
      <c r="J25" s="16" t="inlineStr"/>
      <c r="K25" s="15" t="inlineStr"/>
    </row>
    <row r="26" ht="22" customHeight="1">
      <c r="B26" s="8" t="n">
        <v>22</v>
      </c>
      <c r="C26" s="9" t="inlineStr"/>
      <c r="D26" s="10" t="inlineStr">
        <is>
          <t>ECE</t>
        </is>
      </c>
      <c r="E26" s="10" t="inlineStr">
        <is>
          <t>Assistant Professor</t>
        </is>
      </c>
      <c r="F26" s="10" t="inlineStr">
        <is>
          <t>M.B.A.</t>
        </is>
      </c>
      <c r="G26" s="10" t="inlineStr">
        <is>
          <t>Submitted</t>
        </is>
      </c>
      <c r="H26" s="10" t="inlineStr">
        <is>
          <t>Yes</t>
        </is>
      </c>
      <c r="I26" s="10" t="inlineStr">
        <is>
          <t>Yes</t>
        </is>
      </c>
      <c r="J26" s="10" t="inlineStr"/>
      <c r="K26" s="9" t="inlineStr"/>
    </row>
    <row r="27" ht="22" customHeight="1">
      <c r="B27" s="14" t="n">
        <v>23</v>
      </c>
      <c r="C27" s="15" t="inlineStr"/>
      <c r="D27" s="16" t="inlineStr">
        <is>
          <t>EEE</t>
        </is>
      </c>
      <c r="E27" s="16" t="inlineStr">
        <is>
          <t>Lecturer</t>
        </is>
      </c>
      <c r="F27" s="16" t="inlineStr">
        <is>
          <t>M.Sc.</t>
        </is>
      </c>
      <c r="G27" s="16" t="inlineStr">
        <is>
          <t>Pursuing — Reg.</t>
        </is>
      </c>
      <c r="H27" s="16" t="inlineStr">
        <is>
          <t>Yes</t>
        </is>
      </c>
      <c r="I27" s="16" t="inlineStr">
        <is>
          <t>Yes</t>
        </is>
      </c>
      <c r="J27" s="16" t="inlineStr"/>
      <c r="K27" s="15" t="inlineStr"/>
    </row>
    <row r="28" ht="22" customHeight="1">
      <c r="B28" s="8" t="n">
        <v>24</v>
      </c>
      <c r="C28" s="9" t="inlineStr"/>
      <c r="D28" s="10" t="inlineStr">
        <is>
          <t>Mechanical</t>
        </is>
      </c>
      <c r="E28" s="10" t="inlineStr">
        <is>
          <t>Visiting Faculty</t>
        </is>
      </c>
      <c r="F28" s="10" t="inlineStr">
        <is>
          <t>M.Phil.</t>
        </is>
      </c>
      <c r="G28" s="10" t="inlineStr">
        <is>
          <t>Not Pursuing</t>
        </is>
      </c>
      <c r="H28" s="10" t="inlineStr">
        <is>
          <t>No</t>
        </is>
      </c>
      <c r="I28" s="10" t="inlineStr">
        <is>
          <t>Yes</t>
        </is>
      </c>
      <c r="J28" s="10" t="inlineStr"/>
      <c r="K28" s="9" t="inlineStr"/>
    </row>
    <row r="29" ht="22" customHeight="1">
      <c r="B29" s="14" t="n">
        <v>25</v>
      </c>
      <c r="C29" s="15" t="inlineStr"/>
      <c r="D29" s="16" t="inlineStr">
        <is>
          <t>Civil</t>
        </is>
      </c>
      <c r="E29" s="16" t="inlineStr">
        <is>
          <t>Professor</t>
        </is>
      </c>
      <c r="F29" s="16" t="inlineStr">
        <is>
          <t>Ph.D.</t>
        </is>
      </c>
      <c r="G29" s="16" t="inlineStr">
        <is>
          <t>Awarded</t>
        </is>
      </c>
      <c r="H29" s="16" t="inlineStr">
        <is>
          <t>Yes</t>
        </is>
      </c>
      <c r="I29" s="16" t="inlineStr">
        <is>
          <t>Pending — Upgrade Needed</t>
        </is>
      </c>
      <c r="J29" s="16" t="inlineStr"/>
      <c r="K29" s="15" t="inlineStr"/>
    </row>
    <row r="30" ht="22" customHeight="1">
      <c r="B30" s="8" t="n">
        <v>26</v>
      </c>
      <c r="C30" s="9" t="inlineStr"/>
      <c r="D30" s="10" t="inlineStr">
        <is>
          <t>S&amp;H</t>
        </is>
      </c>
      <c r="E30" s="10" t="inlineStr">
        <is>
          <t>Associate Professor</t>
        </is>
      </c>
      <c r="F30" s="10" t="inlineStr">
        <is>
          <t>M.E./M.Tech + Ph.D. (Pursuing)</t>
        </is>
      </c>
      <c r="G30" s="10" t="inlineStr">
        <is>
          <t>Submitted</t>
        </is>
      </c>
      <c r="H30" s="10" t="inlineStr">
        <is>
          <t>Yes</t>
        </is>
      </c>
      <c r="I30" s="10" t="inlineStr">
        <is>
          <t>Yes</t>
        </is>
      </c>
      <c r="J30" s="10" t="inlineStr"/>
      <c r="K30" s="9" t="inlineStr"/>
    </row>
    <row r="31" ht="22" customHeight="1">
      <c r="B31" s="14" t="n">
        <v>27</v>
      </c>
      <c r="C31" s="15" t="inlineStr"/>
      <c r="D31" s="16" t="inlineStr">
        <is>
          <t>MBA</t>
        </is>
      </c>
      <c r="E31" s="16" t="inlineStr">
        <is>
          <t>Assistant Professor (Snr.)</t>
        </is>
      </c>
      <c r="F31" s="16" t="inlineStr">
        <is>
          <t>M.E./M.Tech</t>
        </is>
      </c>
      <c r="G31" s="16" t="inlineStr">
        <is>
          <t>Pursuing — Reg.</t>
        </is>
      </c>
      <c r="H31" s="16" t="inlineStr">
        <is>
          <t>Yes</t>
        </is>
      </c>
      <c r="I31" s="16" t="inlineStr">
        <is>
          <t>Yes</t>
        </is>
      </c>
      <c r="J31" s="16" t="inlineStr"/>
      <c r="K31" s="15" t="inlineStr"/>
    </row>
    <row r="32" ht="22" customHeight="1">
      <c r="B32" s="8" t="n">
        <v>28</v>
      </c>
      <c r="C32" s="9" t="inlineStr"/>
      <c r="D32" s="10" t="inlineStr">
        <is>
          <t>MCA</t>
        </is>
      </c>
      <c r="E32" s="10" t="inlineStr">
        <is>
          <t>Assistant Professor</t>
        </is>
      </c>
      <c r="F32" s="10" t="inlineStr">
        <is>
          <t>M.B.A.</t>
        </is>
      </c>
      <c r="G32" s="10" t="inlineStr">
        <is>
          <t>Not Pursuing</t>
        </is>
      </c>
      <c r="H32" s="10" t="inlineStr">
        <is>
          <t>Yes</t>
        </is>
      </c>
      <c r="I32" s="10" t="inlineStr">
        <is>
          <t>Yes</t>
        </is>
      </c>
      <c r="J32" s="10" t="inlineStr"/>
      <c r="K32" s="9" t="inlineStr"/>
    </row>
    <row r="33" ht="22" customHeight="1">
      <c r="B33" s="14" t="n">
        <v>29</v>
      </c>
      <c r="C33" s="15" t="inlineStr"/>
      <c r="D33" s="16" t="inlineStr">
        <is>
          <t>Pharmacy</t>
        </is>
      </c>
      <c r="E33" s="16" t="inlineStr">
        <is>
          <t>Lecturer</t>
        </is>
      </c>
      <c r="F33" s="16" t="inlineStr">
        <is>
          <t>M.Sc.</t>
        </is>
      </c>
      <c r="G33" s="16" t="inlineStr">
        <is>
          <t>Awarded</t>
        </is>
      </c>
      <c r="H33" s="16" t="inlineStr">
        <is>
          <t>Yes</t>
        </is>
      </c>
      <c r="I33" s="16" t="inlineStr">
        <is>
          <t>Yes</t>
        </is>
      </c>
      <c r="J33" s="16" t="inlineStr"/>
      <c r="K33" s="15" t="inlineStr"/>
    </row>
    <row r="34" ht="22" customHeight="1">
      <c r="B34" s="8" t="n">
        <v>30</v>
      </c>
      <c r="C34" s="9" t="inlineStr"/>
      <c r="D34" s="10" t="inlineStr">
        <is>
          <t>Architecture</t>
        </is>
      </c>
      <c r="E34" s="10" t="inlineStr">
        <is>
          <t>Visiting Faculty</t>
        </is>
      </c>
      <c r="F34" s="10" t="inlineStr">
        <is>
          <t>M.Phil.</t>
        </is>
      </c>
      <c r="G34" s="10" t="inlineStr">
        <is>
          <t>Submitted</t>
        </is>
      </c>
      <c r="H34" s="10" t="inlineStr">
        <is>
          <t>No</t>
        </is>
      </c>
      <c r="I34" s="10" t="inlineStr">
        <is>
          <t>Pending — Upgrade Needed</t>
        </is>
      </c>
      <c r="J34" s="10" t="inlineStr"/>
      <c r="K34" s="9" t="inlineStr"/>
    </row>
    <row r="35" ht="22" customHeight="1"/>
    <row r="36" ht="24" customHeight="1">
      <c r="B36" s="34" t="inlineStr">
        <is>
          <t>FACULTY QUALIFICATION SUMMARY</t>
        </is>
      </c>
    </row>
    <row r="37" ht="22" customHeight="1">
      <c r="B37" s="42" t="inlineStr">
        <is>
          <t>Total Faculty</t>
        </is>
      </c>
      <c r="F37" s="36">
        <f>COUNTA(B5:B34)</f>
        <v/>
      </c>
    </row>
    <row r="38">
      <c r="B38" s="25" t="inlineStr">
        <is>
          <t>Ph.D. Awarded</t>
        </is>
      </c>
      <c r="F38" s="37">
        <f>COUNTIF(G5:G34,"Awarded")</f>
        <v/>
      </c>
    </row>
    <row r="39">
      <c r="B39" s="42" t="inlineStr">
        <is>
          <t>Ph.D. Pursuing</t>
        </is>
      </c>
      <c r="F39" s="36">
        <f>COUNTIF(G5:G34,"Pursuing — Reg.")</f>
        <v/>
      </c>
    </row>
    <row r="40">
      <c r="B40" s="25" t="inlineStr">
        <is>
          <t>NET / SET Qualified</t>
        </is>
      </c>
      <c r="F40" s="37">
        <f>COUNTIF(H5:H34,"Yes")</f>
        <v/>
      </c>
    </row>
    <row r="41">
      <c r="B41" s="42" t="inlineStr">
        <is>
          <t>UGC Eligibility Compliant</t>
        </is>
      </c>
      <c r="F41" s="36">
        <f>COUNTIF(I5:I34,"Yes")</f>
        <v/>
      </c>
    </row>
    <row r="42">
      <c r="B42" s="25" t="inlineStr">
        <is>
          <t>Ph.D. % (Awarded)</t>
        </is>
      </c>
      <c r="F42" s="37">
        <f>IFERROR(ROUND(C38/C37*100,1),"")</f>
        <v/>
      </c>
    </row>
  </sheetData>
  <mergeCells count="15">
    <mergeCell ref="B40:E40"/>
    <mergeCell ref="B41:E41"/>
    <mergeCell ref="F38:K38"/>
    <mergeCell ref="F42:K42"/>
    <mergeCell ref="B38:E38"/>
    <mergeCell ref="F40:K40"/>
    <mergeCell ref="F41:K41"/>
    <mergeCell ref="B2:K2"/>
    <mergeCell ref="B39:E39"/>
    <mergeCell ref="B37:E37"/>
    <mergeCell ref="F39:K39"/>
    <mergeCell ref="B42:E42"/>
    <mergeCell ref="B3:K3"/>
    <mergeCell ref="B36:K36"/>
    <mergeCell ref="F37:K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I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CAC-46: COLLEGE ACADEMIC COMMITTEE KPI DASHBOARD</t>
        </is>
      </c>
    </row>
    <row r="3" ht="25" customHeight="1">
      <c r="B3" s="2" t="inlineStr">
        <is>
          <t>Semester: _______  A.Y.: _______  CAC Coordinator: ___________________  Date: _______</t>
        </is>
      </c>
    </row>
    <row r="4" ht="24" customHeight="1">
      <c r="B4" s="19" t="inlineStr">
        <is>
          <t>CURRICULUM &amp; PLANNING KPIs</t>
        </is>
      </c>
    </row>
    <row r="5" ht="22" customHeight="1">
      <c r="B5" s="13" t="inlineStr">
        <is>
          <t>Sl.</t>
        </is>
      </c>
      <c r="C5" s="13" t="inlineStr">
        <is>
          <t>Key Performance Indicator</t>
        </is>
      </c>
      <c r="D5" s="13" t="inlineStr">
        <is>
          <t>Unit</t>
        </is>
      </c>
      <c r="E5" s="13" t="inlineStr">
        <is>
          <t>Target</t>
        </is>
      </c>
      <c r="F5" s="13" t="inlineStr">
        <is>
          <t>Prev. Sem.
Actual</t>
        </is>
      </c>
      <c r="G5" s="13" t="inlineStr">
        <is>
          <t>Current Sem.
Actual</t>
        </is>
      </c>
      <c r="H5" s="13" t="inlineStr">
        <is>
          <t>Status</t>
        </is>
      </c>
      <c r="I5" s="13" t="inlineStr">
        <is>
          <t>Action Required</t>
        </is>
      </c>
    </row>
    <row r="6" ht="22" customHeight="1">
      <c r="B6" s="14" t="n">
        <v>1</v>
      </c>
      <c r="C6" s="15" t="inlineStr">
        <is>
          <t>Teaching plans submitted on time (% of faculty)</t>
        </is>
      </c>
      <c r="D6" s="16" t="inlineStr">
        <is>
          <t>% on time</t>
        </is>
      </c>
      <c r="E6" s="16" t="inlineStr">
        <is>
          <t>100% by Day 5 of semester</t>
        </is>
      </c>
      <c r="F6" s="16" t="inlineStr"/>
      <c r="G6" s="16" t="inlineStr"/>
      <c r="H6" s="16" t="inlineStr">
        <is>
          <t>On Track</t>
        </is>
      </c>
      <c r="I6" s="15" t="inlineStr"/>
    </row>
    <row r="7" ht="22" customHeight="1">
      <c r="B7" s="8" t="n">
        <v>2</v>
      </c>
      <c r="C7" s="9" t="inlineStr">
        <is>
          <t>Syllabus coverage ≥ 90% (% of courses)</t>
        </is>
      </c>
      <c r="D7" s="10" t="inlineStr">
        <is>
          <t>% courses</t>
        </is>
      </c>
      <c r="E7" s="10" t="inlineStr">
        <is>
          <t>≥90%</t>
        </is>
      </c>
      <c r="F7" s="10" t="inlineStr"/>
      <c r="G7" s="10" t="inlineStr"/>
      <c r="H7" s="10" t="inlineStr">
        <is>
          <t>On Track</t>
        </is>
      </c>
      <c r="I7" s="9" t="inlineStr"/>
    </row>
    <row r="8" ht="22" customHeight="1">
      <c r="B8" s="14" t="n">
        <v>3</v>
      </c>
      <c r="C8" s="15" t="inlineStr">
        <is>
          <t>Value-added courses offered</t>
        </is>
      </c>
      <c r="D8" s="16" t="inlineStr">
        <is>
          <t>No. per year</t>
        </is>
      </c>
      <c r="E8" s="16" t="inlineStr">
        <is>
          <t>≥5</t>
        </is>
      </c>
      <c r="F8" s="16" t="inlineStr"/>
      <c r="G8" s="16" t="inlineStr"/>
      <c r="H8" s="16" t="inlineStr">
        <is>
          <t>On Track</t>
        </is>
      </c>
      <c r="I8" s="15" t="inlineStr"/>
    </row>
    <row r="9" ht="22" customHeight="1">
      <c r="B9" s="8" t="n">
        <v>4</v>
      </c>
      <c r="C9" s="9" t="inlineStr">
        <is>
          <t>MOOCs / online courses integrated</t>
        </is>
      </c>
      <c r="D9" s="10" t="inlineStr">
        <is>
          <t>No. per year</t>
        </is>
      </c>
      <c r="E9" s="10" t="inlineStr">
        <is>
          <t>≥3</t>
        </is>
      </c>
      <c r="F9" s="10" t="inlineStr"/>
      <c r="G9" s="10" t="inlineStr"/>
      <c r="H9" s="10" t="inlineStr">
        <is>
          <t>On Track</t>
        </is>
      </c>
      <c r="I9" s="9" t="inlineStr"/>
    </row>
    <row r="10" ht="22" customHeight="1">
      <c r="B10" s="14" t="n">
        <v>5</v>
      </c>
      <c r="C10" s="15" t="inlineStr">
        <is>
          <t>Curriculum reviewed (BoS meetings held)</t>
        </is>
      </c>
      <c r="D10" s="16" t="inlineStr">
        <is>
          <t>No. per year</t>
        </is>
      </c>
      <c r="E10" s="16" t="inlineStr">
        <is>
          <t>≥1 per dept.</t>
        </is>
      </c>
      <c r="F10" s="16" t="inlineStr"/>
      <c r="G10" s="16" t="inlineStr"/>
      <c r="H10" s="16" t="inlineStr">
        <is>
          <t>On Track</t>
        </is>
      </c>
      <c r="I10" s="15" t="inlineStr"/>
    </row>
    <row r="11" ht="22" customHeight="1">
      <c r="B11" s="8" t="n">
        <v>6</v>
      </c>
      <c r="C11" s="9" t="inlineStr">
        <is>
          <t>New elective / industry-aligned courses introduced</t>
        </is>
      </c>
      <c r="D11" s="10" t="inlineStr">
        <is>
          <t>No. per year</t>
        </is>
      </c>
      <c r="E11" s="10" t="inlineStr">
        <is>
          <t>≥2</t>
        </is>
      </c>
      <c r="F11" s="10" t="inlineStr"/>
      <c r="G11" s="10" t="inlineStr"/>
      <c r="H11" s="10" t="inlineStr">
        <is>
          <t>On Track</t>
        </is>
      </c>
      <c r="I11" s="9" t="inlineStr"/>
    </row>
    <row r="12" ht="22" customHeight="1"/>
    <row r="13" ht="24" customHeight="1">
      <c r="B13" s="38" t="inlineStr">
        <is>
          <t>TEACHING-LEARNING KPIs</t>
        </is>
      </c>
    </row>
    <row r="14" ht="22" customHeight="1">
      <c r="B14" s="48" t="inlineStr">
        <is>
          <t>Sl.</t>
        </is>
      </c>
      <c r="C14" s="48" t="inlineStr">
        <is>
          <t>Key Performance Indicator</t>
        </is>
      </c>
      <c r="D14" s="48" t="inlineStr">
        <is>
          <t>Unit</t>
        </is>
      </c>
      <c r="E14" s="48" t="inlineStr">
        <is>
          <t>Target</t>
        </is>
      </c>
      <c r="F14" s="48" t="inlineStr">
        <is>
          <t>Prev. Sem.
Actual</t>
        </is>
      </c>
      <c r="G14" s="48" t="inlineStr">
        <is>
          <t>Current Sem.
Actual</t>
        </is>
      </c>
      <c r="H14" s="48" t="inlineStr">
        <is>
          <t>Status</t>
        </is>
      </c>
      <c r="I14" s="48" t="inlineStr">
        <is>
          <t>Action Required</t>
        </is>
      </c>
    </row>
    <row r="15" ht="22" customHeight="1">
      <c r="B15" s="39" t="n">
        <v>1</v>
      </c>
      <c r="C15" s="40" t="inlineStr">
        <is>
          <t>Faculty using innovative teaching methods (%)</t>
        </is>
      </c>
      <c r="D15" s="41" t="inlineStr">
        <is>
          <t>% faculty</t>
        </is>
      </c>
      <c r="E15" s="41" t="inlineStr">
        <is>
          <t>≥60%</t>
        </is>
      </c>
      <c r="F15" s="41" t="inlineStr"/>
      <c r="G15" s="41" t="inlineStr"/>
      <c r="H15" s="41" t="inlineStr">
        <is>
          <t>On Track</t>
        </is>
      </c>
      <c r="I15" s="40" t="inlineStr"/>
    </row>
    <row r="16" ht="22" customHeight="1">
      <c r="B16" s="8" t="n">
        <v>2</v>
      </c>
      <c r="C16" s="9" t="inlineStr">
        <is>
          <t>Guest lectures conducted</t>
        </is>
      </c>
      <c r="D16" s="10" t="inlineStr">
        <is>
          <t>No. per year</t>
        </is>
      </c>
      <c r="E16" s="10" t="inlineStr">
        <is>
          <t>≥20</t>
        </is>
      </c>
      <c r="F16" s="10" t="inlineStr"/>
      <c r="G16" s="10" t="inlineStr"/>
      <c r="H16" s="10" t="inlineStr">
        <is>
          <t>On Track</t>
        </is>
      </c>
      <c r="I16" s="9" t="inlineStr"/>
    </row>
    <row r="17" ht="22" customHeight="1">
      <c r="B17" s="39" t="n">
        <v>3</v>
      </c>
      <c r="C17" s="40" t="inlineStr">
        <is>
          <t>Industrial visits conducted</t>
        </is>
      </c>
      <c r="D17" s="41" t="inlineStr">
        <is>
          <t>No. per year</t>
        </is>
      </c>
      <c r="E17" s="41" t="inlineStr">
        <is>
          <t>≥10</t>
        </is>
      </c>
      <c r="F17" s="41" t="inlineStr"/>
      <c r="G17" s="41" t="inlineStr"/>
      <c r="H17" s="41" t="inlineStr">
        <is>
          <t>On Track</t>
        </is>
      </c>
      <c r="I17" s="40" t="inlineStr"/>
    </row>
    <row r="18" ht="22" customHeight="1">
      <c r="B18" s="8" t="n">
        <v>4</v>
      </c>
      <c r="C18" s="9" t="inlineStr">
        <is>
          <t>Mentor-mentee sessions per semester</t>
        </is>
      </c>
      <c r="D18" s="10" t="inlineStr">
        <is>
          <t>No. per mentor</t>
        </is>
      </c>
      <c r="E18" s="10" t="inlineStr">
        <is>
          <t>≥3</t>
        </is>
      </c>
      <c r="F18" s="10" t="inlineStr"/>
      <c r="G18" s="10" t="inlineStr"/>
      <c r="H18" s="10" t="inlineStr">
        <is>
          <t>On Track</t>
        </is>
      </c>
      <c r="I18" s="9" t="inlineStr"/>
    </row>
    <row r="19" ht="22" customHeight="1">
      <c r="B19" s="39" t="n">
        <v>5</v>
      </c>
      <c r="C19" s="40" t="inlineStr">
        <is>
          <t>Slow learner support programmes</t>
        </is>
      </c>
      <c r="D19" s="41" t="inlineStr">
        <is>
          <t>No. per semester</t>
        </is>
      </c>
      <c r="E19" s="41" t="inlineStr">
        <is>
          <t>≥1 per dept.</t>
        </is>
      </c>
      <c r="F19" s="41" t="inlineStr"/>
      <c r="G19" s="41" t="inlineStr"/>
      <c r="H19" s="41" t="inlineStr">
        <is>
          <t>On Track</t>
        </is>
      </c>
      <c r="I19" s="40" t="inlineStr"/>
    </row>
    <row r="20" ht="22" customHeight="1">
      <c r="B20" s="8" t="n">
        <v>6</v>
      </c>
      <c r="C20" s="9" t="inlineStr">
        <is>
          <t>ICT-enabled learning (% of classes)</t>
        </is>
      </c>
      <c r="D20" s="10" t="inlineStr">
        <is>
          <t>% classes</t>
        </is>
      </c>
      <c r="E20" s="10" t="inlineStr">
        <is>
          <t>≥40%</t>
        </is>
      </c>
      <c r="F20" s="10" t="inlineStr"/>
      <c r="G20" s="10" t="inlineStr"/>
      <c r="H20" s="10" t="inlineStr">
        <is>
          <t>On Track</t>
        </is>
      </c>
      <c r="I20" s="9" t="inlineStr"/>
    </row>
    <row r="21" ht="22" customHeight="1"/>
    <row r="22" ht="24" customHeight="1">
      <c r="B22" s="34" t="inlineStr">
        <is>
          <t>STUDENT OUTCOME KPIs</t>
        </is>
      </c>
    </row>
    <row r="23" ht="22" customHeight="1">
      <c r="B23" s="30" t="inlineStr">
        <is>
          <t>Sl.</t>
        </is>
      </c>
      <c r="C23" s="30" t="inlineStr">
        <is>
          <t>Key Performance Indicator</t>
        </is>
      </c>
      <c r="D23" s="30" t="inlineStr">
        <is>
          <t>Unit</t>
        </is>
      </c>
      <c r="E23" s="30" t="inlineStr">
        <is>
          <t>Target</t>
        </is>
      </c>
      <c r="F23" s="30" t="inlineStr">
        <is>
          <t>Prev. Sem.
Actual</t>
        </is>
      </c>
      <c r="G23" s="30" t="inlineStr">
        <is>
          <t>Current Sem.
Actual</t>
        </is>
      </c>
      <c r="H23" s="30" t="inlineStr">
        <is>
          <t>Status</t>
        </is>
      </c>
      <c r="I23" s="30" t="inlineStr">
        <is>
          <t>Action Required</t>
        </is>
      </c>
    </row>
    <row r="24" ht="22" customHeight="1">
      <c r="B24" s="31" t="n">
        <v>1</v>
      </c>
      <c r="C24" s="32" t="inlineStr">
        <is>
          <t>Institution overall pass % (SEE)</t>
        </is>
      </c>
      <c r="D24" s="33" t="inlineStr">
        <is>
          <t>% pass</t>
        </is>
      </c>
      <c r="E24" s="33" t="inlineStr">
        <is>
          <t>≥80%</t>
        </is>
      </c>
      <c r="F24" s="33" t="inlineStr"/>
      <c r="G24" s="33" t="inlineStr"/>
      <c r="H24" s="33" t="inlineStr">
        <is>
          <t>On Track</t>
        </is>
      </c>
      <c r="I24" s="32" t="inlineStr"/>
    </row>
    <row r="25" ht="22" customHeight="1">
      <c r="B25" s="8" t="n">
        <v>2</v>
      </c>
      <c r="C25" s="9" t="inlineStr">
        <is>
          <t>Students with backlog (% of enrolled)</t>
        </is>
      </c>
      <c r="D25" s="10" t="inlineStr">
        <is>
          <t>% students</t>
        </is>
      </c>
      <c r="E25" s="10" t="inlineStr">
        <is>
          <t>&lt; 10%</t>
        </is>
      </c>
      <c r="F25" s="10" t="inlineStr"/>
      <c r="G25" s="10" t="inlineStr"/>
      <c r="H25" s="10" t="inlineStr">
        <is>
          <t>On Track</t>
        </is>
      </c>
      <c r="I25" s="9" t="inlineStr"/>
    </row>
    <row r="26" ht="22" customHeight="1">
      <c r="B26" s="31" t="n">
        <v>3</v>
      </c>
      <c r="C26" s="32" t="inlineStr">
        <is>
          <t>Student average attendance (%)</t>
        </is>
      </c>
      <c r="D26" s="33" t="inlineStr">
        <is>
          <t>% attendance</t>
        </is>
      </c>
      <c r="E26" s="33" t="inlineStr">
        <is>
          <t>≥80%</t>
        </is>
      </c>
      <c r="F26" s="33" t="inlineStr"/>
      <c r="G26" s="33" t="inlineStr"/>
      <c r="H26" s="33" t="inlineStr">
        <is>
          <t>On Track</t>
        </is>
      </c>
      <c r="I26" s="32" t="inlineStr"/>
    </row>
    <row r="27" ht="22" customHeight="1">
      <c r="B27" s="8" t="n">
        <v>4</v>
      </c>
      <c r="C27" s="9" t="inlineStr">
        <is>
          <t>Student feedback score on teaching (/5)</t>
        </is>
      </c>
      <c r="D27" s="10" t="inlineStr">
        <is>
          <t>Score</t>
        </is>
      </c>
      <c r="E27" s="10" t="inlineStr">
        <is>
          <t>≥3.5</t>
        </is>
      </c>
      <c r="F27" s="10" t="inlineStr"/>
      <c r="G27" s="10" t="inlineStr"/>
      <c r="H27" s="10" t="inlineStr">
        <is>
          <t>On Track</t>
        </is>
      </c>
      <c r="I27" s="9" t="inlineStr"/>
    </row>
    <row r="28" ht="22" customHeight="1">
      <c r="B28" s="31" t="n">
        <v>5</v>
      </c>
      <c r="C28" s="32" t="inlineStr">
        <is>
          <t>CO attainment — average (/3)</t>
        </is>
      </c>
      <c r="D28" s="33" t="inlineStr">
        <is>
          <t>Score</t>
        </is>
      </c>
      <c r="E28" s="33" t="inlineStr">
        <is>
          <t>≥2.0</t>
        </is>
      </c>
      <c r="F28" s="33" t="inlineStr"/>
      <c r="G28" s="33" t="inlineStr"/>
      <c r="H28" s="33" t="inlineStr">
        <is>
          <t>On Track</t>
        </is>
      </c>
      <c r="I28" s="32" t="inlineStr"/>
    </row>
    <row r="29" ht="22" customHeight="1">
      <c r="B29" s="8" t="n">
        <v>6</v>
      </c>
      <c r="C29" s="9" t="inlineStr">
        <is>
          <t>Placement / higher studies (% of graduates)</t>
        </is>
      </c>
      <c r="D29" s="10" t="inlineStr">
        <is>
          <t>% students</t>
        </is>
      </c>
      <c r="E29" s="10" t="inlineStr">
        <is>
          <t>≥70%</t>
        </is>
      </c>
      <c r="F29" s="10" t="inlineStr"/>
      <c r="G29" s="10" t="inlineStr"/>
      <c r="H29" s="10" t="inlineStr">
        <is>
          <t>On Track</t>
        </is>
      </c>
      <c r="I29" s="9" t="inlineStr"/>
    </row>
    <row r="30" ht="22" customHeight="1"/>
    <row r="31" ht="24" customHeight="1">
      <c r="B31" s="57" t="inlineStr">
        <is>
          <t>FACULTY DEVELOPMENT KPIs</t>
        </is>
      </c>
    </row>
    <row r="32" ht="22" customHeight="1">
      <c r="B32" s="58" t="inlineStr">
        <is>
          <t>Sl.</t>
        </is>
      </c>
      <c r="C32" s="58" t="inlineStr">
        <is>
          <t>Key Performance Indicator</t>
        </is>
      </c>
      <c r="D32" s="58" t="inlineStr">
        <is>
          <t>Unit</t>
        </is>
      </c>
      <c r="E32" s="58" t="inlineStr">
        <is>
          <t>Target</t>
        </is>
      </c>
      <c r="F32" s="58" t="inlineStr">
        <is>
          <t>Prev. Sem.
Actual</t>
        </is>
      </c>
      <c r="G32" s="58" t="inlineStr">
        <is>
          <t>Current Sem.
Actual</t>
        </is>
      </c>
      <c r="H32" s="58" t="inlineStr">
        <is>
          <t>Status</t>
        </is>
      </c>
      <c r="I32" s="58" t="inlineStr">
        <is>
          <t>Action Required</t>
        </is>
      </c>
    </row>
    <row r="33" ht="22" customHeight="1">
      <c r="B33" s="59" t="n">
        <v>1</v>
      </c>
      <c r="C33" s="60" t="inlineStr">
        <is>
          <t>Faculty with FDP participation (% per year)</t>
        </is>
      </c>
      <c r="D33" s="61" t="inlineStr">
        <is>
          <t>% faculty</t>
        </is>
      </c>
      <c r="E33" s="61" t="inlineStr">
        <is>
          <t>100%</t>
        </is>
      </c>
      <c r="F33" s="61" t="inlineStr"/>
      <c r="G33" s="61" t="inlineStr"/>
      <c r="H33" s="61" t="inlineStr">
        <is>
          <t>On Track</t>
        </is>
      </c>
      <c r="I33" s="60" t="inlineStr"/>
    </row>
    <row r="34" ht="22" customHeight="1">
      <c r="B34" s="8" t="n">
        <v>2</v>
      </c>
      <c r="C34" s="9" t="inlineStr">
        <is>
          <t>Faculty with Ph.D. (%)</t>
        </is>
      </c>
      <c r="D34" s="10" t="inlineStr">
        <is>
          <t>% faculty</t>
        </is>
      </c>
      <c r="E34" s="10" t="inlineStr">
        <is>
          <t>≥35%</t>
        </is>
      </c>
      <c r="F34" s="10" t="inlineStr"/>
      <c r="G34" s="10" t="inlineStr"/>
      <c r="H34" s="10" t="inlineStr">
        <is>
          <t>On Track</t>
        </is>
      </c>
      <c r="I34" s="9" t="inlineStr"/>
    </row>
    <row r="35" ht="22" customHeight="1">
      <c r="B35" s="59" t="n">
        <v>3</v>
      </c>
      <c r="C35" s="60" t="inlineStr">
        <is>
          <t>Research publications per year</t>
        </is>
      </c>
      <c r="D35" s="61" t="inlineStr">
        <is>
          <t>No.</t>
        </is>
      </c>
      <c r="E35" s="61" t="inlineStr">
        <is>
          <t>≥2 per faculty on avg.</t>
        </is>
      </c>
      <c r="F35" s="61" t="inlineStr"/>
      <c r="G35" s="61" t="inlineStr"/>
      <c r="H35" s="61" t="inlineStr">
        <is>
          <t>On Track</t>
        </is>
      </c>
      <c r="I35" s="60" t="inlineStr"/>
    </row>
    <row r="36" ht="22" customHeight="1">
      <c r="B36" s="8" t="n">
        <v>4</v>
      </c>
      <c r="C36" s="9" t="inlineStr">
        <is>
          <t>Faculty attending national conferences</t>
        </is>
      </c>
      <c r="D36" s="10" t="inlineStr">
        <is>
          <t>No.</t>
        </is>
      </c>
      <c r="E36" s="10" t="inlineStr">
        <is>
          <t>≥15</t>
        </is>
      </c>
      <c r="F36" s="10" t="inlineStr"/>
      <c r="G36" s="10" t="inlineStr"/>
      <c r="H36" s="10" t="inlineStr">
        <is>
          <t>On Track</t>
        </is>
      </c>
      <c r="I36" s="9" t="inlineStr"/>
    </row>
    <row r="37" ht="22" customHeight="1">
      <c r="B37" s="59" t="n">
        <v>5</v>
      </c>
      <c r="C37" s="60" t="inlineStr">
        <is>
          <t>Faculty with industry certification</t>
        </is>
      </c>
      <c r="D37" s="61" t="inlineStr">
        <is>
          <t>No.</t>
        </is>
      </c>
      <c r="E37" s="61" t="inlineStr">
        <is>
          <t>Increasing</t>
        </is>
      </c>
      <c r="F37" s="61" t="inlineStr"/>
      <c r="G37" s="61" t="inlineStr"/>
      <c r="H37" s="61" t="inlineStr">
        <is>
          <t>On Track</t>
        </is>
      </c>
      <c r="I37" s="60" t="inlineStr"/>
    </row>
    <row r="38" ht="22" customHeight="1">
      <c r="B38" s="8" t="n">
        <v>6</v>
      </c>
      <c r="C38" s="9" t="inlineStr">
        <is>
          <t>Faculty appraisal completed on time</t>
        </is>
      </c>
      <c r="D38" s="10" t="inlineStr">
        <is>
          <t>% on time</t>
        </is>
      </c>
      <c r="E38" s="10" t="inlineStr">
        <is>
          <t>100%</t>
        </is>
      </c>
      <c r="F38" s="10" t="inlineStr"/>
      <c r="G38" s="10" t="inlineStr"/>
      <c r="H38" s="10" t="inlineStr">
        <is>
          <t>On Track</t>
        </is>
      </c>
      <c r="I38" s="9" t="inlineStr"/>
    </row>
    <row r="39" ht="22" customHeight="1"/>
    <row r="40" ht="24" customHeight="1">
      <c r="B40" s="51" t="inlineStr">
        <is>
          <t>ACADEMIC QUALITY KPIs</t>
        </is>
      </c>
    </row>
    <row r="41" ht="22" customHeight="1">
      <c r="B41" s="52" t="inlineStr">
        <is>
          <t>Sl.</t>
        </is>
      </c>
      <c r="C41" s="52" t="inlineStr">
        <is>
          <t>Key Performance Indicator</t>
        </is>
      </c>
      <c r="D41" s="52" t="inlineStr">
        <is>
          <t>Unit</t>
        </is>
      </c>
      <c r="E41" s="52" t="inlineStr">
        <is>
          <t>Target</t>
        </is>
      </c>
      <c r="F41" s="52" t="inlineStr">
        <is>
          <t>Prev. Sem.
Actual</t>
        </is>
      </c>
      <c r="G41" s="52" t="inlineStr">
        <is>
          <t>Current Sem.
Actual</t>
        </is>
      </c>
      <c r="H41" s="52" t="inlineStr">
        <is>
          <t>Status</t>
        </is>
      </c>
      <c r="I41" s="52" t="inlineStr">
        <is>
          <t>Action Required</t>
        </is>
      </c>
    </row>
    <row r="42" ht="22" customHeight="1">
      <c r="B42" s="53" t="n">
        <v>1</v>
      </c>
      <c r="C42" s="54" t="inlineStr">
        <is>
          <t>Academic audit completed (all depts.)</t>
        </is>
      </c>
      <c r="D42" s="55" t="inlineStr">
        <is>
          <t>Y/N</t>
        </is>
      </c>
      <c r="E42" s="55" t="inlineStr">
        <is>
          <t>Yes — annual</t>
        </is>
      </c>
      <c r="F42" s="55" t="inlineStr"/>
      <c r="G42" s="55" t="inlineStr"/>
      <c r="H42" s="55" t="inlineStr">
        <is>
          <t>On Track</t>
        </is>
      </c>
      <c r="I42" s="54" t="inlineStr"/>
    </row>
    <row r="43" ht="22" customHeight="1">
      <c r="B43" s="8" t="n">
        <v>2</v>
      </c>
      <c r="C43" s="9" t="inlineStr">
        <is>
          <t>NAAC Criterion II data compiled</t>
        </is>
      </c>
      <c r="D43" s="10" t="inlineStr">
        <is>
          <t>Y/N</t>
        </is>
      </c>
      <c r="E43" s="10" t="inlineStr">
        <is>
          <t>Yes by July 31</t>
        </is>
      </c>
      <c r="F43" s="10" t="inlineStr"/>
      <c r="G43" s="10" t="inlineStr"/>
      <c r="H43" s="10" t="inlineStr">
        <is>
          <t>On Track</t>
        </is>
      </c>
      <c r="I43" s="9" t="inlineStr"/>
    </row>
    <row r="44" ht="22" customHeight="1">
      <c r="B44" s="53" t="n">
        <v>3</v>
      </c>
      <c r="C44" s="54" t="inlineStr">
        <is>
          <t>Student feedback analysed and acted upon</t>
        </is>
      </c>
      <c r="D44" s="55" t="inlineStr">
        <is>
          <t>Y/N</t>
        </is>
      </c>
      <c r="E44" s="55" t="inlineStr">
        <is>
          <t>Yes — every semester</t>
        </is>
      </c>
      <c r="F44" s="55" t="inlineStr"/>
      <c r="G44" s="55" t="inlineStr"/>
      <c r="H44" s="55" t="inlineStr">
        <is>
          <t>On Track</t>
        </is>
      </c>
      <c r="I44" s="54" t="inlineStr"/>
    </row>
    <row r="45" ht="22" customHeight="1">
      <c r="B45" s="8" t="n">
        <v>4</v>
      </c>
      <c r="C45" s="9" t="inlineStr">
        <is>
          <t>CAC meetings held per semester</t>
        </is>
      </c>
      <c r="D45" s="10" t="inlineStr">
        <is>
          <t>No.</t>
        </is>
      </c>
      <c r="E45" s="10" t="inlineStr">
        <is>
          <t>≥2</t>
        </is>
      </c>
      <c r="F45" s="10" t="inlineStr"/>
      <c r="G45" s="10" t="inlineStr"/>
      <c r="H45" s="10" t="inlineStr">
        <is>
          <t>On Track</t>
        </is>
      </c>
      <c r="I45" s="9" t="inlineStr"/>
    </row>
    <row r="46" ht="22" customHeight="1">
      <c r="B46" s="53" t="n">
        <v>5</v>
      </c>
      <c r="C46" s="54" t="inlineStr">
        <is>
          <t>Academic integrity cases</t>
        </is>
      </c>
      <c r="D46" s="55" t="inlineStr">
        <is>
          <t>No.</t>
        </is>
      </c>
      <c r="E46" s="55" t="inlineStr">
        <is>
          <t>0 target</t>
        </is>
      </c>
      <c r="F46" s="55" t="inlineStr"/>
      <c r="G46" s="55" t="inlineStr"/>
      <c r="H46" s="55" t="inlineStr">
        <is>
          <t>On Track</t>
        </is>
      </c>
      <c r="I46" s="54" t="inlineStr"/>
    </row>
    <row r="47" ht="22" customHeight="1">
      <c r="B47" s="8" t="n">
        <v>6</v>
      </c>
      <c r="C47" s="9" t="inlineStr">
        <is>
          <t>Best practices documented and shared</t>
        </is>
      </c>
      <c r="D47" s="10" t="inlineStr">
        <is>
          <t>No. per year</t>
        </is>
      </c>
      <c r="E47" s="10" t="inlineStr">
        <is>
          <t>≥3</t>
        </is>
      </c>
      <c r="F47" s="10" t="inlineStr"/>
      <c r="G47" s="10" t="inlineStr"/>
      <c r="H47" s="10" t="inlineStr">
        <is>
          <t>On Track</t>
        </is>
      </c>
      <c r="I47" s="9" t="inlineStr"/>
    </row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</sheetData>
  <mergeCells count="7">
    <mergeCell ref="B13:I13"/>
    <mergeCell ref="B2:I2"/>
    <mergeCell ref="B3:I3"/>
    <mergeCell ref="B22:I22"/>
    <mergeCell ref="B31:I31"/>
    <mergeCell ref="B4:I4"/>
    <mergeCell ref="B40:I4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2" t="inlineStr">
        <is>
          <t>CAC-47: COLLEGE ACADEMIC COMMITTEE ANNUAL ACADEMIC REPORT</t>
        </is>
      </c>
    </row>
    <row r="3" ht="25" customHeight="1">
      <c r="B3" s="2" t="inlineStr">
        <is>
          <t>A.Y.: _______  CAC Coordinator: ___________________  Submitted to: Academic Council / IQAC / Management  Date: _______</t>
        </is>
      </c>
    </row>
    <row r="4" ht="24" customHeight="1">
      <c r="B4" s="19" t="inlineStr">
        <is>
          <t>SECTION 1 — CURRICULUM &amp; COURSES</t>
        </is>
      </c>
    </row>
    <row r="5" ht="22" customHeight="1">
      <c r="B5" s="13" t="inlineStr">
        <is>
          <t>Sl.</t>
        </is>
      </c>
      <c r="C5" s="13" t="inlineStr">
        <is>
          <t>Performance Metric</t>
        </is>
      </c>
      <c r="D5" s="13" t="inlineStr">
        <is>
          <t>Unit</t>
        </is>
      </c>
      <c r="E5" s="13" t="inlineStr">
        <is>
          <t>Current A.Y.</t>
        </is>
      </c>
      <c r="F5" s="13" t="inlineStr">
        <is>
          <t>Previous A.Y.</t>
        </is>
      </c>
      <c r="G5" s="13" t="inlineStr">
        <is>
          <t>Growth %</t>
        </is>
      </c>
      <c r="H5" s="13" t="inlineStr">
        <is>
          <t>Target Next Year</t>
        </is>
      </c>
    </row>
    <row r="6" ht="22" customHeight="1">
      <c r="B6" s="14" t="n">
        <v>1</v>
      </c>
      <c r="C6" s="15" t="inlineStr">
        <is>
          <t>Total programmes offered</t>
        </is>
      </c>
      <c r="D6" s="16" t="inlineStr">
        <is>
          <t>No.</t>
        </is>
      </c>
      <c r="E6" s="16" t="inlineStr"/>
      <c r="F6" s="16" t="inlineStr"/>
      <c r="G6" s="16">
        <f>IFERROR(ROUND((E6-F6)/IF(F6=0,1,F6)*100,1),"")</f>
        <v/>
      </c>
      <c r="H6" s="16" t="inlineStr"/>
    </row>
    <row r="7" ht="22" customHeight="1">
      <c r="B7" s="8" t="n">
        <v>2</v>
      </c>
      <c r="C7" s="9" t="inlineStr">
        <is>
          <t>New programmes launched</t>
        </is>
      </c>
      <c r="D7" s="10" t="inlineStr">
        <is>
          <t>No.</t>
        </is>
      </c>
      <c r="E7" s="10" t="inlineStr"/>
      <c r="F7" s="10" t="inlineStr"/>
      <c r="G7" s="10">
        <f>IFERROR(ROUND((E7-F7)/IF(F7=0,1,F7)*100,1),"")</f>
        <v/>
      </c>
      <c r="H7" s="10" t="inlineStr"/>
    </row>
    <row r="8" ht="22" customHeight="1">
      <c r="B8" s="14" t="n">
        <v>3</v>
      </c>
      <c r="C8" s="15" t="inlineStr">
        <is>
          <t>Curriculum revisions made</t>
        </is>
      </c>
      <c r="D8" s="16" t="inlineStr">
        <is>
          <t>No.</t>
        </is>
      </c>
      <c r="E8" s="16" t="inlineStr"/>
      <c r="F8" s="16" t="inlineStr"/>
      <c r="G8" s="16">
        <f>IFERROR(ROUND((E8-F8)/IF(F8=0,1,F8)*100,1),"")</f>
        <v/>
      </c>
      <c r="H8" s="16" t="inlineStr"/>
    </row>
    <row r="9" ht="22" customHeight="1">
      <c r="B9" s="8" t="n">
        <v>4</v>
      </c>
      <c r="C9" s="9" t="inlineStr">
        <is>
          <t>New electives / value-added courses</t>
        </is>
      </c>
      <c r="D9" s="10" t="inlineStr">
        <is>
          <t>No.</t>
        </is>
      </c>
      <c r="E9" s="10" t="inlineStr"/>
      <c r="F9" s="10" t="inlineStr"/>
      <c r="G9" s="10">
        <f>IFERROR(ROUND((E9-F9)/IF(F9=0,1,F9)*100,1),"")</f>
        <v/>
      </c>
      <c r="H9" s="10" t="inlineStr"/>
    </row>
    <row r="10" ht="22" customHeight="1">
      <c r="B10" s="14" t="n">
        <v>5</v>
      </c>
      <c r="C10" s="15" t="inlineStr">
        <is>
          <t>MOOCs / online courses integrated</t>
        </is>
      </c>
      <c r="D10" s="16" t="inlineStr">
        <is>
          <t>No.</t>
        </is>
      </c>
      <c r="E10" s="16" t="inlineStr"/>
      <c r="F10" s="16" t="inlineStr"/>
      <c r="G10" s="16">
        <f>IFERROR(ROUND((E10-F10)/IF(F10=0,1,F10)*100,1),"")</f>
        <v/>
      </c>
      <c r="H10" s="16" t="inlineStr"/>
    </row>
    <row r="11" ht="22" customHeight="1">
      <c r="B11" s="8" t="n">
        <v>6</v>
      </c>
      <c r="C11" s="9" t="inlineStr">
        <is>
          <t>BoS meetings conducted</t>
        </is>
      </c>
      <c r="D11" s="10" t="inlineStr">
        <is>
          <t>No.</t>
        </is>
      </c>
      <c r="E11" s="10" t="inlineStr"/>
      <c r="F11" s="10" t="inlineStr"/>
      <c r="G11" s="10">
        <f>IFERROR(ROUND((E11-F11)/IF(F11=0,1,F11)*100,1),"")</f>
        <v/>
      </c>
      <c r="H11" s="10" t="inlineStr"/>
    </row>
    <row r="12" ht="22" customHeight="1"/>
    <row r="13" ht="24" customHeight="1">
      <c r="B13" s="38" t="inlineStr">
        <is>
          <t>SECTION 2 — TEACHING-LEARNING</t>
        </is>
      </c>
    </row>
    <row r="14" ht="22" customHeight="1">
      <c r="B14" s="48" t="inlineStr">
        <is>
          <t>Sl.</t>
        </is>
      </c>
      <c r="C14" s="48" t="inlineStr">
        <is>
          <t>Performance Metric</t>
        </is>
      </c>
      <c r="D14" s="48" t="inlineStr">
        <is>
          <t>Unit</t>
        </is>
      </c>
      <c r="E14" s="48" t="inlineStr">
        <is>
          <t>Current A.Y.</t>
        </is>
      </c>
      <c r="F14" s="48" t="inlineStr">
        <is>
          <t>Previous A.Y.</t>
        </is>
      </c>
      <c r="G14" s="48" t="inlineStr">
        <is>
          <t>Growth %</t>
        </is>
      </c>
      <c r="H14" s="48" t="inlineStr">
        <is>
          <t>Target Next Year</t>
        </is>
      </c>
    </row>
    <row r="15" ht="22" customHeight="1">
      <c r="B15" s="39" t="n">
        <v>1</v>
      </c>
      <c r="C15" s="40" t="inlineStr">
        <is>
          <t>Guest lectures conducted</t>
        </is>
      </c>
      <c r="D15" s="41" t="inlineStr">
        <is>
          <t>No.</t>
        </is>
      </c>
      <c r="E15" s="41" t="inlineStr"/>
      <c r="F15" s="41" t="inlineStr"/>
      <c r="G15" s="41">
        <f>IFERROR(ROUND((E15-F15)/IF(F15=0,1,F15)*100,1),"")</f>
        <v/>
      </c>
      <c r="H15" s="41" t="inlineStr"/>
    </row>
    <row r="16" ht="22" customHeight="1">
      <c r="B16" s="8" t="n">
        <v>2</v>
      </c>
      <c r="C16" s="9" t="inlineStr">
        <is>
          <t>Industrial visits organised</t>
        </is>
      </c>
      <c r="D16" s="10" t="inlineStr">
        <is>
          <t>No.</t>
        </is>
      </c>
      <c r="E16" s="10" t="inlineStr"/>
      <c r="F16" s="10" t="inlineStr"/>
      <c r="G16" s="10">
        <f>IFERROR(ROUND((E16-F16)/IF(F16=0,1,F16)*100,1),"")</f>
        <v/>
      </c>
      <c r="H16" s="10" t="inlineStr"/>
    </row>
    <row r="17" ht="22" customHeight="1">
      <c r="B17" s="39" t="n">
        <v>3</v>
      </c>
      <c r="C17" s="40" t="inlineStr">
        <is>
          <t>Faculty using ICT in teaching (%)</t>
        </is>
      </c>
      <c r="D17" s="41" t="inlineStr">
        <is>
          <t>% faculty</t>
        </is>
      </c>
      <c r="E17" s="41" t="inlineStr"/>
      <c r="F17" s="41" t="inlineStr"/>
      <c r="G17" s="41">
        <f>IFERROR(ROUND((E17-F17)/IF(F17=0,1,F17)*100,1),"")</f>
        <v/>
      </c>
      <c r="H17" s="41" t="inlineStr"/>
    </row>
    <row r="18" ht="22" customHeight="1">
      <c r="B18" s="8" t="n">
        <v>4</v>
      </c>
      <c r="C18" s="9" t="inlineStr">
        <is>
          <t>Mentoring sessions conducted</t>
        </is>
      </c>
      <c r="D18" s="10" t="inlineStr">
        <is>
          <t>No.</t>
        </is>
      </c>
      <c r="E18" s="10" t="inlineStr"/>
      <c r="F18" s="10" t="inlineStr"/>
      <c r="G18" s="10">
        <f>IFERROR(ROUND((E18-F18)/IF(F18=0,1,F18)*100,1),"")</f>
        <v/>
      </c>
      <c r="H18" s="10" t="inlineStr"/>
    </row>
    <row r="19" ht="22" customHeight="1">
      <c r="B19" s="39" t="n">
        <v>5</v>
      </c>
      <c r="C19" s="40" t="inlineStr">
        <is>
          <t>Slow learner programmes</t>
        </is>
      </c>
      <c r="D19" s="41" t="inlineStr">
        <is>
          <t>No.</t>
        </is>
      </c>
      <c r="E19" s="41" t="inlineStr"/>
      <c r="F19" s="41" t="inlineStr"/>
      <c r="G19" s="41">
        <f>IFERROR(ROUND((E19-F19)/IF(F19=0,1,F19)*100,1),"")</f>
        <v/>
      </c>
      <c r="H19" s="41" t="inlineStr"/>
    </row>
    <row r="20" ht="22" customHeight="1">
      <c r="B20" s="8" t="n">
        <v>6</v>
      </c>
      <c r="C20" s="9" t="inlineStr">
        <is>
          <t>Student feedback score (/5)</t>
        </is>
      </c>
      <c r="D20" s="10" t="inlineStr">
        <is>
          <t>Score</t>
        </is>
      </c>
      <c r="E20" s="10" t="inlineStr"/>
      <c r="F20" s="10" t="inlineStr"/>
      <c r="G20" s="10">
        <f>IFERROR(ROUND((E20-F20)/IF(F20=0,1,F20)*100,1),"")</f>
        <v/>
      </c>
      <c r="H20" s="10" t="inlineStr"/>
    </row>
    <row r="21" ht="22" customHeight="1"/>
    <row r="22" ht="24" customHeight="1">
      <c r="B22" s="34" t="inlineStr">
        <is>
          <t>SECTION 3 — STUDENT OUTCOMES</t>
        </is>
      </c>
    </row>
    <row r="23" ht="22" customHeight="1">
      <c r="B23" s="30" t="inlineStr">
        <is>
          <t>Sl.</t>
        </is>
      </c>
      <c r="C23" s="30" t="inlineStr">
        <is>
          <t>Performance Metric</t>
        </is>
      </c>
      <c r="D23" s="30" t="inlineStr">
        <is>
          <t>Unit</t>
        </is>
      </c>
      <c r="E23" s="30" t="inlineStr">
        <is>
          <t>Current A.Y.</t>
        </is>
      </c>
      <c r="F23" s="30" t="inlineStr">
        <is>
          <t>Previous A.Y.</t>
        </is>
      </c>
      <c r="G23" s="30" t="inlineStr">
        <is>
          <t>Growth %</t>
        </is>
      </c>
      <c r="H23" s="30" t="inlineStr">
        <is>
          <t>Target Next Year</t>
        </is>
      </c>
    </row>
    <row r="24" ht="22" customHeight="1">
      <c r="B24" s="31" t="n">
        <v>1</v>
      </c>
      <c r="C24" s="32" t="inlineStr">
        <is>
          <t>Total students enrolled</t>
        </is>
      </c>
      <c r="D24" s="33" t="inlineStr">
        <is>
          <t>No.</t>
        </is>
      </c>
      <c r="E24" s="33" t="inlineStr"/>
      <c r="F24" s="33" t="inlineStr"/>
      <c r="G24" s="33">
        <f>IFERROR(ROUND((E24-F24)/IF(F24=0,1,F24)*100,1),"")</f>
        <v/>
      </c>
      <c r="H24" s="33" t="inlineStr"/>
    </row>
    <row r="25" ht="22" customHeight="1">
      <c r="B25" s="8" t="n">
        <v>2</v>
      </c>
      <c r="C25" s="9" t="inlineStr">
        <is>
          <t>Overall pass % (annual)</t>
        </is>
      </c>
      <c r="D25" s="10" t="inlineStr">
        <is>
          <t>% pass</t>
        </is>
      </c>
      <c r="E25" s="10" t="inlineStr"/>
      <c r="F25" s="10" t="inlineStr"/>
      <c r="G25" s="10">
        <f>IFERROR(ROUND((E25-F25)/IF(F25=0,1,F25)*100,1),"")</f>
        <v/>
      </c>
      <c r="H25" s="10" t="inlineStr"/>
    </row>
    <row r="26" ht="22" customHeight="1">
      <c r="B26" s="31" t="n">
        <v>3</v>
      </c>
      <c r="C26" s="32" t="inlineStr">
        <is>
          <t>Average attendance (%)</t>
        </is>
      </c>
      <c r="D26" s="33" t="inlineStr">
        <is>
          <t>% attendance</t>
        </is>
      </c>
      <c r="E26" s="33" t="inlineStr"/>
      <c r="F26" s="33" t="inlineStr"/>
      <c r="G26" s="33">
        <f>IFERROR(ROUND((E26-F26)/IF(F26=0,1,F26)*100,1),"")</f>
        <v/>
      </c>
      <c r="H26" s="33" t="inlineStr"/>
    </row>
    <row r="27" ht="22" customHeight="1">
      <c r="B27" s="8" t="n">
        <v>4</v>
      </c>
      <c r="C27" s="9" t="inlineStr">
        <is>
          <t>Students with backlog (%)</t>
        </is>
      </c>
      <c r="D27" s="10" t="inlineStr">
        <is>
          <t>% students</t>
        </is>
      </c>
      <c r="E27" s="10" t="inlineStr"/>
      <c r="F27" s="10" t="inlineStr"/>
      <c r="G27" s="10">
        <f>IFERROR(ROUND((E27-F27)/IF(F27=0,1,F27)*100,1),"")</f>
        <v/>
      </c>
      <c r="H27" s="10" t="inlineStr"/>
    </row>
    <row r="28" ht="22" customHeight="1">
      <c r="B28" s="31" t="n">
        <v>5</v>
      </c>
      <c r="C28" s="32" t="inlineStr">
        <is>
          <t>Placements (% of graduates)</t>
        </is>
      </c>
      <c r="D28" s="33" t="inlineStr">
        <is>
          <t>% placed</t>
        </is>
      </c>
      <c r="E28" s="33" t="inlineStr"/>
      <c r="F28" s="33" t="inlineStr"/>
      <c r="G28" s="33">
        <f>IFERROR(ROUND((E28-F28)/IF(F28=0,1,F28)*100,1),"")</f>
        <v/>
      </c>
      <c r="H28" s="33" t="inlineStr"/>
    </row>
    <row r="29" ht="22" customHeight="1">
      <c r="B29" s="8" t="n">
        <v>6</v>
      </c>
      <c r="C29" s="9" t="inlineStr">
        <is>
          <t>Higher studies (% of graduates)</t>
        </is>
      </c>
      <c r="D29" s="10" t="inlineStr">
        <is>
          <t>% pursuing</t>
        </is>
      </c>
      <c r="E29" s="10" t="inlineStr"/>
      <c r="F29" s="10" t="inlineStr"/>
      <c r="G29" s="10">
        <f>IFERROR(ROUND((E29-F29)/IF(F29=0,1,F29)*100,1),"")</f>
        <v/>
      </c>
      <c r="H29" s="10" t="inlineStr"/>
    </row>
    <row r="30" ht="22" customHeight="1"/>
    <row r="31" ht="24" customHeight="1">
      <c r="B31" s="57" t="inlineStr">
        <is>
          <t>SECTION 4 — FACULTY</t>
        </is>
      </c>
    </row>
    <row r="32" ht="22" customHeight="1">
      <c r="B32" s="58" t="inlineStr">
        <is>
          <t>Sl.</t>
        </is>
      </c>
      <c r="C32" s="58" t="inlineStr">
        <is>
          <t>Performance Metric</t>
        </is>
      </c>
      <c r="D32" s="58" t="inlineStr">
        <is>
          <t>Unit</t>
        </is>
      </c>
      <c r="E32" s="58" t="inlineStr">
        <is>
          <t>Current A.Y.</t>
        </is>
      </c>
      <c r="F32" s="58" t="inlineStr">
        <is>
          <t>Previous A.Y.</t>
        </is>
      </c>
      <c r="G32" s="58" t="inlineStr">
        <is>
          <t>Growth %</t>
        </is>
      </c>
      <c r="H32" s="58" t="inlineStr">
        <is>
          <t>Target Next Year</t>
        </is>
      </c>
    </row>
    <row r="33" ht="22" customHeight="1">
      <c r="B33" s="59" t="n">
        <v>1</v>
      </c>
      <c r="C33" s="60" t="inlineStr">
        <is>
          <t>Total faculty</t>
        </is>
      </c>
      <c r="D33" s="61" t="inlineStr">
        <is>
          <t>No.</t>
        </is>
      </c>
      <c r="E33" s="61" t="inlineStr"/>
      <c r="F33" s="61" t="inlineStr"/>
      <c r="G33" s="61">
        <f>IFERROR(ROUND((E33-F33)/IF(F33=0,1,F33)*100,1),"")</f>
        <v/>
      </c>
      <c r="H33" s="61" t="inlineStr"/>
    </row>
    <row r="34" ht="22" customHeight="1">
      <c r="B34" s="8" t="n">
        <v>2</v>
      </c>
      <c r="C34" s="9" t="inlineStr">
        <is>
          <t>Faculty with Ph.D. (%)</t>
        </is>
      </c>
      <c r="D34" s="10" t="inlineStr">
        <is>
          <t>% faculty</t>
        </is>
      </c>
      <c r="E34" s="10" t="inlineStr"/>
      <c r="F34" s="10" t="inlineStr"/>
      <c r="G34" s="10">
        <f>IFERROR(ROUND((E34-F34)/IF(F34=0,1,F34)*100,1),"")</f>
        <v/>
      </c>
      <c r="H34" s="10" t="inlineStr"/>
    </row>
    <row r="35" ht="22" customHeight="1">
      <c r="B35" s="59" t="n">
        <v>3</v>
      </c>
      <c r="C35" s="60" t="inlineStr">
        <is>
          <t>FDP participations</t>
        </is>
      </c>
      <c r="D35" s="61" t="inlineStr">
        <is>
          <t>No.</t>
        </is>
      </c>
      <c r="E35" s="61" t="inlineStr"/>
      <c r="F35" s="61" t="inlineStr"/>
      <c r="G35" s="61">
        <f>IFERROR(ROUND((E35-F35)/IF(F35=0,1,F35)*100,1),"")</f>
        <v/>
      </c>
      <c r="H35" s="61" t="inlineStr"/>
    </row>
    <row r="36" ht="22" customHeight="1">
      <c r="B36" s="8" t="n">
        <v>4</v>
      </c>
      <c r="C36" s="9" t="inlineStr">
        <is>
          <t>Research publications</t>
        </is>
      </c>
      <c r="D36" s="10" t="inlineStr">
        <is>
          <t>No.</t>
        </is>
      </c>
      <c r="E36" s="10" t="inlineStr"/>
      <c r="F36" s="10" t="inlineStr"/>
      <c r="G36" s="10">
        <f>IFERROR(ROUND((E36-F36)/IF(F36=0,1,F36)*100,1),"")</f>
        <v/>
      </c>
      <c r="H36" s="10" t="inlineStr"/>
    </row>
    <row r="37" ht="22" customHeight="1">
      <c r="B37" s="59" t="n">
        <v>5</v>
      </c>
      <c r="C37" s="60" t="inlineStr">
        <is>
          <t>Patents filed</t>
        </is>
      </c>
      <c r="D37" s="61" t="inlineStr">
        <is>
          <t>No.</t>
        </is>
      </c>
      <c r="E37" s="61" t="inlineStr"/>
      <c r="F37" s="61" t="inlineStr"/>
      <c r="G37" s="61">
        <f>IFERROR(ROUND((E37-F37)/IF(F37=0,1,F37)*100,1),"")</f>
        <v/>
      </c>
      <c r="H37" s="61" t="inlineStr"/>
    </row>
    <row r="38" ht="22" customHeight="1">
      <c r="B38" s="8" t="n">
        <v>6</v>
      </c>
      <c r="C38" s="9" t="inlineStr">
        <is>
          <t>Faculty awards / recognitions</t>
        </is>
      </c>
      <c r="D38" s="10" t="inlineStr">
        <is>
          <t>No.</t>
        </is>
      </c>
      <c r="E38" s="10" t="inlineStr"/>
      <c r="F38" s="10" t="inlineStr"/>
      <c r="G38" s="10">
        <f>IFERROR(ROUND((E38-F38)/IF(F38=0,1,F38)*100,1),"")</f>
        <v/>
      </c>
      <c r="H38" s="10" t="inlineStr"/>
    </row>
    <row r="39" ht="22" customHeight="1"/>
    <row r="40" ht="24" customHeight="1">
      <c r="B40" s="51" t="inlineStr">
        <is>
          <t>SECTION 5 — QUALITY &amp; COMPLIANCE</t>
        </is>
      </c>
    </row>
    <row r="41" ht="22" customHeight="1">
      <c r="B41" s="52" t="inlineStr">
        <is>
          <t>Sl.</t>
        </is>
      </c>
      <c r="C41" s="52" t="inlineStr">
        <is>
          <t>Performance Metric</t>
        </is>
      </c>
      <c r="D41" s="52" t="inlineStr">
        <is>
          <t>Unit</t>
        </is>
      </c>
      <c r="E41" s="52" t="inlineStr">
        <is>
          <t>Current A.Y.</t>
        </is>
      </c>
      <c r="F41" s="52" t="inlineStr">
        <is>
          <t>Previous A.Y.</t>
        </is>
      </c>
      <c r="G41" s="52" t="inlineStr">
        <is>
          <t>Growth %</t>
        </is>
      </c>
      <c r="H41" s="52" t="inlineStr">
        <is>
          <t>Target Next Year</t>
        </is>
      </c>
    </row>
    <row r="42" ht="22" customHeight="1">
      <c r="B42" s="53" t="n">
        <v>1</v>
      </c>
      <c r="C42" s="54" t="inlineStr">
        <is>
          <t>Academic audits completed</t>
        </is>
      </c>
      <c r="D42" s="55" t="inlineStr">
        <is>
          <t>No.</t>
        </is>
      </c>
      <c r="E42" s="55" t="inlineStr"/>
      <c r="F42" s="55" t="inlineStr"/>
      <c r="G42" s="55">
        <f>IFERROR(ROUND((E42-F42)/IF(F42=0,1,F42)*100,1),"")</f>
        <v/>
      </c>
      <c r="H42" s="55" t="inlineStr"/>
    </row>
    <row r="43" ht="22" customHeight="1">
      <c r="B43" s="8" t="n">
        <v>2</v>
      </c>
      <c r="C43" s="9" t="inlineStr">
        <is>
          <t>NAAC Criterion II score</t>
        </is>
      </c>
      <c r="D43" s="10" t="inlineStr">
        <is>
          <t>Score /100</t>
        </is>
      </c>
      <c r="E43" s="10" t="inlineStr"/>
      <c r="F43" s="10" t="inlineStr"/>
      <c r="G43" s="10">
        <f>IFERROR(ROUND((E43-F43)/IF(F43=0,1,F43)*100,1),"")</f>
        <v/>
      </c>
      <c r="H43" s="10" t="inlineStr"/>
    </row>
    <row r="44" ht="22" customHeight="1">
      <c r="B44" s="53" t="n">
        <v>3</v>
      </c>
      <c r="C44" s="54" t="inlineStr">
        <is>
          <t>Best practices documented</t>
        </is>
      </c>
      <c r="D44" s="55" t="inlineStr">
        <is>
          <t>No.</t>
        </is>
      </c>
      <c r="E44" s="55" t="inlineStr"/>
      <c r="F44" s="55" t="inlineStr"/>
      <c r="G44" s="55">
        <f>IFERROR(ROUND((E44-F44)/IF(F44=0,1,F44)*100,1),"")</f>
        <v/>
      </c>
      <c r="H44" s="55" t="inlineStr"/>
    </row>
    <row r="45" ht="22" customHeight="1">
      <c r="B45" s="8" t="n">
        <v>4</v>
      </c>
      <c r="C45" s="9" t="inlineStr">
        <is>
          <t>CAC meetings held</t>
        </is>
      </c>
      <c r="D45" s="10" t="inlineStr">
        <is>
          <t>No.</t>
        </is>
      </c>
      <c r="E45" s="10" t="inlineStr"/>
      <c r="F45" s="10" t="inlineStr"/>
      <c r="G45" s="10">
        <f>IFERROR(ROUND((E45-F45)/IF(F45=0,1,F45)*100,1),"")</f>
        <v/>
      </c>
      <c r="H45" s="10" t="inlineStr"/>
    </row>
    <row r="46" ht="22" customHeight="1">
      <c r="B46" s="53" t="n">
        <v>5</v>
      </c>
      <c r="C46" s="54" t="inlineStr">
        <is>
          <t>Academic integrity cases</t>
        </is>
      </c>
      <c r="D46" s="55" t="inlineStr">
        <is>
          <t>No.</t>
        </is>
      </c>
      <c r="E46" s="55" t="inlineStr"/>
      <c r="F46" s="55" t="inlineStr"/>
      <c r="G46" s="55">
        <f>IFERROR(ROUND((E46-F46)/IF(F46=0,1,F46)*100,1),"")</f>
        <v/>
      </c>
      <c r="H46" s="55" t="inlineStr"/>
    </row>
    <row r="47" ht="22" customHeight="1">
      <c r="B47" s="8" t="n">
        <v>6</v>
      </c>
      <c r="C47" s="9" t="inlineStr">
        <is>
          <t>IQAC AQAR submitted</t>
        </is>
      </c>
      <c r="D47" s="10" t="inlineStr">
        <is>
          <t>Y/N</t>
        </is>
      </c>
      <c r="E47" s="10" t="inlineStr"/>
      <c r="F47" s="10" t="inlineStr"/>
      <c r="G47" s="10">
        <f>IFERROR(ROUND((E47-F47)/IF(F47=0,1,F47)*100,1),"")</f>
        <v/>
      </c>
      <c r="H47" s="10" t="inlineStr"/>
    </row>
    <row r="48" ht="22" customHeight="1"/>
    <row r="49" ht="20" customHeight="1">
      <c r="B49" s="17" t="inlineStr">
        <is>
          <t>Annual Report submitted to: Academic Council, Governing Body, IQAC (NAAC AQAR Criterion II — Teaching-Learning &amp; Evaluation, Criterion III — Research), NBA SAR (Criterion 4 — T&amp;L), Management. Retain for 5 years.</t>
        </is>
      </c>
    </row>
    <row r="50" ht="22" customHeight="1">
      <c r="B50" s="29" t="inlineStr">
        <is>
          <t>CAC Coordinator: ___________________    Chairperson (Principal): ___________________    IQAC Coordinator: ___________________    Date: ___________________</t>
        </is>
      </c>
    </row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</sheetData>
  <mergeCells count="9">
    <mergeCell ref="B22:H22"/>
    <mergeCell ref="B50:H50"/>
    <mergeCell ref="B40:H40"/>
    <mergeCell ref="B13:H13"/>
    <mergeCell ref="B49:H49"/>
    <mergeCell ref="B4:H4"/>
    <mergeCell ref="B2:H2"/>
    <mergeCell ref="B3:H3"/>
    <mergeCell ref="B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2026-05-02T04:55:02Z</dcterms:created>
  <dcterms:modified xmlns:dcterms="http://purl.org/dc/terms/" xmlns:xsi="http://www.w3.org/2001/XMLSchema-instance" xsi:type="dcterms:W3CDTF">2026-05-02T04:55:03Z</dcterms:modified>
</cp:coreProperties>
</file>