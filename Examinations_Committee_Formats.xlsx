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C-00 Composition" sheetId="2" state="visible" r:id="rId2"/>
    <sheet xmlns:r="http://schemas.openxmlformats.org/officeDocument/2006/relationships" name="EC-NA Notice &amp; Agenda" sheetId="3" state="visible" r:id="rId3"/>
    <sheet xmlns:r="http://schemas.openxmlformats.org/officeDocument/2006/relationships" name="EC-AT Attendance" sheetId="4" state="visible" r:id="rId4"/>
    <sheet xmlns:r="http://schemas.openxmlformats.org/officeDocument/2006/relationships" name="EC-MM Minutes" sheetId="5" state="visible" r:id="rId5"/>
    <sheet xmlns:r="http://schemas.openxmlformats.org/officeDocument/2006/relationships" name="EC-ATR Action Report" sheetId="6" state="visible" r:id="rId6"/>
    <sheet xmlns:r="http://schemas.openxmlformats.org/officeDocument/2006/relationships" name="EC-04 CIE Schedule" sheetId="7" state="visible" r:id="rId7"/>
    <sheet xmlns:r="http://schemas.openxmlformats.org/officeDocument/2006/relationships" name="EC-07 CIE Attendance" sheetId="8" state="visible" r:id="rId8"/>
    <sheet xmlns:r="http://schemas.openxmlformats.org/officeDocument/2006/relationships" name="EC-09 CIE Marks Register" sheetId="9" state="visible" r:id="rId9"/>
    <sheet xmlns:r="http://schemas.openxmlformats.org/officeDocument/2006/relationships" name="EC-10 CIE Grievance Register" sheetId="10" state="visible" r:id="rId10"/>
    <sheet xmlns:r="http://schemas.openxmlformats.org/officeDocument/2006/relationships" name="EC-11 Detainment Register" sheetId="11" state="visible" r:id="rId11"/>
    <sheet xmlns:r="http://schemas.openxmlformats.org/officeDocument/2006/relationships" name="EC-13 SEE Hall Tickets" sheetId="12" state="visible" r:id="rId12"/>
    <sheet xmlns:r="http://schemas.openxmlformats.org/officeDocument/2006/relationships" name="EC-14 Room Allocation" sheetId="13" state="visible" r:id="rId13"/>
    <sheet xmlns:r="http://schemas.openxmlformats.org/officeDocument/2006/relationships" name="EC-15 Invigilation Duty" sheetId="14" state="visible" r:id="rId14"/>
    <sheet xmlns:r="http://schemas.openxmlformats.org/officeDocument/2006/relationships" name="EC-19 UFM Malpractice" sheetId="15" state="visible" r:id="rId15"/>
    <sheet xmlns:r="http://schemas.openxmlformats.org/officeDocument/2006/relationships" name="EC-22 Results Analysis" sheetId="16" state="visible" r:id="rId16"/>
    <sheet xmlns:r="http://schemas.openxmlformats.org/officeDocument/2006/relationships" name="EC-23 Revaluation Register" sheetId="17" state="visible" r:id="rId17"/>
    <sheet xmlns:r="http://schemas.openxmlformats.org/officeDocument/2006/relationships" name="EC-25 Practical Exam Register" sheetId="18" state="visible" r:id="rId18"/>
    <sheet xmlns:r="http://schemas.openxmlformats.org/officeDocument/2006/relationships" name="EC-28 Backlog Tracking" sheetId="19" state="visible" r:id="rId19"/>
    <sheet xmlns:r="http://schemas.openxmlformats.org/officeDocument/2006/relationships" name="EC-31 Mark Sheet Issue" sheetId="20" state="visible" r:id="rId20"/>
    <sheet xmlns:r="http://schemas.openxmlformats.org/officeDocument/2006/relationships" name="EC-34 KPI Dashboard" sheetId="21" state="visible" r:id="rId21"/>
    <sheet xmlns:r="http://schemas.openxmlformats.org/officeDocument/2006/relationships" name="EC-35 Annual Repor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2D1B6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2D1B69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B91C1C"/>
      <sz val="9"/>
    </font>
    <font>
      <name val="Arial"/>
      <b val="1"/>
      <color rgb="003F2000"/>
      <sz val="10"/>
    </font>
    <font>
      <name val="Arial"/>
      <color rgb="007B1D1D"/>
      <sz val="9"/>
    </font>
  </fonts>
  <fills count="21">
    <fill>
      <patternFill/>
    </fill>
    <fill>
      <patternFill patternType="gray125"/>
    </fill>
    <fill>
      <patternFill patternType="solid">
        <fgColor rgb="001A0A2E"/>
      </patternFill>
    </fill>
    <fill>
      <patternFill patternType="solid">
        <fgColor rgb="00EDE9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2D1B69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FF0F0"/>
      </patternFill>
    </fill>
    <fill>
      <patternFill patternType="solid">
        <fgColor rgb="007B1D1D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4" fillId="15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16" fillId="17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EXAMINATIONS COMMITTEE
Data Collection Formats — Master Workbook</t>
        </is>
      </c>
    </row>
    <row r="3" ht="28" customHeight="1">
      <c r="B3" s="2" t="inlineStr">
        <is>
          <t>Institution: _________________________  Controller of Examinations: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EC-00</t>
        </is>
      </c>
      <c r="C6" s="6" t="inlineStr">
        <is>
          <t>Examination Committee Composition Register</t>
        </is>
      </c>
      <c r="D6" s="6" t="inlineStr">
        <is>
          <t>Record CoE, Deputy CoE, invigilators &amp; support staff</t>
        </is>
      </c>
      <c r="E6" s="7" t="inlineStr">
        <is>
          <t>Annual</t>
        </is>
      </c>
    </row>
    <row r="7" ht="20" customHeight="1">
      <c r="B7" s="8" t="inlineStr">
        <is>
          <t>EC-NA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EC-AT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EC-MM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EC-ATR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EXAMINATION POLICY &amp; PLANNING ──</t>
        </is>
      </c>
    </row>
    <row r="12" ht="20" customHeight="1">
      <c r="B12" s="5" t="inlineStr">
        <is>
          <t>EC-01</t>
        </is>
      </c>
      <c r="C12" s="6" t="inlineStr">
        <is>
          <t>Examination Policy &amp; Regulations Register</t>
        </is>
      </c>
      <c r="D12" s="6" t="inlineStr">
        <is>
          <t>Document exam rules, regulations &amp; CoE powers</t>
        </is>
      </c>
      <c r="E12" s="7" t="inlineStr">
        <is>
          <t>Annual</t>
        </is>
      </c>
    </row>
    <row r="13" ht="20" customHeight="1">
      <c r="B13" s="8" t="inlineStr">
        <is>
          <t>EC-02</t>
        </is>
      </c>
      <c r="C13" s="9" t="inlineStr">
        <is>
          <t>Examination Academic Calendar</t>
        </is>
      </c>
      <c r="D13" s="9" t="inlineStr">
        <is>
          <t>Plan all CIE and SEE schedules for the academic year</t>
        </is>
      </c>
      <c r="E13" s="10" t="inlineStr">
        <is>
          <t>Annual / Each Semester</t>
        </is>
      </c>
    </row>
    <row r="14" ht="20" customHeight="1">
      <c r="B14" s="5" t="inlineStr">
        <is>
          <t>EC-03</t>
        </is>
      </c>
      <c r="C14" s="6" t="inlineStr">
        <is>
          <t>Examination Budget &amp; Resource Plan</t>
        </is>
      </c>
      <c r="D14" s="6" t="inlineStr">
        <is>
          <t>Plan manpower, stationery, venue &amp; expenditure</t>
        </is>
      </c>
      <c r="E14" s="7" t="inlineStr">
        <is>
          <t>Each Semester</t>
        </is>
      </c>
    </row>
    <row r="15" ht="20" customHeight="1">
      <c r="B15" s="4" t="inlineStr">
        <is>
          <t>── CONTINUOUS INTERNAL EVALUATION (CIE) ──</t>
        </is>
      </c>
    </row>
    <row r="16" ht="20" customHeight="1">
      <c r="B16" s="5" t="inlineStr">
        <is>
          <t>EC-04</t>
        </is>
      </c>
      <c r="C16" s="6" t="inlineStr">
        <is>
          <t>CIE Schedule &amp; Timetable Register</t>
        </is>
      </c>
      <c r="D16" s="6" t="inlineStr">
        <is>
          <t>Publish CIE I, II, III schedule dept. &amp; course-wise</t>
        </is>
      </c>
      <c r="E16" s="7" t="inlineStr">
        <is>
          <t>Each Semester</t>
        </is>
      </c>
    </row>
    <row r="17" ht="20" customHeight="1">
      <c r="B17" s="8" t="inlineStr">
        <is>
          <t>EC-05</t>
        </is>
      </c>
      <c r="C17" s="9" t="inlineStr">
        <is>
          <t>CIE Question Paper Submission Register</t>
        </is>
      </c>
      <c r="D17" s="9" t="inlineStr">
        <is>
          <t>Track QP submission, review &amp; approval by HoD</t>
        </is>
      </c>
      <c r="E17" s="10" t="inlineStr">
        <is>
          <t>Per CIE</t>
        </is>
      </c>
    </row>
    <row r="18" ht="20" customHeight="1">
      <c r="B18" s="5" t="inlineStr">
        <is>
          <t>EC-06</t>
        </is>
      </c>
      <c r="C18" s="6" t="inlineStr">
        <is>
          <t>CIE Hall Ticket Issue Register</t>
        </is>
      </c>
      <c r="D18" s="6" t="inlineStr">
        <is>
          <t>Issue and track hall tickets for CIE examinations</t>
        </is>
      </c>
      <c r="E18" s="7" t="inlineStr">
        <is>
          <t>Per CIE</t>
        </is>
      </c>
    </row>
    <row r="19" ht="20" customHeight="1">
      <c r="B19" s="8" t="inlineStr">
        <is>
          <t>EC-07</t>
        </is>
      </c>
      <c r="C19" s="9" t="inlineStr">
        <is>
          <t>CIE Attendance Register</t>
        </is>
      </c>
      <c r="D19" s="9" t="inlineStr">
        <is>
          <t>Record student attendance for each CIE test</t>
        </is>
      </c>
      <c r="E19" s="10" t="inlineStr">
        <is>
          <t>Per CIE</t>
        </is>
      </c>
    </row>
    <row r="20" ht="20" customHeight="1">
      <c r="B20" s="5" t="inlineStr">
        <is>
          <t>EC-08</t>
        </is>
      </c>
      <c r="C20" s="6" t="inlineStr">
        <is>
          <t>CIE Answer Script Distribution Register</t>
        </is>
      </c>
      <c r="D20" s="6" t="inlineStr">
        <is>
          <t>Track scripts sent to and received from evaluators</t>
        </is>
      </c>
      <c r="E20" s="7" t="inlineStr">
        <is>
          <t>Per CIE</t>
        </is>
      </c>
    </row>
    <row r="21" ht="20" customHeight="1">
      <c r="B21" s="8" t="inlineStr">
        <is>
          <t>EC-09</t>
        </is>
      </c>
      <c r="C21" s="9" t="inlineStr">
        <is>
          <t>CIE Marks Entry &amp; Verification Register</t>
        </is>
      </c>
      <c r="D21" s="9" t="inlineStr">
        <is>
          <t>Enter, cross-check and upload CIE marks to ERP/portal</t>
        </is>
      </c>
      <c r="E21" s="10" t="inlineStr">
        <is>
          <t>Per CIE</t>
        </is>
      </c>
    </row>
    <row r="22" ht="20" customHeight="1">
      <c r="B22" s="5" t="inlineStr">
        <is>
          <t>EC-10</t>
        </is>
      </c>
      <c r="C22" s="6" t="inlineStr">
        <is>
          <t>CIE Marks Display &amp; Grievance Register</t>
        </is>
      </c>
      <c r="D22" s="6" t="inlineStr">
        <is>
          <t>Post marks, receive and resolve CIE grievances</t>
        </is>
      </c>
      <c r="E22" s="7" t="inlineStr">
        <is>
          <t>Per CIE</t>
        </is>
      </c>
    </row>
    <row r="23" ht="20" customHeight="1">
      <c r="B23" s="8" t="inlineStr">
        <is>
          <t>EC-11</t>
        </is>
      </c>
      <c r="C23" s="9" t="inlineStr">
        <is>
          <t>CIE Detainment Register</t>
        </is>
      </c>
      <c r="D23" s="9" t="inlineStr">
        <is>
          <t>Track students detained due to attendance or CIE marks</t>
        </is>
      </c>
      <c r="E23" s="10" t="inlineStr">
        <is>
          <t>Each Semester</t>
        </is>
      </c>
    </row>
    <row r="24" ht="20" customHeight="1">
      <c r="B24" s="4" t="inlineStr">
        <is>
          <t>── SEMESTER END EXAMINATION (SEE) ──</t>
        </is>
      </c>
    </row>
    <row r="25" ht="20" customHeight="1">
      <c r="B25" s="8" t="inlineStr">
        <is>
          <t>EC-12</t>
        </is>
      </c>
      <c r="C25" s="9" t="inlineStr">
        <is>
          <t>SEE Timetable Preparation Register</t>
        </is>
      </c>
      <c r="D25" s="9" t="inlineStr">
        <is>
          <t>Prepare, approve and publish SEE schedule</t>
        </is>
      </c>
      <c r="E25" s="10" t="inlineStr">
        <is>
          <t>Each Semester</t>
        </is>
      </c>
    </row>
    <row r="26" ht="20" customHeight="1">
      <c r="B26" s="5" t="inlineStr">
        <is>
          <t>EC-13</t>
        </is>
      </c>
      <c r="C26" s="6" t="inlineStr">
        <is>
          <t>SEE Student Eligibility &amp; Hall Ticket Register</t>
        </is>
      </c>
      <c r="D26" s="6" t="inlineStr">
        <is>
          <t>Verify eligibility and issue SEE hall tickets</t>
        </is>
      </c>
      <c r="E26" s="7" t="inlineStr">
        <is>
          <t>Pre-SEE</t>
        </is>
      </c>
    </row>
    <row r="27" ht="20" customHeight="1">
      <c r="B27" s="8" t="inlineStr">
        <is>
          <t>EC-14</t>
        </is>
      </c>
      <c r="C27" s="9" t="inlineStr">
        <is>
          <t>SEE Examination Centre &amp; Room Allocation</t>
        </is>
      </c>
      <c r="D27" s="9" t="inlineStr">
        <is>
          <t>Allocate rooms, seating and supervision assignments</t>
        </is>
      </c>
      <c r="E27" s="10" t="inlineStr">
        <is>
          <t>Pre-SEE</t>
        </is>
      </c>
    </row>
    <row r="28" ht="20" customHeight="1">
      <c r="B28" s="5" t="inlineStr">
        <is>
          <t>EC-15</t>
        </is>
      </c>
      <c r="C28" s="6" t="inlineStr">
        <is>
          <t>SEE Invigilation Duty Register</t>
        </is>
      </c>
      <c r="D28" s="6" t="inlineStr">
        <is>
          <t>Assign and track invigilation duties</t>
        </is>
      </c>
      <c r="E28" s="7" t="inlineStr">
        <is>
          <t>Per Exam Day</t>
        </is>
      </c>
    </row>
    <row r="29" ht="20" customHeight="1">
      <c r="B29" s="8" t="inlineStr">
        <is>
          <t>EC-16</t>
        </is>
      </c>
      <c r="C29" s="9" t="inlineStr">
        <is>
          <t>SEE Daily Attendance &amp; Absentee Report</t>
        </is>
      </c>
      <c r="D29" s="9" t="inlineStr">
        <is>
          <t>Record student attendance and absentees for each session</t>
        </is>
      </c>
      <c r="E29" s="10" t="inlineStr">
        <is>
          <t>Per Exam Day</t>
        </is>
      </c>
    </row>
    <row r="30" ht="20" customHeight="1">
      <c r="B30" s="5" t="inlineStr">
        <is>
          <t>EC-17</t>
        </is>
      </c>
      <c r="C30" s="6" t="inlineStr">
        <is>
          <t>SEE Question Paper Receipt &amp; Custody Register</t>
        </is>
      </c>
      <c r="D30" s="6" t="inlineStr">
        <is>
          <t>Track confidential QP from university to exam hall</t>
        </is>
      </c>
      <c r="E30" s="7" t="inlineStr">
        <is>
          <t>Per Exam Day</t>
        </is>
      </c>
    </row>
    <row r="31" ht="20" customHeight="1">
      <c r="B31" s="8" t="inlineStr">
        <is>
          <t>EC-18</t>
        </is>
      </c>
      <c r="C31" s="9" t="inlineStr">
        <is>
          <t>SEE Answer Script Dispatch Register</t>
        </is>
      </c>
      <c r="D31" s="9" t="inlineStr">
        <is>
          <t>Pack, seal and dispatch answer scripts to university</t>
        </is>
      </c>
      <c r="E31" s="10" t="inlineStr">
        <is>
          <t>Post-SEE</t>
        </is>
      </c>
    </row>
    <row r="32" ht="20" customHeight="1">
      <c r="B32" s="5" t="inlineStr">
        <is>
          <t>EC-19</t>
        </is>
      </c>
      <c r="C32" s="6" t="inlineStr">
        <is>
          <t>SEE Malpractice / UFM Register</t>
        </is>
      </c>
      <c r="D32" s="6" t="inlineStr">
        <is>
          <t>Record Unfair Means (UFM) incidents and actions</t>
        </is>
      </c>
      <c r="E32" s="7" t="inlineStr">
        <is>
          <t>Per Exam</t>
        </is>
      </c>
    </row>
    <row r="33" ht="20" customHeight="1">
      <c r="B33" s="4" t="inlineStr">
        <is>
          <t>── VALUATION &amp; RESULTS ──</t>
        </is>
      </c>
    </row>
    <row r="34" ht="20" customHeight="1">
      <c r="B34" s="5" t="inlineStr">
        <is>
          <t>EC-20</t>
        </is>
      </c>
      <c r="C34" s="6" t="inlineStr">
        <is>
          <t>Internal Valuation / Moderation Register</t>
        </is>
      </c>
      <c r="D34" s="6" t="inlineStr">
        <is>
          <t>Manage internal assessment valuation for practical exams</t>
        </is>
      </c>
      <c r="E34" s="7" t="inlineStr">
        <is>
          <t>Per Exam</t>
        </is>
      </c>
    </row>
    <row r="35" ht="20" customHeight="1">
      <c r="B35" s="8" t="inlineStr">
        <is>
          <t>EC-21</t>
        </is>
      </c>
      <c r="C35" s="9" t="inlineStr">
        <is>
          <t>Results Publication &amp; Verification Register</t>
        </is>
      </c>
      <c r="D35" s="9" t="inlineStr">
        <is>
          <t>Track result declaration and discrepancy handling</t>
        </is>
      </c>
      <c r="E35" s="10" t="inlineStr">
        <is>
          <t>Post-SEE</t>
        </is>
      </c>
    </row>
    <row r="36" ht="20" customHeight="1">
      <c r="B36" s="5" t="inlineStr">
        <is>
          <t>EC-22</t>
        </is>
      </c>
      <c r="C36" s="6" t="inlineStr">
        <is>
          <t>Results Analysis Register</t>
        </is>
      </c>
      <c r="D36" s="6" t="inlineStr">
        <is>
          <t>Analyse pass %, CGPA trends and CO attainment</t>
        </is>
      </c>
      <c r="E36" s="7" t="inlineStr">
        <is>
          <t>Each Semester</t>
        </is>
      </c>
    </row>
    <row r="37" ht="20" customHeight="1">
      <c r="B37" s="8" t="inlineStr">
        <is>
          <t>EC-23</t>
        </is>
      </c>
      <c r="C37" s="9" t="inlineStr">
        <is>
          <t>Revaluation / Recounting Register</t>
        </is>
      </c>
      <c r="D37" s="9" t="inlineStr">
        <is>
          <t>Process student applications for revaluation/recounting</t>
        </is>
      </c>
      <c r="E37" s="10" t="inlineStr">
        <is>
          <t>Post-Results</t>
        </is>
      </c>
    </row>
    <row r="38" ht="20" customHeight="1">
      <c r="B38" s="5" t="inlineStr">
        <is>
          <t>EC-24</t>
        </is>
      </c>
      <c r="C38" s="6" t="inlineStr">
        <is>
          <t>Supplementary / Back Paper Examination Reg.</t>
        </is>
      </c>
      <c r="D38" s="6" t="inlineStr">
        <is>
          <t>Manage supplementary and back paper examinations</t>
        </is>
      </c>
      <c r="E38" s="7" t="inlineStr">
        <is>
          <t>As Scheduled</t>
        </is>
      </c>
    </row>
    <row r="39" ht="20" customHeight="1">
      <c r="B39" s="4" t="inlineStr">
        <is>
          <t>── PRACTICAL &amp; PROJECT EXAMINATIONS ──</t>
        </is>
      </c>
    </row>
    <row r="40" ht="20" customHeight="1">
      <c r="B40" s="5" t="inlineStr">
        <is>
          <t>EC-25</t>
        </is>
      </c>
      <c r="C40" s="6" t="inlineStr">
        <is>
          <t>Practical Examination Schedule &amp; Register</t>
        </is>
      </c>
      <c r="D40" s="6" t="inlineStr">
        <is>
          <t>Plan and document all practical examinations</t>
        </is>
      </c>
      <c r="E40" s="7" t="inlineStr">
        <is>
          <t>Each Semester</t>
        </is>
      </c>
    </row>
    <row r="41" ht="20" customHeight="1">
      <c r="B41" s="8" t="inlineStr">
        <is>
          <t>EC-26</t>
        </is>
      </c>
      <c r="C41" s="9" t="inlineStr">
        <is>
          <t>Practical Examination Marks Register</t>
        </is>
      </c>
      <c r="D41" s="9" t="inlineStr">
        <is>
          <t>Record marks for practical / lab examinations</t>
        </is>
      </c>
      <c r="E41" s="10" t="inlineStr">
        <is>
          <t>Per Practical</t>
        </is>
      </c>
    </row>
    <row r="42" ht="20" customHeight="1">
      <c r="B42" s="5" t="inlineStr">
        <is>
          <t>EC-27</t>
        </is>
      </c>
      <c r="C42" s="6" t="inlineStr">
        <is>
          <t>Project / Viva Voce Examination Register</t>
        </is>
      </c>
      <c r="D42" s="6" t="inlineStr">
        <is>
          <t>Document project and viva examinations</t>
        </is>
      </c>
      <c r="E42" s="7" t="inlineStr">
        <is>
          <t>Each Semester</t>
        </is>
      </c>
    </row>
    <row r="43" ht="20" customHeight="1">
      <c r="B43" s="4" t="inlineStr">
        <is>
          <t>── SPECIAL CATEGORIES ──</t>
        </is>
      </c>
    </row>
    <row r="44" ht="20" customHeight="1">
      <c r="B44" s="5" t="inlineStr">
        <is>
          <t>EC-28</t>
        </is>
      </c>
      <c r="C44" s="6" t="inlineStr">
        <is>
          <t>Backlog / Failed Student Tracking Register</t>
        </is>
      </c>
      <c r="D44" s="6" t="inlineStr">
        <is>
          <t>Monitor students with pending papers and support offered</t>
        </is>
      </c>
      <c r="E44" s="7" t="inlineStr">
        <is>
          <t>Each Semester</t>
        </is>
      </c>
    </row>
    <row r="45" ht="20" customHeight="1">
      <c r="B45" s="8" t="inlineStr">
        <is>
          <t>EC-29</t>
        </is>
      </c>
      <c r="C45" s="9" t="inlineStr">
        <is>
          <t>Detained / Condonation Application Register</t>
        </is>
      </c>
      <c r="D45" s="9" t="inlineStr">
        <is>
          <t>Process attendance condonation applications</t>
        </is>
      </c>
      <c r="E45" s="10" t="inlineStr">
        <is>
          <t>Each Semester</t>
        </is>
      </c>
    </row>
    <row r="46" ht="20" customHeight="1">
      <c r="B46" s="5" t="inlineStr">
        <is>
          <t>EC-30</t>
        </is>
      </c>
      <c r="C46" s="6" t="inlineStr">
        <is>
          <t>Economically Weaker Section / SC/ST Exam Aid</t>
        </is>
      </c>
      <c r="D46" s="6" t="inlineStr">
        <is>
          <t>Track special examination support for EWS/SC/ST students</t>
        </is>
      </c>
      <c r="E46" s="7" t="inlineStr">
        <is>
          <t>Annual</t>
        </is>
      </c>
    </row>
    <row r="47" ht="20" customHeight="1">
      <c r="B47" s="4" t="inlineStr">
        <is>
          <t>── RECORDS &amp; ARCHIVE ──</t>
        </is>
      </c>
    </row>
    <row r="48" ht="20" customHeight="1">
      <c r="B48" s="5" t="inlineStr">
        <is>
          <t>EC-31</t>
        </is>
      </c>
      <c r="C48" s="6" t="inlineStr">
        <is>
          <t>Mark Sheet / Transcript Issue Register</t>
        </is>
      </c>
      <c r="D48" s="6" t="inlineStr">
        <is>
          <t>Track issuance of official mark sheets and transcripts</t>
        </is>
      </c>
      <c r="E48" s="7" t="inlineStr">
        <is>
          <t>Continuous</t>
        </is>
      </c>
    </row>
    <row r="49" ht="20" customHeight="1">
      <c r="B49" s="8" t="inlineStr">
        <is>
          <t>EC-32</t>
        </is>
      </c>
      <c r="C49" s="9" t="inlineStr">
        <is>
          <t>Degree Certificate Issue Register</t>
        </is>
      </c>
      <c r="D49" s="9" t="inlineStr">
        <is>
          <t>Manage degree certificate issuance and authentication</t>
        </is>
      </c>
      <c r="E49" s="10" t="inlineStr">
        <is>
          <t>Post-Convocation</t>
        </is>
      </c>
    </row>
    <row r="50" ht="20" customHeight="1">
      <c r="B50" s="5" t="inlineStr">
        <is>
          <t>EC-33</t>
        </is>
      </c>
      <c r="C50" s="6" t="inlineStr">
        <is>
          <t>Examination Records Archive Register</t>
        </is>
      </c>
      <c r="D50" s="6" t="inlineStr">
        <is>
          <t>Catalogue all examination records for statutory period</t>
        </is>
      </c>
      <c r="E50" s="7" t="inlineStr">
        <is>
          <t>Annual</t>
        </is>
      </c>
    </row>
    <row r="51" ht="20" customHeight="1">
      <c r="B51" s="4" t="inlineStr">
        <is>
          <t>── MONITORING &amp; REPORTING ──</t>
        </is>
      </c>
    </row>
    <row r="52" ht="20" customHeight="1">
      <c r="B52" s="5" t="inlineStr">
        <is>
          <t>EC-34</t>
        </is>
      </c>
      <c r="C52" s="6" t="inlineStr">
        <is>
          <t>Examination KPI Dashboard</t>
        </is>
      </c>
      <c r="D52" s="6" t="inlineStr">
        <is>
          <t>Track all exam KPIs — results, discipline, timeliness</t>
        </is>
      </c>
      <c r="E52" s="7" t="inlineStr">
        <is>
          <t>Monthly / Semester</t>
        </is>
      </c>
    </row>
    <row r="53" ht="20" customHeight="1">
      <c r="B53" s="8" t="inlineStr">
        <is>
          <t>EC-35</t>
        </is>
      </c>
      <c r="C53" s="9" t="inlineStr">
        <is>
          <t>Examinations Annual Report Compilation</t>
        </is>
      </c>
      <c r="D53" s="9" t="inlineStr">
        <is>
          <t>Year-end report for management, NAAC &amp; university</t>
        </is>
      </c>
      <c r="E53" s="10" t="inlineStr">
        <is>
          <t>Annual</t>
        </is>
      </c>
    </row>
    <row r="54" ht="21" customHeight="1"/>
    <row r="55" ht="21" customHeight="1"/>
    <row r="56" ht="21" customHeight="1"/>
    <row r="57" ht="21" customHeight="1"/>
    <row r="58" ht="21" customHeight="1"/>
    <row r="59" ht="21" customHeight="1"/>
    <row r="110">
      <c r="B110" s="11" t="inlineStr">
        <is>
          <t>• EC = Examinations Committee — responsible for all CIE, SEE, practical exams, results, re-valuation and records.</t>
        </is>
      </c>
    </row>
    <row r="111">
      <c r="B111" s="11" t="inlineStr">
        <is>
          <t>• All examination records are CONFIDENTIAL — access restricted to authorised personnel only.</t>
        </is>
      </c>
    </row>
    <row r="112">
      <c r="B112" s="11" t="inlineStr">
        <is>
          <t>• SEE question papers are University property — store in double-lock, open only at start of exam in front of invigilators.</t>
        </is>
      </c>
    </row>
    <row r="113">
      <c r="B113" s="11" t="inlineStr">
        <is>
          <t>• UFM/Malpractice cases must be reported to Principal within 24 hours; forwarded to university as per norms.</t>
        </is>
      </c>
    </row>
    <row r="114">
      <c r="B114" s="11" t="inlineStr">
        <is>
          <t>• Exam data feeds into: NAAC AQAR Criterion II.5 (Evaluation Process), NBA SAR (Assessment), NIRF (Teaching-Learning).</t>
        </is>
      </c>
    </row>
    <row r="115">
      <c r="B115" s="11" t="inlineStr">
        <is>
          <t>• CIE marks must be displayed to students within 5 working days; grievances resolved within 10 working days.</t>
        </is>
      </c>
    </row>
    <row r="116">
      <c r="B116" s="11" t="inlineStr">
        <is>
          <t>• Answer scripts (SEE) must be retained per university regulations (typically 6 months to 1 year after results).</t>
        </is>
      </c>
    </row>
    <row r="117">
      <c r="B117" s="11" t="inlineStr">
        <is>
          <t>• Detainment decisions must be communicated to students 2 weeks before the last date to withdraw from SEE.</t>
        </is>
      </c>
    </row>
  </sheetData>
  <mergeCells count="19">
    <mergeCell ref="B15:E15"/>
    <mergeCell ref="B33:E33"/>
    <mergeCell ref="B24:E24"/>
    <mergeCell ref="B5:E5"/>
    <mergeCell ref="B51:E51"/>
    <mergeCell ref="B114:E114"/>
    <mergeCell ref="B110:E110"/>
    <mergeCell ref="B113:E113"/>
    <mergeCell ref="B3:E3"/>
    <mergeCell ref="B47:E47"/>
    <mergeCell ref="B115:E115"/>
    <mergeCell ref="B43:E43"/>
    <mergeCell ref="B39:E39"/>
    <mergeCell ref="B11:E11"/>
    <mergeCell ref="B2:E2"/>
    <mergeCell ref="B117:E117"/>
    <mergeCell ref="B111:E111"/>
    <mergeCell ref="B116:E116"/>
    <mergeCell ref="B112:E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EC-00: EXAMINATIONS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EC</t>
        </is>
      </c>
      <c r="F4" s="13" t="inlineStr">
        <is>
          <t>Responsibility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Overall Examination Governance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CoE / Registrar (Examinations)</t>
        </is>
      </c>
      <c r="E6" s="8" t="inlineStr">
        <is>
          <t>Controller of Examinations</t>
        </is>
      </c>
      <c r="F6" s="10" t="inlineStr">
        <is>
          <t>Exam Operations &amp; University Liaison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Deputy Controller of Examinations</t>
        </is>
      </c>
      <c r="E7" s="14" t="inlineStr">
        <is>
          <t>Deputy CoE</t>
        </is>
      </c>
      <c r="F7" s="16" t="inlineStr">
        <is>
          <t>CIE &amp; SEE Coordination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Dean Academic Affairs / Senior Professor</t>
        </is>
      </c>
      <c r="E8" s="8" t="inlineStr">
        <is>
          <t>EC Member – 1 (Academic)</t>
        </is>
      </c>
      <c r="F8" s="10" t="inlineStr">
        <is>
          <t>Timetable &amp; Schedule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Faculty (Engineering)</t>
        </is>
      </c>
      <c r="E9" s="14" t="inlineStr">
        <is>
          <t>EC Member – 2 (Tech)</t>
        </is>
      </c>
      <c r="F9" s="16" t="inlineStr">
        <is>
          <t>Question Paper &amp; Technical Exams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Faculty (Management)</t>
        </is>
      </c>
      <c r="E10" s="8" t="inlineStr">
        <is>
          <t>EC Member – 3 (Mgmt.)</t>
        </is>
      </c>
      <c r="F10" s="10" t="inlineStr">
        <is>
          <t>CIE / Assessment Quality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(Sciences)</t>
        </is>
      </c>
      <c r="E11" s="14" t="inlineStr">
        <is>
          <t>EC Member – 4 (Sciences)</t>
        </is>
      </c>
      <c r="F11" s="16" t="inlineStr">
        <is>
          <t>Science &amp; Lab Practical Exams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Head of Exam Section</t>
        </is>
      </c>
      <c r="E12" s="8" t="inlineStr">
        <is>
          <t>Examination Superintendent</t>
        </is>
      </c>
      <c r="F12" s="10" t="inlineStr">
        <is>
          <t>Hall Management &amp; Invigilation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Senior Admin Officer (Exam Section)</t>
        </is>
      </c>
      <c r="E13" s="14" t="inlineStr">
        <is>
          <t>Confidential Section Head</t>
        </is>
      </c>
      <c r="F13" s="16" t="inlineStr">
        <is>
          <t>QP Custody &amp; Answer Script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System Administrator (ERP Exam Module)</t>
        </is>
      </c>
      <c r="E14" s="8" t="inlineStr">
        <is>
          <t>IT / ERP Exam In-charge</t>
        </is>
      </c>
      <c r="F14" s="10" t="inlineStr">
        <is>
          <t>Marks Entry &amp; Results Portal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Senior Faculty (Sciences &amp; Humanities)</t>
        </is>
      </c>
      <c r="E15" s="14" t="inlineStr">
        <is>
          <t>Faculty Member – S&amp;H</t>
        </is>
      </c>
      <c r="F15" s="16" t="inlineStr">
        <is>
          <t>Language Paper Coordination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Registrar / Faculty Rep.</t>
        </is>
      </c>
      <c r="E16" s="8" t="inlineStr">
        <is>
          <t>Grievance Officer</t>
        </is>
      </c>
      <c r="F16" s="10" t="inlineStr">
        <is>
          <t>Exam Grievance Redressal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IQAC In-charge</t>
        </is>
      </c>
      <c r="E17" s="14" t="inlineStr">
        <is>
          <t>IQAC Coordinator (Ex-off.)</t>
        </is>
      </c>
      <c r="F17" s="16" t="inlineStr">
        <is>
          <t>Quality &amp; Accreditation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Finance Officer</t>
        </is>
      </c>
      <c r="E18" s="8" t="inlineStr">
        <is>
          <t>Finance Officer (Ex-off.)</t>
        </is>
      </c>
      <c r="F18" s="10" t="inlineStr">
        <is>
          <t>Exam Budget &amp; Stationery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Student Council (Academic Sec.)</t>
        </is>
      </c>
      <c r="E19" s="14" t="inlineStr">
        <is>
          <t>Student Representative</t>
        </is>
      </c>
      <c r="F19" s="16" t="inlineStr">
        <is>
          <t>Student Communication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EC meets at least once per semester (before and after each exam). Confidential Section Head and IT/ERP In-charge are permanent operational members.</t>
        </is>
      </c>
    </row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EXAMINATIONS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 / Semester: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EC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Academic calendar — CIE and SEE schedule review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CIE I / II / III — results, grievances, pending issues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SEE — timetable, eligibility, hall ticket status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Question paper review and approval status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Invigilation duty allocation — review and gaps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Malpractice / UFM cases — status and decisions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Detainment list — review and communication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Results — declaration status and pending submissions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Revaluation / recounting — applications and status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Practical and project exams — schedule and status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ERP / portal marks entry and audit status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Mark sheets / transcripts / degree certificates — issuance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Examination records archive — compliance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Examination budget — expenditure review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NAAC / NBA exam-related data — compilation status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0" t="inlineStr">
        <is>
          <t>DISPATCH RECORD</t>
        </is>
      </c>
    </row>
    <row r="33" ht="24" customHeight="1">
      <c r="B33" s="21" t="inlineStr">
        <is>
          <t>Sl.</t>
        </is>
      </c>
      <c r="C33" s="21" t="inlineStr">
        <is>
          <t>Member Name &amp; Role</t>
        </is>
      </c>
      <c r="D33" s="21" t="inlineStr">
        <is>
          <t>Mode</t>
        </is>
      </c>
      <c r="E33" s="21" t="inlineStr">
        <is>
          <t>Date &amp; Acknowledgement</t>
        </is>
      </c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EC: ATTENDANCE &amp; QUORUM REGISTER</t>
        </is>
      </c>
    </row>
    <row r="3" ht="25" customHeight="1">
      <c r="B3" s="2" t="inlineStr">
        <is>
          <t>Meeting No.: _______  Date: _______  Total Strength: _______  Quorum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/>
    <row r="23" ht="24" customHeight="1">
      <c r="B23" s="20" t="inlineStr">
        <is>
          <t>QUORUM VERIFICATION</t>
        </is>
      </c>
    </row>
    <row r="24" ht="22" customHeight="1">
      <c r="B24" s="23" t="inlineStr">
        <is>
          <t>Total EC Members</t>
        </is>
      </c>
      <c r="G24" s="24" t="inlineStr"/>
    </row>
    <row r="25" ht="22" customHeight="1">
      <c r="B25" s="25" t="inlineStr">
        <is>
          <t>Present (Physical)</t>
        </is>
      </c>
      <c r="G25" s="24">
        <f>COUNTIF(F5:F21,"P")</f>
        <v/>
      </c>
    </row>
    <row r="26" ht="22" customHeight="1">
      <c r="B26" s="23" t="inlineStr">
        <is>
          <t>Present (VC)</t>
        </is>
      </c>
      <c r="G26" s="24" t="inlineStr"/>
    </row>
    <row r="27" ht="22" customHeight="1">
      <c r="B27" s="25" t="inlineStr">
        <is>
          <t>Total Effective</t>
        </is>
      </c>
      <c r="G27" s="24">
        <f>IFERROR(C25+C26,"")</f>
        <v/>
      </c>
    </row>
    <row r="28" ht="22" customHeight="1">
      <c r="B28" s="23" t="inlineStr">
        <is>
          <t>Quorum Required (50%)</t>
        </is>
      </c>
      <c r="G28" s="24" t="inlineStr"/>
    </row>
    <row r="29" ht="22" customHeight="1">
      <c r="B29" s="25" t="inlineStr">
        <is>
          <t>Quorum Achieved?</t>
        </is>
      </c>
      <c r="G29" s="26">
        <f>IFERROR(IF(C27&gt;=C28,"YES — Meeting Valid","NO — Adjourned"),"")</f>
        <v/>
      </c>
    </row>
  </sheetData>
  <mergeCells count="15">
    <mergeCell ref="G24:I24"/>
    <mergeCell ref="B29:F29"/>
    <mergeCell ref="G28:I28"/>
    <mergeCell ref="B24:F24"/>
    <mergeCell ref="G27:I27"/>
    <mergeCell ref="B2:I2"/>
    <mergeCell ref="B25:F25"/>
    <mergeCell ref="B28:F28"/>
    <mergeCell ref="B3:I3"/>
    <mergeCell ref="G26:I26"/>
    <mergeCell ref="B23:I23"/>
    <mergeCell ref="G29:I29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EC: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EC/RES/001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EC/RES/002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EC/RES/003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EC/RES/004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EC/RES/005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EC/RES/006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EC/RES/007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EC/RES/008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EC/RES/009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EC/RES/010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EC/RES/011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EC/RES/012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EC/RES/013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EC/RES/014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CoE: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EC: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EC/RES/001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EC/RES/002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EC/RES/003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EC/RES/004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EC/RES/005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EC/RES/006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EC/RES/007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EC/RES/008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EC/RES/009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EC/RES/010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EC/RES/011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EC/RES/012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EC/RES/013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EC/RES/014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EC/RES/015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36">
        <f>COUNTA(B5:B19)</f>
        <v/>
      </c>
    </row>
    <row r="23" ht="26" customHeight="1">
      <c r="B23" s="25" t="inlineStr">
        <is>
          <t>Implemented</t>
        </is>
      </c>
      <c r="F23" s="37">
        <f>COUNTIF(H5:H19,"Implemented")</f>
        <v/>
      </c>
    </row>
    <row r="24" ht="26" customHeight="1">
      <c r="B24" s="35" t="inlineStr">
        <is>
          <t>In Progress</t>
        </is>
      </c>
      <c r="F24" s="36">
        <f>COUNTIF(H5:H19,"In Progress")</f>
        <v/>
      </c>
    </row>
    <row r="25" ht="26" customHeight="1">
      <c r="B25" s="25" t="inlineStr">
        <is>
          <t>Pending</t>
        </is>
      </c>
      <c r="F25" s="37">
        <f>COUNTIF(H5:H19,"Pending")</f>
        <v/>
      </c>
    </row>
    <row r="26" ht="26" customHeight="1">
      <c r="B26" s="35" t="inlineStr">
        <is>
          <t>Deferred</t>
        </is>
      </c>
      <c r="F26" s="36">
        <f>COUNTIF(H5:H19,"Deferred")</f>
        <v/>
      </c>
    </row>
    <row r="27" ht="26" customHeight="1">
      <c r="B27" s="25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EC-04: CIE SCHEDULE &amp; TIMETABLE REGISTER</t>
        </is>
      </c>
    </row>
    <row r="3" ht="25" customHeight="1">
      <c r="B3" s="2" t="inlineStr">
        <is>
          <t>Semester: _______  A.Y.: _______  CoE: ___________________  Published on: _______</t>
        </is>
      </c>
    </row>
    <row r="4" ht="25" customHeight="1">
      <c r="B4" s="13" t="inlineStr">
        <is>
          <t>Sl.</t>
        </is>
      </c>
      <c r="C4" s="13" t="inlineStr">
        <is>
          <t>Course Name</t>
        </is>
      </c>
      <c r="D4" s="13" t="inlineStr">
        <is>
          <t>Course Code</t>
        </is>
      </c>
      <c r="E4" s="13" t="inlineStr">
        <is>
          <t>Dept.</t>
        </is>
      </c>
      <c r="F4" s="13" t="inlineStr">
        <is>
          <t>CIE I
Date</t>
        </is>
      </c>
      <c r="G4" s="13" t="inlineStr">
        <is>
          <t>CIE II
Date</t>
        </is>
      </c>
      <c r="H4" s="13" t="inlineStr">
        <is>
          <t>CIE III
Date</t>
        </is>
      </c>
      <c r="I4" s="13" t="inlineStr">
        <is>
          <t>Max Marks
per CIE</t>
        </is>
      </c>
      <c r="J4" s="13" t="inlineStr">
        <is>
          <t>Invigilator
Assigned</t>
        </is>
      </c>
    </row>
    <row r="5" ht="22" customHeight="1">
      <c r="B5" s="14" t="n">
        <v>1</v>
      </c>
      <c r="C5" s="15" t="inlineStr"/>
      <c r="D5" s="16" t="inlineStr">
        <is>
          <t>CS3000</t>
        </is>
      </c>
      <c r="E5" s="16" t="inlineStr">
        <is>
          <t>CSE</t>
        </is>
      </c>
      <c r="F5" s="16" t="inlineStr"/>
      <c r="G5" s="16" t="inlineStr"/>
      <c r="H5" s="16" t="inlineStr"/>
      <c r="I5" s="16" t="n">
        <v>30</v>
      </c>
      <c r="J5" s="16" t="inlineStr"/>
    </row>
    <row r="6" ht="22" customHeight="1">
      <c r="B6" s="8" t="n">
        <v>2</v>
      </c>
      <c r="C6" s="9" t="inlineStr"/>
      <c r="D6" s="10" t="inlineStr">
        <is>
          <t>CS3010</t>
        </is>
      </c>
      <c r="E6" s="10" t="inlineStr">
        <is>
          <t>ECE</t>
        </is>
      </c>
      <c r="F6" s="10" t="inlineStr"/>
      <c r="G6" s="10" t="inlineStr"/>
      <c r="H6" s="10" t="inlineStr"/>
      <c r="I6" s="10" t="n">
        <v>30</v>
      </c>
      <c r="J6" s="10" t="inlineStr"/>
    </row>
    <row r="7" ht="22" customHeight="1">
      <c r="B7" s="14" t="n">
        <v>3</v>
      </c>
      <c r="C7" s="15" t="inlineStr"/>
      <c r="D7" s="16" t="inlineStr">
        <is>
          <t>CS3020</t>
        </is>
      </c>
      <c r="E7" s="16" t="inlineStr">
        <is>
          <t>EEE</t>
        </is>
      </c>
      <c r="F7" s="16" t="inlineStr"/>
      <c r="G7" s="16" t="inlineStr"/>
      <c r="H7" s="16" t="inlineStr"/>
      <c r="I7" s="16" t="n">
        <v>30</v>
      </c>
      <c r="J7" s="16" t="inlineStr"/>
    </row>
    <row r="8" ht="22" customHeight="1">
      <c r="B8" s="8" t="n">
        <v>4</v>
      </c>
      <c r="C8" s="9" t="inlineStr"/>
      <c r="D8" s="10" t="inlineStr">
        <is>
          <t>CS3030</t>
        </is>
      </c>
      <c r="E8" s="10" t="inlineStr">
        <is>
          <t>MECH</t>
        </is>
      </c>
      <c r="F8" s="10" t="inlineStr"/>
      <c r="G8" s="10" t="inlineStr"/>
      <c r="H8" s="10" t="inlineStr"/>
      <c r="I8" s="10" t="n">
        <v>30</v>
      </c>
      <c r="J8" s="10" t="inlineStr"/>
    </row>
    <row r="9" ht="22" customHeight="1">
      <c r="B9" s="14" t="n">
        <v>5</v>
      </c>
      <c r="C9" s="15" t="inlineStr"/>
      <c r="D9" s="16" t="inlineStr">
        <is>
          <t>CS3040</t>
        </is>
      </c>
      <c r="E9" s="16" t="inlineStr">
        <is>
          <t>CIVIL</t>
        </is>
      </c>
      <c r="F9" s="16" t="inlineStr"/>
      <c r="G9" s="16" t="inlineStr"/>
      <c r="H9" s="16" t="inlineStr"/>
      <c r="I9" s="16" t="n">
        <v>30</v>
      </c>
      <c r="J9" s="16" t="inlineStr"/>
    </row>
    <row r="10" ht="22" customHeight="1">
      <c r="B10" s="8" t="n">
        <v>6</v>
      </c>
      <c r="C10" s="9" t="inlineStr"/>
      <c r="D10" s="10" t="inlineStr">
        <is>
          <t>CS3050</t>
        </is>
      </c>
      <c r="E10" s="10" t="inlineStr">
        <is>
          <t>S&amp;H</t>
        </is>
      </c>
      <c r="F10" s="10" t="inlineStr"/>
      <c r="G10" s="10" t="inlineStr"/>
      <c r="H10" s="10" t="inlineStr"/>
      <c r="I10" s="10" t="n">
        <v>30</v>
      </c>
      <c r="J10" s="10" t="inlineStr"/>
    </row>
    <row r="11" ht="22" customHeight="1">
      <c r="B11" s="14" t="n">
        <v>7</v>
      </c>
      <c r="C11" s="15" t="inlineStr"/>
      <c r="D11" s="16" t="inlineStr">
        <is>
          <t>CS3060</t>
        </is>
      </c>
      <c r="E11" s="16" t="inlineStr">
        <is>
          <t>MBA</t>
        </is>
      </c>
      <c r="F11" s="16" t="inlineStr"/>
      <c r="G11" s="16" t="inlineStr"/>
      <c r="H11" s="16" t="inlineStr"/>
      <c r="I11" s="16" t="n">
        <v>30</v>
      </c>
      <c r="J11" s="16" t="inlineStr"/>
    </row>
    <row r="12" ht="22" customHeight="1">
      <c r="B12" s="8" t="n">
        <v>8</v>
      </c>
      <c r="C12" s="9" t="inlineStr"/>
      <c r="D12" s="10" t="inlineStr">
        <is>
          <t>CS3070</t>
        </is>
      </c>
      <c r="E12" s="10" t="inlineStr">
        <is>
          <t>MCA</t>
        </is>
      </c>
      <c r="F12" s="10" t="inlineStr"/>
      <c r="G12" s="10" t="inlineStr"/>
      <c r="H12" s="10" t="inlineStr"/>
      <c r="I12" s="10" t="n">
        <v>30</v>
      </c>
      <c r="J12" s="10" t="inlineStr"/>
    </row>
    <row r="13" ht="22" customHeight="1">
      <c r="B13" s="14" t="n">
        <v>9</v>
      </c>
      <c r="C13" s="15" t="inlineStr"/>
      <c r="D13" s="16" t="inlineStr">
        <is>
          <t>CS3080</t>
        </is>
      </c>
      <c r="E13" s="16" t="inlineStr">
        <is>
          <t>CSE</t>
        </is>
      </c>
      <c r="F13" s="16" t="inlineStr"/>
      <c r="G13" s="16" t="inlineStr"/>
      <c r="H13" s="16" t="inlineStr"/>
      <c r="I13" s="16" t="n">
        <v>30</v>
      </c>
      <c r="J13" s="16" t="inlineStr"/>
    </row>
    <row r="14" ht="22" customHeight="1">
      <c r="B14" s="8" t="n">
        <v>10</v>
      </c>
      <c r="C14" s="9" t="inlineStr"/>
      <c r="D14" s="10" t="inlineStr">
        <is>
          <t>CS3090</t>
        </is>
      </c>
      <c r="E14" s="10" t="inlineStr">
        <is>
          <t>ECE</t>
        </is>
      </c>
      <c r="F14" s="10" t="inlineStr"/>
      <c r="G14" s="10" t="inlineStr"/>
      <c r="H14" s="10" t="inlineStr"/>
      <c r="I14" s="10" t="n">
        <v>30</v>
      </c>
      <c r="J14" s="10" t="inlineStr"/>
    </row>
    <row r="15" ht="22" customHeight="1">
      <c r="B15" s="14" t="n">
        <v>11</v>
      </c>
      <c r="C15" s="15" t="inlineStr"/>
      <c r="D15" s="16" t="inlineStr">
        <is>
          <t>CS3100</t>
        </is>
      </c>
      <c r="E15" s="16" t="inlineStr">
        <is>
          <t>EEE</t>
        </is>
      </c>
      <c r="F15" s="16" t="inlineStr"/>
      <c r="G15" s="16" t="inlineStr"/>
      <c r="H15" s="16" t="inlineStr"/>
      <c r="I15" s="16" t="n">
        <v>30</v>
      </c>
      <c r="J15" s="16" t="inlineStr"/>
    </row>
    <row r="16" ht="22" customHeight="1">
      <c r="B16" s="8" t="n">
        <v>12</v>
      </c>
      <c r="C16" s="9" t="inlineStr"/>
      <c r="D16" s="10" t="inlineStr">
        <is>
          <t>CS3110</t>
        </is>
      </c>
      <c r="E16" s="10" t="inlineStr">
        <is>
          <t>MECH</t>
        </is>
      </c>
      <c r="F16" s="10" t="inlineStr"/>
      <c r="G16" s="10" t="inlineStr"/>
      <c r="H16" s="10" t="inlineStr"/>
      <c r="I16" s="10" t="n">
        <v>30</v>
      </c>
      <c r="J16" s="10" t="inlineStr"/>
    </row>
    <row r="17" ht="22" customHeight="1">
      <c r="B17" s="14" t="n">
        <v>13</v>
      </c>
      <c r="C17" s="15" t="inlineStr"/>
      <c r="D17" s="16" t="inlineStr">
        <is>
          <t>CS3120</t>
        </is>
      </c>
      <c r="E17" s="16" t="inlineStr">
        <is>
          <t>CIVIL</t>
        </is>
      </c>
      <c r="F17" s="16" t="inlineStr"/>
      <c r="G17" s="16" t="inlineStr"/>
      <c r="H17" s="16" t="inlineStr"/>
      <c r="I17" s="16" t="n">
        <v>30</v>
      </c>
      <c r="J17" s="16" t="inlineStr"/>
    </row>
    <row r="18" ht="22" customHeight="1">
      <c r="B18" s="8" t="n">
        <v>14</v>
      </c>
      <c r="C18" s="9" t="inlineStr"/>
      <c r="D18" s="10" t="inlineStr">
        <is>
          <t>CS3130</t>
        </is>
      </c>
      <c r="E18" s="10" t="inlineStr">
        <is>
          <t>S&amp;H</t>
        </is>
      </c>
      <c r="F18" s="10" t="inlineStr"/>
      <c r="G18" s="10" t="inlineStr"/>
      <c r="H18" s="10" t="inlineStr"/>
      <c r="I18" s="10" t="n">
        <v>30</v>
      </c>
      <c r="J18" s="10" t="inlineStr"/>
    </row>
    <row r="19" ht="22" customHeight="1">
      <c r="B19" s="14" t="n">
        <v>15</v>
      </c>
      <c r="C19" s="15" t="inlineStr"/>
      <c r="D19" s="16" t="inlineStr">
        <is>
          <t>CS3140</t>
        </is>
      </c>
      <c r="E19" s="16" t="inlineStr">
        <is>
          <t>MBA</t>
        </is>
      </c>
      <c r="F19" s="16" t="inlineStr"/>
      <c r="G19" s="16" t="inlineStr"/>
      <c r="H19" s="16" t="inlineStr"/>
      <c r="I19" s="16" t="n">
        <v>30</v>
      </c>
      <c r="J19" s="16" t="inlineStr"/>
    </row>
    <row r="20" ht="22" customHeight="1">
      <c r="B20" s="8" t="n">
        <v>16</v>
      </c>
      <c r="C20" s="9" t="inlineStr"/>
      <c r="D20" s="10" t="inlineStr">
        <is>
          <t>CS3150</t>
        </is>
      </c>
      <c r="E20" s="10" t="inlineStr">
        <is>
          <t>MCA</t>
        </is>
      </c>
      <c r="F20" s="10" t="inlineStr"/>
      <c r="G20" s="10" t="inlineStr"/>
      <c r="H20" s="10" t="inlineStr"/>
      <c r="I20" s="10" t="n">
        <v>30</v>
      </c>
      <c r="J20" s="10" t="inlineStr"/>
    </row>
    <row r="21" ht="22" customHeight="1">
      <c r="B21" s="14" t="n">
        <v>17</v>
      </c>
      <c r="C21" s="15" t="inlineStr"/>
      <c r="D21" s="16" t="inlineStr">
        <is>
          <t>CS3160</t>
        </is>
      </c>
      <c r="E21" s="16" t="inlineStr">
        <is>
          <t>CSE</t>
        </is>
      </c>
      <c r="F21" s="16" t="inlineStr"/>
      <c r="G21" s="16" t="inlineStr"/>
      <c r="H21" s="16" t="inlineStr"/>
      <c r="I21" s="16" t="n">
        <v>30</v>
      </c>
      <c r="J21" s="16" t="inlineStr"/>
    </row>
    <row r="22" ht="22" customHeight="1">
      <c r="B22" s="8" t="n">
        <v>18</v>
      </c>
      <c r="C22" s="9" t="inlineStr"/>
      <c r="D22" s="10" t="inlineStr">
        <is>
          <t>CS3170</t>
        </is>
      </c>
      <c r="E22" s="10" t="inlineStr">
        <is>
          <t>ECE</t>
        </is>
      </c>
      <c r="F22" s="10" t="inlineStr"/>
      <c r="G22" s="10" t="inlineStr"/>
      <c r="H22" s="10" t="inlineStr"/>
      <c r="I22" s="10" t="n">
        <v>30</v>
      </c>
      <c r="J22" s="10" t="inlineStr"/>
    </row>
    <row r="23" ht="22" customHeight="1">
      <c r="B23" s="14" t="n">
        <v>19</v>
      </c>
      <c r="C23" s="15" t="inlineStr"/>
      <c r="D23" s="16" t="inlineStr">
        <is>
          <t>CS3180</t>
        </is>
      </c>
      <c r="E23" s="16" t="inlineStr">
        <is>
          <t>EEE</t>
        </is>
      </c>
      <c r="F23" s="16" t="inlineStr"/>
      <c r="G23" s="16" t="inlineStr"/>
      <c r="H23" s="16" t="inlineStr"/>
      <c r="I23" s="16" t="n">
        <v>30</v>
      </c>
      <c r="J23" s="16" t="inlineStr"/>
    </row>
    <row r="24" ht="22" customHeight="1">
      <c r="B24" s="8" t="n">
        <v>20</v>
      </c>
      <c r="C24" s="9" t="inlineStr"/>
      <c r="D24" s="10" t="inlineStr">
        <is>
          <t>CS3190</t>
        </is>
      </c>
      <c r="E24" s="10" t="inlineStr">
        <is>
          <t>MECH</t>
        </is>
      </c>
      <c r="F24" s="10" t="inlineStr"/>
      <c r="G24" s="10" t="inlineStr"/>
      <c r="H24" s="10" t="inlineStr"/>
      <c r="I24" s="10" t="n">
        <v>30</v>
      </c>
      <c r="J24" s="10" t="inlineStr"/>
    </row>
    <row r="25" ht="22" customHeight="1">
      <c r="B25" s="14" t="n">
        <v>21</v>
      </c>
      <c r="C25" s="15" t="inlineStr"/>
      <c r="D25" s="16" t="inlineStr">
        <is>
          <t>CS3200</t>
        </is>
      </c>
      <c r="E25" s="16" t="inlineStr">
        <is>
          <t>CIVIL</t>
        </is>
      </c>
      <c r="F25" s="16" t="inlineStr"/>
      <c r="G25" s="16" t="inlineStr"/>
      <c r="H25" s="16" t="inlineStr"/>
      <c r="I25" s="16" t="n">
        <v>30</v>
      </c>
      <c r="J25" s="16" t="inlineStr"/>
    </row>
    <row r="26" ht="22" customHeight="1">
      <c r="B26" s="8" t="n">
        <v>22</v>
      </c>
      <c r="C26" s="9" t="inlineStr"/>
      <c r="D26" s="10" t="inlineStr">
        <is>
          <t>CS3210</t>
        </is>
      </c>
      <c r="E26" s="10" t="inlineStr">
        <is>
          <t>S&amp;H</t>
        </is>
      </c>
      <c r="F26" s="10" t="inlineStr"/>
      <c r="G26" s="10" t="inlineStr"/>
      <c r="H26" s="10" t="inlineStr"/>
      <c r="I26" s="10" t="n">
        <v>30</v>
      </c>
      <c r="J26" s="10" t="inlineStr"/>
    </row>
    <row r="27" ht="22" customHeight="1">
      <c r="B27" s="14" t="n">
        <v>23</v>
      </c>
      <c r="C27" s="15" t="inlineStr"/>
      <c r="D27" s="16" t="inlineStr">
        <is>
          <t>CS3220</t>
        </is>
      </c>
      <c r="E27" s="16" t="inlineStr">
        <is>
          <t>MBA</t>
        </is>
      </c>
      <c r="F27" s="16" t="inlineStr"/>
      <c r="G27" s="16" t="inlineStr"/>
      <c r="H27" s="16" t="inlineStr"/>
      <c r="I27" s="16" t="n">
        <v>30</v>
      </c>
      <c r="J27" s="16" t="inlineStr"/>
    </row>
    <row r="28" ht="22" customHeight="1">
      <c r="B28" s="8" t="n">
        <v>24</v>
      </c>
      <c r="C28" s="9" t="inlineStr"/>
      <c r="D28" s="10" t="inlineStr">
        <is>
          <t>CS3230</t>
        </is>
      </c>
      <c r="E28" s="10" t="inlineStr">
        <is>
          <t>MCA</t>
        </is>
      </c>
      <c r="F28" s="10" t="inlineStr"/>
      <c r="G28" s="10" t="inlineStr"/>
      <c r="H28" s="10" t="inlineStr"/>
      <c r="I28" s="10" t="n">
        <v>30</v>
      </c>
      <c r="J28" s="10" t="inlineStr"/>
    </row>
    <row r="29" ht="22" customHeight="1">
      <c r="B29" s="14" t="n">
        <v>25</v>
      </c>
      <c r="C29" s="15" t="inlineStr"/>
      <c r="D29" s="16" t="inlineStr">
        <is>
          <t>CS3240</t>
        </is>
      </c>
      <c r="E29" s="16" t="inlineStr">
        <is>
          <t>CSE</t>
        </is>
      </c>
      <c r="F29" s="16" t="inlineStr"/>
      <c r="G29" s="16" t="inlineStr"/>
      <c r="H29" s="16" t="inlineStr"/>
      <c r="I29" s="16" t="n">
        <v>30</v>
      </c>
      <c r="J29" s="16" t="inlineStr"/>
    </row>
    <row r="30" ht="22" customHeight="1">
      <c r="B30" s="8" t="n">
        <v>26</v>
      </c>
      <c r="C30" s="9" t="inlineStr"/>
      <c r="D30" s="10" t="inlineStr">
        <is>
          <t>CS3250</t>
        </is>
      </c>
      <c r="E30" s="10" t="inlineStr">
        <is>
          <t>ECE</t>
        </is>
      </c>
      <c r="F30" s="10" t="inlineStr"/>
      <c r="G30" s="10" t="inlineStr"/>
      <c r="H30" s="10" t="inlineStr"/>
      <c r="I30" s="10" t="n">
        <v>30</v>
      </c>
      <c r="J30" s="10" t="inlineStr"/>
    </row>
    <row r="31" ht="22" customHeight="1">
      <c r="B31" s="14" t="n">
        <v>27</v>
      </c>
      <c r="C31" s="15" t="inlineStr"/>
      <c r="D31" s="16" t="inlineStr">
        <is>
          <t>CS3260</t>
        </is>
      </c>
      <c r="E31" s="16" t="inlineStr">
        <is>
          <t>EEE</t>
        </is>
      </c>
      <c r="F31" s="16" t="inlineStr"/>
      <c r="G31" s="16" t="inlineStr"/>
      <c r="H31" s="16" t="inlineStr"/>
      <c r="I31" s="16" t="n">
        <v>30</v>
      </c>
      <c r="J31" s="16" t="inlineStr"/>
    </row>
    <row r="32" ht="22" customHeight="1">
      <c r="B32" s="8" t="n">
        <v>28</v>
      </c>
      <c r="C32" s="9" t="inlineStr"/>
      <c r="D32" s="10" t="inlineStr">
        <is>
          <t>CS3270</t>
        </is>
      </c>
      <c r="E32" s="10" t="inlineStr">
        <is>
          <t>MECH</t>
        </is>
      </c>
      <c r="F32" s="10" t="inlineStr"/>
      <c r="G32" s="10" t="inlineStr"/>
      <c r="H32" s="10" t="inlineStr"/>
      <c r="I32" s="10" t="n">
        <v>30</v>
      </c>
      <c r="J32" s="10" t="inlineStr"/>
    </row>
    <row r="33" ht="22" customHeight="1"/>
    <row r="34" ht="24" customHeight="1">
      <c r="B34" s="34" t="inlineStr">
        <is>
          <t>CIE SCHEDULE SUMMARY</t>
        </is>
      </c>
    </row>
    <row r="35" ht="22" customHeight="1">
      <c r="B35" s="30" t="inlineStr">
        <is>
          <t>Department</t>
        </is>
      </c>
      <c r="C35" s="30" t="inlineStr">
        <is>
          <t>Total Courses</t>
        </is>
      </c>
      <c r="D35" s="30" t="inlineStr">
        <is>
          <t>CIE I
Completed</t>
        </is>
      </c>
      <c r="E35" s="30" t="inlineStr">
        <is>
          <t>CIE II
Completed</t>
        </is>
      </c>
      <c r="F35" s="30" t="inlineStr">
        <is>
          <t>CIE III
Completed</t>
        </is>
      </c>
      <c r="G35" s="30" t="inlineStr">
        <is>
          <t>Marks Uploaded
(% courses)</t>
        </is>
      </c>
      <c r="H35" s="30" t="inlineStr">
        <is>
          <t>Grievances
Pending</t>
        </is>
      </c>
    </row>
    <row r="36" ht="22" customHeight="1">
      <c r="B36" s="32" t="inlineStr">
        <is>
          <t>CSE</t>
        </is>
      </c>
      <c r="C36" s="33" t="inlineStr"/>
      <c r="D36" s="33" t="inlineStr"/>
      <c r="E36" s="33" t="inlineStr"/>
      <c r="F36" s="33" t="inlineStr"/>
      <c r="G36" s="33" t="inlineStr"/>
      <c r="H36" s="33" t="inlineStr"/>
      <c r="I36" s="38" t="n"/>
      <c r="J36" s="38" t="n"/>
    </row>
    <row r="37" ht="22" customHeight="1">
      <c r="B37" s="9" t="inlineStr">
        <is>
          <t>ECE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39" t="n"/>
      <c r="J37" s="39" t="n"/>
    </row>
    <row r="38" ht="22" customHeight="1">
      <c r="B38" s="32" t="inlineStr">
        <is>
          <t>EEE</t>
        </is>
      </c>
      <c r="C38" s="33" t="inlineStr"/>
      <c r="D38" s="33" t="inlineStr"/>
      <c r="E38" s="33" t="inlineStr"/>
      <c r="F38" s="33" t="inlineStr"/>
      <c r="G38" s="33" t="inlineStr"/>
      <c r="H38" s="33" t="inlineStr"/>
      <c r="I38" s="38" t="n"/>
      <c r="J38" s="38" t="n"/>
    </row>
    <row r="39" ht="22" customHeight="1">
      <c r="B39" s="9" t="inlineStr">
        <is>
          <t>MECH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39" t="n"/>
      <c r="J39" s="39" t="n"/>
    </row>
    <row r="40">
      <c r="B40" s="32" t="inlineStr">
        <is>
          <t>CIVIL</t>
        </is>
      </c>
      <c r="C40" s="33" t="inlineStr"/>
      <c r="D40" s="33" t="inlineStr"/>
      <c r="E40" s="33" t="inlineStr"/>
      <c r="F40" s="33" t="inlineStr"/>
      <c r="G40" s="33" t="inlineStr"/>
      <c r="H40" s="33" t="inlineStr"/>
      <c r="I40" s="38" t="n"/>
      <c r="J40" s="38" t="n"/>
    </row>
    <row r="41">
      <c r="B41" s="9" t="inlineStr">
        <is>
          <t>S&amp;H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39" t="n"/>
      <c r="J41" s="39" t="n"/>
    </row>
    <row r="42">
      <c r="B42" s="32" t="inlineStr">
        <is>
          <t>MBA</t>
        </is>
      </c>
      <c r="C42" s="33" t="inlineStr"/>
      <c r="D42" s="33" t="inlineStr"/>
      <c r="E42" s="33" t="inlineStr"/>
      <c r="F42" s="33" t="inlineStr"/>
      <c r="G42" s="33" t="inlineStr"/>
      <c r="H42" s="33" t="inlineStr"/>
      <c r="I42" s="38" t="n"/>
      <c r="J42" s="38" t="n"/>
    </row>
    <row r="43">
      <c r="B43" s="9" t="inlineStr">
        <is>
          <t>MCA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39" t="n"/>
      <c r="J43" s="39" t="n"/>
    </row>
    <row r="44">
      <c r="B44" s="23" t="inlineStr">
        <is>
          <t>INSTITUTION</t>
        </is>
      </c>
      <c r="C44" s="40" t="inlineStr"/>
      <c r="D44" s="40" t="inlineStr"/>
      <c r="E44" s="40" t="inlineStr"/>
      <c r="F44" s="40" t="inlineStr"/>
      <c r="G44" s="40" t="inlineStr"/>
      <c r="H44" s="40" t="inlineStr"/>
      <c r="I44" s="41" t="n"/>
      <c r="J44" s="41" t="n"/>
    </row>
  </sheetData>
  <mergeCells count="3">
    <mergeCell ref="B34:J34"/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" customWidth="1" min="14" max="14"/>
  </cols>
  <sheetData>
    <row r="1" ht="10" customHeight="1"/>
    <row r="2" ht="48" customHeight="1">
      <c r="B2" s="12" t="inlineStr">
        <is>
          <t>EC-07: CIE ATTENDANCE &amp; MARKS ENTRY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Course: _______  Dept.: _______  CIE: I / II / III  Date: _______  Max Marks: _______  Invigilator: ___________________</t>
        </is>
      </c>
    </row>
    <row r="5" ht="22" customHeight="1">
      <c r="B5" s="13" t="inlineStr">
        <is>
          <t>Sl.</t>
        </is>
      </c>
      <c r="C5" s="13" t="inlineStr">
        <is>
          <t>Student Name</t>
        </is>
      </c>
      <c r="D5" s="13" t="inlineStr">
        <is>
          <t>Roll No.</t>
        </is>
      </c>
      <c r="E5" s="13" t="inlineStr">
        <is>
          <t>Programme</t>
        </is>
      </c>
      <c r="F5" s="13" t="inlineStr">
        <is>
          <t>Present
(P/A)</t>
        </is>
      </c>
      <c r="G5" s="13" t="inlineStr">
        <is>
          <t>Q1
Marks</t>
        </is>
      </c>
      <c r="H5" s="13" t="inlineStr">
        <is>
          <t>Q2
Marks</t>
        </is>
      </c>
      <c r="I5" s="13" t="inlineStr">
        <is>
          <t>Q3
Marks</t>
        </is>
      </c>
      <c r="J5" s="13" t="inlineStr">
        <is>
          <t>Q4
Marks</t>
        </is>
      </c>
      <c r="K5" s="13" t="inlineStr">
        <is>
          <t>Q5
Marks</t>
        </is>
      </c>
      <c r="L5" s="13" t="inlineStr">
        <is>
          <t>Total
Marks</t>
        </is>
      </c>
      <c r="M5" s="13" t="inlineStr">
        <is>
          <t>Remarks</t>
        </is>
      </c>
    </row>
    <row r="6" ht="22" customHeight="1">
      <c r="B6" s="14" t="n">
        <v>1</v>
      </c>
      <c r="C6" s="15" t="n"/>
      <c r="D6" s="16" t="n"/>
      <c r="E6" s="16" t="n"/>
      <c r="F6" s="16" t="n"/>
      <c r="G6" s="16" t="n"/>
      <c r="H6" s="16" t="n"/>
      <c r="I6" s="16" t="n"/>
      <c r="J6" s="16" t="n"/>
      <c r="K6" s="16" t="n"/>
      <c r="L6" s="43">
        <f>IFERROR(SUM(G6:K6),"")</f>
        <v/>
      </c>
      <c r="M6" s="16" t="n"/>
    </row>
    <row r="7" ht="22" customHeight="1">
      <c r="B7" s="8" t="n">
        <v>2</v>
      </c>
      <c r="C7" s="9" t="n"/>
      <c r="D7" s="10" t="n"/>
      <c r="E7" s="10" t="n"/>
      <c r="F7" s="10" t="n"/>
      <c r="G7" s="10" t="n"/>
      <c r="H7" s="10" t="n"/>
      <c r="I7" s="10" t="n"/>
      <c r="J7" s="10" t="n"/>
      <c r="K7" s="10" t="n"/>
      <c r="L7" s="37">
        <f>IFERROR(SUM(G7:K7),"")</f>
        <v/>
      </c>
      <c r="M7" s="10" t="n"/>
    </row>
    <row r="8" ht="22" customHeight="1">
      <c r="B8" s="14" t="n">
        <v>3</v>
      </c>
      <c r="C8" s="15" t="n"/>
      <c r="D8" s="16" t="n"/>
      <c r="E8" s="16" t="n"/>
      <c r="F8" s="16" t="n"/>
      <c r="G8" s="16" t="n"/>
      <c r="H8" s="16" t="n"/>
      <c r="I8" s="16" t="n"/>
      <c r="J8" s="16" t="n"/>
      <c r="K8" s="16" t="n"/>
      <c r="L8" s="43">
        <f>IFERROR(SUM(G8:K8),"")</f>
        <v/>
      </c>
      <c r="M8" s="16" t="n"/>
    </row>
    <row r="9" ht="22" customHeight="1">
      <c r="B9" s="8" t="n">
        <v>4</v>
      </c>
      <c r="C9" s="9" t="n"/>
      <c r="D9" s="10" t="n"/>
      <c r="E9" s="10" t="n"/>
      <c r="F9" s="10" t="n"/>
      <c r="G9" s="10" t="n"/>
      <c r="H9" s="10" t="n"/>
      <c r="I9" s="10" t="n"/>
      <c r="J9" s="10" t="n"/>
      <c r="K9" s="10" t="n"/>
      <c r="L9" s="37">
        <f>IFERROR(SUM(G9:K9),"")</f>
        <v/>
      </c>
      <c r="M9" s="10" t="n"/>
    </row>
    <row r="10" ht="22" customHeight="1">
      <c r="B10" s="14" t="n">
        <v>5</v>
      </c>
      <c r="C10" s="15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43">
        <f>IFERROR(SUM(G10:K10),"")</f>
        <v/>
      </c>
      <c r="M10" s="16" t="n"/>
    </row>
    <row r="11" ht="22" customHeight="1">
      <c r="B11" s="8" t="n">
        <v>6</v>
      </c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37">
        <f>IFERROR(SUM(G11:K11),"")</f>
        <v/>
      </c>
      <c r="M11" s="10" t="n"/>
    </row>
    <row r="12" ht="22" customHeight="1">
      <c r="B12" s="14" t="n">
        <v>7</v>
      </c>
      <c r="C12" s="15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43">
        <f>IFERROR(SUM(G12:K12),"")</f>
        <v/>
      </c>
      <c r="M12" s="16" t="n"/>
    </row>
    <row r="13" ht="22" customHeight="1">
      <c r="B13" s="8" t="n">
        <v>8</v>
      </c>
      <c r="C13" s="9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37">
        <f>IFERROR(SUM(G13:K13),"")</f>
        <v/>
      </c>
      <c r="M13" s="10" t="n"/>
    </row>
    <row r="14" ht="22" customHeight="1">
      <c r="B14" s="14" t="n">
        <v>9</v>
      </c>
      <c r="C14" s="15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43">
        <f>IFERROR(SUM(G14:K14),"")</f>
        <v/>
      </c>
      <c r="M14" s="16" t="n"/>
    </row>
    <row r="15" ht="22" customHeight="1">
      <c r="B15" s="8" t="n">
        <v>10</v>
      </c>
      <c r="C15" s="9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37">
        <f>IFERROR(SUM(G15:K15),"")</f>
        <v/>
      </c>
      <c r="M15" s="10" t="n"/>
    </row>
    <row r="16" ht="22" customHeight="1">
      <c r="B16" s="14" t="n">
        <v>11</v>
      </c>
      <c r="C16" s="15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43">
        <f>IFERROR(SUM(G16:K16),"")</f>
        <v/>
      </c>
      <c r="M16" s="16" t="n"/>
    </row>
    <row r="17" ht="22" customHeight="1">
      <c r="B17" s="8" t="n">
        <v>12</v>
      </c>
      <c r="C17" s="9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37">
        <f>IFERROR(SUM(G17:K17),"")</f>
        <v/>
      </c>
      <c r="M17" s="10" t="n"/>
    </row>
    <row r="18" ht="22" customHeight="1">
      <c r="B18" s="14" t="n">
        <v>13</v>
      </c>
      <c r="C18" s="15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43">
        <f>IFERROR(SUM(G18:K18),"")</f>
        <v/>
      </c>
      <c r="M18" s="16" t="n"/>
    </row>
    <row r="19" ht="22" customHeight="1">
      <c r="B19" s="8" t="n">
        <v>14</v>
      </c>
      <c r="C19" s="9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37">
        <f>IFERROR(SUM(G19:K19),"")</f>
        <v/>
      </c>
      <c r="M19" s="10" t="n"/>
    </row>
    <row r="20" ht="22" customHeight="1">
      <c r="B20" s="14" t="n">
        <v>15</v>
      </c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43">
        <f>IFERROR(SUM(G20:K20),"")</f>
        <v/>
      </c>
      <c r="M20" s="16" t="n"/>
    </row>
    <row r="21" ht="22" customHeight="1">
      <c r="B21" s="8" t="n">
        <v>16</v>
      </c>
      <c r="C21" s="9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37">
        <f>IFERROR(SUM(G21:K21),"")</f>
        <v/>
      </c>
      <c r="M21" s="10" t="n"/>
    </row>
    <row r="22" ht="22" customHeight="1">
      <c r="B22" s="14" t="n">
        <v>17</v>
      </c>
      <c r="C22" s="15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43">
        <f>IFERROR(SUM(G22:K22),"")</f>
        <v/>
      </c>
      <c r="M22" s="16" t="n"/>
    </row>
    <row r="23" ht="22" customHeight="1">
      <c r="B23" s="8" t="n">
        <v>18</v>
      </c>
      <c r="C23" s="9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37">
        <f>IFERROR(SUM(G23:K23),"")</f>
        <v/>
      </c>
      <c r="M23" s="10" t="n"/>
    </row>
    <row r="24" ht="22" customHeight="1">
      <c r="B24" s="14" t="n">
        <v>19</v>
      </c>
      <c r="C24" s="15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43">
        <f>IFERROR(SUM(G24:K24),"")</f>
        <v/>
      </c>
      <c r="M24" s="16" t="n"/>
    </row>
    <row r="25" ht="22" customHeight="1">
      <c r="B25" s="8" t="n">
        <v>20</v>
      </c>
      <c r="C25" s="9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37">
        <f>IFERROR(SUM(G25:K25),"")</f>
        <v/>
      </c>
      <c r="M25" s="10" t="n"/>
    </row>
    <row r="26" ht="22" customHeight="1">
      <c r="B26" s="14" t="n">
        <v>21</v>
      </c>
      <c r="C26" s="15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43">
        <f>IFERROR(SUM(G26:K26),"")</f>
        <v/>
      </c>
      <c r="M26" s="16" t="n"/>
    </row>
    <row r="27" ht="22" customHeight="1">
      <c r="B27" s="8" t="n">
        <v>22</v>
      </c>
      <c r="C27" s="9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37">
        <f>IFERROR(SUM(G27:K27),"")</f>
        <v/>
      </c>
      <c r="M27" s="10" t="n"/>
    </row>
    <row r="28" ht="22" customHeight="1">
      <c r="B28" s="14" t="n">
        <v>23</v>
      </c>
      <c r="C28" s="15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43">
        <f>IFERROR(SUM(G28:K28),"")</f>
        <v/>
      </c>
      <c r="M28" s="16" t="n"/>
    </row>
    <row r="29" ht="22" customHeight="1">
      <c r="B29" s="8" t="n">
        <v>24</v>
      </c>
      <c r="C29" s="9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37">
        <f>IFERROR(SUM(G29:K29),"")</f>
        <v/>
      </c>
      <c r="M29" s="10" t="n"/>
    </row>
    <row r="30" ht="22" customHeight="1">
      <c r="B30" s="14" t="n">
        <v>25</v>
      </c>
      <c r="C30" s="15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43">
        <f>IFERROR(SUM(G30:K30),"")</f>
        <v/>
      </c>
      <c r="M30" s="16" t="n"/>
    </row>
    <row r="31" ht="22" customHeight="1">
      <c r="B31" s="8" t="n">
        <v>26</v>
      </c>
      <c r="C31" s="9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37">
        <f>IFERROR(SUM(G31:K31),"")</f>
        <v/>
      </c>
      <c r="M31" s="10" t="n"/>
    </row>
    <row r="32" ht="22" customHeight="1"/>
    <row r="33" ht="24" customHeight="1">
      <c r="B33" s="34" t="inlineStr">
        <is>
          <t>SESSION SUMMARY</t>
        </is>
      </c>
    </row>
    <row r="34" ht="22" customHeight="1">
      <c r="B34" s="35" t="inlineStr">
        <is>
          <t>Total Registered</t>
        </is>
      </c>
      <c r="C34" s="35" t="inlineStr">
        <is>
          <t>Present</t>
        </is>
      </c>
      <c r="D34" s="35" t="inlineStr">
        <is>
          <t>Absent</t>
        </is>
      </c>
      <c r="E34" s="35" t="inlineStr">
        <is>
          <t>Attendance %</t>
        </is>
      </c>
      <c r="F34" s="29" t="inlineStr">
        <is>
          <t>Invigilator Signature: ___________________    Faculty: ___________________    Date: ___________________</t>
        </is>
      </c>
    </row>
    <row r="35" ht="22" customHeight="1">
      <c r="B35" s="44">
        <f>COUNTA(C6:C31)</f>
        <v/>
      </c>
      <c r="C35" s="44">
        <f>COUNTIF(F6:F31,"P")</f>
        <v/>
      </c>
      <c r="D35" s="44">
        <f>COUNTIF(F6:F31,"A")</f>
        <v/>
      </c>
      <c r="E35" s="44">
        <f>IFERROR(ROUND(C35/C34*100,1),"")</f>
        <v/>
      </c>
    </row>
    <row r="36" ht="22" customHeight="1"/>
    <row r="37" ht="22" customHeight="1"/>
  </sheetData>
  <mergeCells count="5">
    <mergeCell ref="B2:M2"/>
    <mergeCell ref="B33:M33"/>
    <mergeCell ref="B3:M3"/>
    <mergeCell ref="F34:M34"/>
    <mergeCell ref="B4:M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3" customWidth="1" min="15" max="15"/>
  </cols>
  <sheetData>
    <row r="1" ht="10" customHeight="1"/>
    <row r="2" ht="48" customHeight="1">
      <c r="B2" s="12" t="inlineStr">
        <is>
          <t>EC-09: CIE MARKS ENTRY, VERIFICATION &amp; UPLOAD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Course: _______  Code: _______  Dept.: _______  Semester: _______  Faculty: ___________________  Max Marks per CIE: _______</t>
        </is>
      </c>
    </row>
    <row r="5" ht="22" customHeight="1">
      <c r="B5" s="13" t="inlineStr">
        <is>
          <t>Sl.</t>
        </is>
      </c>
      <c r="C5" s="13" t="inlineStr">
        <is>
          <t>Student Name</t>
        </is>
      </c>
      <c r="D5" s="13" t="inlineStr">
        <is>
          <t>Roll No.</t>
        </is>
      </c>
      <c r="E5" s="13" t="inlineStr">
        <is>
          <t>CIE I
Marks</t>
        </is>
      </c>
      <c r="F5" s="13" t="inlineStr">
        <is>
          <t>CIE II
Marks</t>
        </is>
      </c>
      <c r="G5" s="13" t="inlineStr">
        <is>
          <t>CIE III
Marks</t>
        </is>
      </c>
      <c r="H5" s="13" t="inlineStr">
        <is>
          <t>Best 2
Avg</t>
        </is>
      </c>
      <c r="I5" s="13" t="inlineStr">
        <is>
          <t>Attendance
%</t>
        </is>
      </c>
      <c r="J5" s="13" t="inlineStr">
        <is>
          <t>Eligible
(Y/N)</t>
        </is>
      </c>
      <c r="K5" s="13" t="inlineStr">
        <is>
          <t>Remarks</t>
        </is>
      </c>
      <c r="L5" s="13" t="inlineStr">
        <is>
          <t>Faculty
Verified</t>
        </is>
      </c>
      <c r="M5" s="13" t="inlineStr">
        <is>
          <t>HoD
Verified</t>
        </is>
      </c>
      <c r="N5" s="13" t="inlineStr">
        <is>
          <t>Uploaded
to ERP</t>
        </is>
      </c>
    </row>
    <row r="6" ht="22" customHeight="1">
      <c r="B6" s="14" t="n">
        <v>1</v>
      </c>
      <c r="C6" s="15" t="n"/>
      <c r="D6" s="16" t="n"/>
      <c r="E6" s="16" t="n"/>
      <c r="F6" s="16" t="n"/>
      <c r="G6" s="16" t="n"/>
      <c r="H6" s="43">
        <f>IFERROR(ROUND((SUM(E6:G6)-MIN(E6:G6))/2,1),"")</f>
        <v/>
      </c>
      <c r="I6" s="16" t="n"/>
      <c r="J6" s="16" t="inlineStr">
        <is>
          <t>Y</t>
        </is>
      </c>
      <c r="K6" s="16" t="n"/>
      <c r="L6" s="16" t="n"/>
      <c r="M6" s="16" t="n"/>
      <c r="N6" s="16" t="n"/>
    </row>
    <row r="7" ht="22" customHeight="1">
      <c r="B7" s="8" t="n">
        <v>2</v>
      </c>
      <c r="C7" s="9" t="n"/>
      <c r="D7" s="10" t="n"/>
      <c r="E7" s="10" t="n"/>
      <c r="F7" s="10" t="n"/>
      <c r="G7" s="10" t="n"/>
      <c r="H7" s="37">
        <f>IFERROR(ROUND((SUM(E7:G7)-MIN(E7:G7))/2,1),"")</f>
        <v/>
      </c>
      <c r="I7" s="10" t="n"/>
      <c r="J7" s="10" t="inlineStr">
        <is>
          <t>Y</t>
        </is>
      </c>
      <c r="K7" s="10" t="n"/>
      <c r="L7" s="10" t="n"/>
      <c r="M7" s="10" t="n"/>
      <c r="N7" s="10" t="n"/>
    </row>
    <row r="8" ht="22" customHeight="1">
      <c r="B8" s="14" t="n">
        <v>3</v>
      </c>
      <c r="C8" s="15" t="n"/>
      <c r="D8" s="16" t="n"/>
      <c r="E8" s="16" t="n"/>
      <c r="F8" s="16" t="n"/>
      <c r="G8" s="16" t="n"/>
      <c r="H8" s="43">
        <f>IFERROR(ROUND((SUM(E8:G8)-MIN(E8:G8))/2,1),"")</f>
        <v/>
      </c>
      <c r="I8" s="16" t="n"/>
      <c r="J8" s="16" t="inlineStr">
        <is>
          <t>Y</t>
        </is>
      </c>
      <c r="K8" s="16" t="n"/>
      <c r="L8" s="16" t="n"/>
      <c r="M8" s="16" t="n"/>
      <c r="N8" s="16" t="n"/>
    </row>
    <row r="9" ht="22" customHeight="1">
      <c r="B9" s="8" t="n">
        <v>4</v>
      </c>
      <c r="C9" s="9" t="n"/>
      <c r="D9" s="10" t="n"/>
      <c r="E9" s="10" t="n"/>
      <c r="F9" s="10" t="n"/>
      <c r="G9" s="10" t="n"/>
      <c r="H9" s="37">
        <f>IFERROR(ROUND((SUM(E9:G9)-MIN(E9:G9))/2,1),"")</f>
        <v/>
      </c>
      <c r="I9" s="10" t="n"/>
      <c r="J9" s="10" t="inlineStr">
        <is>
          <t>Y</t>
        </is>
      </c>
      <c r="K9" s="10" t="n"/>
      <c r="L9" s="10" t="n"/>
      <c r="M9" s="10" t="n"/>
      <c r="N9" s="10" t="n"/>
    </row>
    <row r="10" ht="22" customHeight="1">
      <c r="B10" s="14" t="n">
        <v>5</v>
      </c>
      <c r="C10" s="15" t="n"/>
      <c r="D10" s="16" t="n"/>
      <c r="E10" s="16" t="n"/>
      <c r="F10" s="16" t="n"/>
      <c r="G10" s="16" t="n"/>
      <c r="H10" s="43">
        <f>IFERROR(ROUND((SUM(E10:G10)-MIN(E10:G10))/2,1),"")</f>
        <v/>
      </c>
      <c r="I10" s="16" t="n"/>
      <c r="J10" s="16" t="inlineStr">
        <is>
          <t>Y</t>
        </is>
      </c>
      <c r="K10" s="16" t="n"/>
      <c r="L10" s="16" t="n"/>
      <c r="M10" s="16" t="n"/>
      <c r="N10" s="16" t="n"/>
    </row>
    <row r="11" ht="22" customHeight="1">
      <c r="B11" s="8" t="n">
        <v>6</v>
      </c>
      <c r="C11" s="9" t="n"/>
      <c r="D11" s="10" t="n"/>
      <c r="E11" s="10" t="n"/>
      <c r="F11" s="10" t="n"/>
      <c r="G11" s="10" t="n"/>
      <c r="H11" s="37">
        <f>IFERROR(ROUND((SUM(E11:G11)-MIN(E11:G11))/2,1),"")</f>
        <v/>
      </c>
      <c r="I11" s="10" t="n"/>
      <c r="J11" s="10" t="inlineStr">
        <is>
          <t>Y</t>
        </is>
      </c>
      <c r="K11" s="10" t="n"/>
      <c r="L11" s="10" t="n"/>
      <c r="M11" s="10" t="n"/>
      <c r="N11" s="10" t="n"/>
    </row>
    <row r="12" ht="22" customHeight="1">
      <c r="B12" s="14" t="n">
        <v>7</v>
      </c>
      <c r="C12" s="15" t="n"/>
      <c r="D12" s="16" t="n"/>
      <c r="E12" s="16" t="n"/>
      <c r="F12" s="16" t="n"/>
      <c r="G12" s="16" t="n"/>
      <c r="H12" s="43">
        <f>IFERROR(ROUND((SUM(E12:G12)-MIN(E12:G12))/2,1),"")</f>
        <v/>
      </c>
      <c r="I12" s="16" t="n"/>
      <c r="J12" s="16" t="inlineStr">
        <is>
          <t>Y</t>
        </is>
      </c>
      <c r="K12" s="16" t="n"/>
      <c r="L12" s="16" t="n"/>
      <c r="M12" s="16" t="n"/>
      <c r="N12" s="16" t="n"/>
    </row>
    <row r="13" ht="22" customHeight="1">
      <c r="B13" s="8" t="n">
        <v>8</v>
      </c>
      <c r="C13" s="9" t="n"/>
      <c r="D13" s="10" t="n"/>
      <c r="E13" s="10" t="n"/>
      <c r="F13" s="10" t="n"/>
      <c r="G13" s="10" t="n"/>
      <c r="H13" s="37">
        <f>IFERROR(ROUND((SUM(E13:G13)-MIN(E13:G13))/2,1),"")</f>
        <v/>
      </c>
      <c r="I13" s="10" t="n"/>
      <c r="J13" s="10" t="inlineStr">
        <is>
          <t>Y</t>
        </is>
      </c>
      <c r="K13" s="10" t="n"/>
      <c r="L13" s="10" t="n"/>
      <c r="M13" s="10" t="n"/>
      <c r="N13" s="10" t="n"/>
    </row>
    <row r="14" ht="22" customHeight="1">
      <c r="B14" s="14" t="n">
        <v>9</v>
      </c>
      <c r="C14" s="15" t="n"/>
      <c r="D14" s="16" t="n"/>
      <c r="E14" s="16" t="n"/>
      <c r="F14" s="16" t="n"/>
      <c r="G14" s="16" t="n"/>
      <c r="H14" s="43">
        <f>IFERROR(ROUND((SUM(E14:G14)-MIN(E14:G14))/2,1),"")</f>
        <v/>
      </c>
      <c r="I14" s="16" t="n"/>
      <c r="J14" s="16" t="inlineStr">
        <is>
          <t>Y</t>
        </is>
      </c>
      <c r="K14" s="16" t="n"/>
      <c r="L14" s="16" t="n"/>
      <c r="M14" s="16" t="n"/>
      <c r="N14" s="16" t="n"/>
    </row>
    <row r="15" ht="22" customHeight="1">
      <c r="B15" s="8" t="n">
        <v>10</v>
      </c>
      <c r="C15" s="9" t="n"/>
      <c r="D15" s="10" t="n"/>
      <c r="E15" s="10" t="n"/>
      <c r="F15" s="10" t="n"/>
      <c r="G15" s="10" t="n"/>
      <c r="H15" s="37">
        <f>IFERROR(ROUND((SUM(E15:G15)-MIN(E15:G15))/2,1),"")</f>
        <v/>
      </c>
      <c r="I15" s="10" t="n"/>
      <c r="J15" s="10" t="inlineStr">
        <is>
          <t>Y</t>
        </is>
      </c>
      <c r="K15" s="10" t="n"/>
      <c r="L15" s="10" t="n"/>
      <c r="M15" s="10" t="n"/>
      <c r="N15" s="10" t="n"/>
    </row>
    <row r="16" ht="22" customHeight="1">
      <c r="B16" s="14" t="n">
        <v>11</v>
      </c>
      <c r="C16" s="15" t="n"/>
      <c r="D16" s="16" t="n"/>
      <c r="E16" s="16" t="n"/>
      <c r="F16" s="16" t="n"/>
      <c r="G16" s="16" t="n"/>
      <c r="H16" s="43">
        <f>IFERROR(ROUND((SUM(E16:G16)-MIN(E16:G16))/2,1),"")</f>
        <v/>
      </c>
      <c r="I16" s="16" t="n"/>
      <c r="J16" s="16" t="inlineStr">
        <is>
          <t>Y</t>
        </is>
      </c>
      <c r="K16" s="16" t="n"/>
      <c r="L16" s="16" t="n"/>
      <c r="M16" s="16" t="n"/>
      <c r="N16" s="16" t="n"/>
    </row>
    <row r="17" ht="22" customHeight="1">
      <c r="B17" s="8" t="n">
        <v>12</v>
      </c>
      <c r="C17" s="9" t="n"/>
      <c r="D17" s="10" t="n"/>
      <c r="E17" s="10" t="n"/>
      <c r="F17" s="10" t="n"/>
      <c r="G17" s="10" t="n"/>
      <c r="H17" s="37">
        <f>IFERROR(ROUND((SUM(E17:G17)-MIN(E17:G17))/2,1),"")</f>
        <v/>
      </c>
      <c r="I17" s="10" t="n"/>
      <c r="J17" s="10" t="inlineStr">
        <is>
          <t>Y</t>
        </is>
      </c>
      <c r="K17" s="10" t="n"/>
      <c r="L17" s="10" t="n"/>
      <c r="M17" s="10" t="n"/>
      <c r="N17" s="10" t="n"/>
    </row>
    <row r="18" ht="22" customHeight="1">
      <c r="B18" s="14" t="n">
        <v>13</v>
      </c>
      <c r="C18" s="15" t="n"/>
      <c r="D18" s="16" t="n"/>
      <c r="E18" s="16" t="n"/>
      <c r="F18" s="16" t="n"/>
      <c r="G18" s="16" t="n"/>
      <c r="H18" s="43">
        <f>IFERROR(ROUND((SUM(E18:G18)-MIN(E18:G18))/2,1),"")</f>
        <v/>
      </c>
      <c r="I18" s="16" t="n"/>
      <c r="J18" s="16" t="inlineStr">
        <is>
          <t>Y</t>
        </is>
      </c>
      <c r="K18" s="16" t="n"/>
      <c r="L18" s="16" t="n"/>
      <c r="M18" s="16" t="n"/>
      <c r="N18" s="16" t="n"/>
    </row>
    <row r="19" ht="22" customHeight="1">
      <c r="B19" s="8" t="n">
        <v>14</v>
      </c>
      <c r="C19" s="9" t="n"/>
      <c r="D19" s="10" t="n"/>
      <c r="E19" s="10" t="n"/>
      <c r="F19" s="10" t="n"/>
      <c r="G19" s="10" t="n"/>
      <c r="H19" s="37">
        <f>IFERROR(ROUND((SUM(E19:G19)-MIN(E19:G19))/2,1),"")</f>
        <v/>
      </c>
      <c r="I19" s="10" t="n"/>
      <c r="J19" s="10" t="inlineStr">
        <is>
          <t>Y</t>
        </is>
      </c>
      <c r="K19" s="10" t="n"/>
      <c r="L19" s="10" t="n"/>
      <c r="M19" s="10" t="n"/>
      <c r="N19" s="10" t="n"/>
    </row>
    <row r="20" ht="22" customHeight="1">
      <c r="B20" s="14" t="n">
        <v>15</v>
      </c>
      <c r="C20" s="15" t="n"/>
      <c r="D20" s="16" t="n"/>
      <c r="E20" s="16" t="n"/>
      <c r="F20" s="16" t="n"/>
      <c r="G20" s="16" t="n"/>
      <c r="H20" s="43">
        <f>IFERROR(ROUND((SUM(E20:G20)-MIN(E20:G20))/2,1),"")</f>
        <v/>
      </c>
      <c r="I20" s="16" t="n"/>
      <c r="J20" s="16" t="inlineStr">
        <is>
          <t>Y</t>
        </is>
      </c>
      <c r="K20" s="16" t="n"/>
      <c r="L20" s="16" t="n"/>
      <c r="M20" s="16" t="n"/>
      <c r="N20" s="16" t="n"/>
    </row>
    <row r="21" ht="22" customHeight="1">
      <c r="B21" s="8" t="n">
        <v>16</v>
      </c>
      <c r="C21" s="9" t="n"/>
      <c r="D21" s="10" t="n"/>
      <c r="E21" s="10" t="n"/>
      <c r="F21" s="10" t="n"/>
      <c r="G21" s="10" t="n"/>
      <c r="H21" s="37">
        <f>IFERROR(ROUND((SUM(E21:G21)-MIN(E21:G21))/2,1),"")</f>
        <v/>
      </c>
      <c r="I21" s="10" t="n"/>
      <c r="J21" s="10" t="inlineStr">
        <is>
          <t>Y</t>
        </is>
      </c>
      <c r="K21" s="10" t="n"/>
      <c r="L21" s="10" t="n"/>
      <c r="M21" s="10" t="n"/>
      <c r="N21" s="10" t="n"/>
    </row>
    <row r="22" ht="22" customHeight="1">
      <c r="B22" s="14" t="n">
        <v>17</v>
      </c>
      <c r="C22" s="15" t="n"/>
      <c r="D22" s="16" t="n"/>
      <c r="E22" s="16" t="n"/>
      <c r="F22" s="16" t="n"/>
      <c r="G22" s="16" t="n"/>
      <c r="H22" s="43">
        <f>IFERROR(ROUND((SUM(E22:G22)-MIN(E22:G22))/2,1),"")</f>
        <v/>
      </c>
      <c r="I22" s="16" t="n"/>
      <c r="J22" s="16" t="inlineStr">
        <is>
          <t>Y</t>
        </is>
      </c>
      <c r="K22" s="16" t="n"/>
      <c r="L22" s="16" t="n"/>
      <c r="M22" s="16" t="n"/>
      <c r="N22" s="16" t="n"/>
    </row>
    <row r="23" ht="22" customHeight="1">
      <c r="B23" s="8" t="n">
        <v>18</v>
      </c>
      <c r="C23" s="9" t="n"/>
      <c r="D23" s="10" t="n"/>
      <c r="E23" s="10" t="n"/>
      <c r="F23" s="10" t="n"/>
      <c r="G23" s="10" t="n"/>
      <c r="H23" s="37">
        <f>IFERROR(ROUND((SUM(E23:G23)-MIN(E23:G23))/2,1),"")</f>
        <v/>
      </c>
      <c r="I23" s="10" t="n"/>
      <c r="J23" s="10" t="inlineStr">
        <is>
          <t>Y</t>
        </is>
      </c>
      <c r="K23" s="10" t="n"/>
      <c r="L23" s="10" t="n"/>
      <c r="M23" s="10" t="n"/>
      <c r="N23" s="10" t="n"/>
    </row>
    <row r="24" ht="22" customHeight="1">
      <c r="B24" s="14" t="n">
        <v>19</v>
      </c>
      <c r="C24" s="15" t="n"/>
      <c r="D24" s="16" t="n"/>
      <c r="E24" s="16" t="n"/>
      <c r="F24" s="16" t="n"/>
      <c r="G24" s="16" t="n"/>
      <c r="H24" s="43">
        <f>IFERROR(ROUND((SUM(E24:G24)-MIN(E24:G24))/2,1),"")</f>
        <v/>
      </c>
      <c r="I24" s="16" t="n"/>
      <c r="J24" s="16" t="inlineStr">
        <is>
          <t>Y</t>
        </is>
      </c>
      <c r="K24" s="16" t="n"/>
      <c r="L24" s="16" t="n"/>
      <c r="M24" s="16" t="n"/>
      <c r="N24" s="16" t="n"/>
    </row>
    <row r="25" ht="22" customHeight="1">
      <c r="B25" s="8" t="n">
        <v>20</v>
      </c>
      <c r="C25" s="9" t="n"/>
      <c r="D25" s="10" t="n"/>
      <c r="E25" s="10" t="n"/>
      <c r="F25" s="10" t="n"/>
      <c r="G25" s="10" t="n"/>
      <c r="H25" s="37">
        <f>IFERROR(ROUND((SUM(E25:G25)-MIN(E25:G25))/2,1),"")</f>
        <v/>
      </c>
      <c r="I25" s="10" t="n"/>
      <c r="J25" s="10" t="inlineStr">
        <is>
          <t>Y</t>
        </is>
      </c>
      <c r="K25" s="10" t="n"/>
      <c r="L25" s="10" t="n"/>
      <c r="M25" s="10" t="n"/>
      <c r="N25" s="10" t="n"/>
    </row>
    <row r="26" ht="22" customHeight="1">
      <c r="B26" s="14" t="n">
        <v>21</v>
      </c>
      <c r="C26" s="15" t="n"/>
      <c r="D26" s="16" t="n"/>
      <c r="E26" s="16" t="n"/>
      <c r="F26" s="16" t="n"/>
      <c r="G26" s="16" t="n"/>
      <c r="H26" s="43">
        <f>IFERROR(ROUND((SUM(E26:G26)-MIN(E26:G26))/2,1),"")</f>
        <v/>
      </c>
      <c r="I26" s="16" t="n"/>
      <c r="J26" s="16" t="inlineStr">
        <is>
          <t>Y</t>
        </is>
      </c>
      <c r="K26" s="16" t="n"/>
      <c r="L26" s="16" t="n"/>
      <c r="M26" s="16" t="n"/>
      <c r="N26" s="16" t="n"/>
    </row>
    <row r="27" ht="22" customHeight="1">
      <c r="B27" s="8" t="n">
        <v>22</v>
      </c>
      <c r="C27" s="9" t="n"/>
      <c r="D27" s="10" t="n"/>
      <c r="E27" s="10" t="n"/>
      <c r="F27" s="10" t="n"/>
      <c r="G27" s="10" t="n"/>
      <c r="H27" s="37">
        <f>IFERROR(ROUND((SUM(E27:G27)-MIN(E27:G27))/2,1),"")</f>
        <v/>
      </c>
      <c r="I27" s="10" t="n"/>
      <c r="J27" s="10" t="inlineStr">
        <is>
          <t>Y</t>
        </is>
      </c>
      <c r="K27" s="10" t="n"/>
      <c r="L27" s="10" t="n"/>
      <c r="M27" s="10" t="n"/>
      <c r="N27" s="10" t="n"/>
    </row>
    <row r="28" ht="22" customHeight="1">
      <c r="B28" s="14" t="n">
        <v>23</v>
      </c>
      <c r="C28" s="15" t="n"/>
      <c r="D28" s="16" t="n"/>
      <c r="E28" s="16" t="n"/>
      <c r="F28" s="16" t="n"/>
      <c r="G28" s="16" t="n"/>
      <c r="H28" s="43">
        <f>IFERROR(ROUND((SUM(E28:G28)-MIN(E28:G28))/2,1),"")</f>
        <v/>
      </c>
      <c r="I28" s="16" t="n"/>
      <c r="J28" s="16" t="inlineStr">
        <is>
          <t>Y</t>
        </is>
      </c>
      <c r="K28" s="16" t="n"/>
      <c r="L28" s="16" t="n"/>
      <c r="M28" s="16" t="n"/>
      <c r="N28" s="16" t="n"/>
    </row>
    <row r="29" ht="22" customHeight="1">
      <c r="B29" s="8" t="n">
        <v>24</v>
      </c>
      <c r="C29" s="9" t="n"/>
      <c r="D29" s="10" t="n"/>
      <c r="E29" s="10" t="n"/>
      <c r="F29" s="10" t="n"/>
      <c r="G29" s="10" t="n"/>
      <c r="H29" s="37">
        <f>IFERROR(ROUND((SUM(E29:G29)-MIN(E29:G29))/2,1),"")</f>
        <v/>
      </c>
      <c r="I29" s="10" t="n"/>
      <c r="J29" s="10" t="inlineStr">
        <is>
          <t>Y</t>
        </is>
      </c>
      <c r="K29" s="10" t="n"/>
      <c r="L29" s="10" t="n"/>
      <c r="M29" s="10" t="n"/>
      <c r="N29" s="10" t="n"/>
    </row>
    <row r="30" ht="22" customHeight="1">
      <c r="B30" s="14" t="n">
        <v>25</v>
      </c>
      <c r="C30" s="15" t="n"/>
      <c r="D30" s="16" t="n"/>
      <c r="E30" s="16" t="n"/>
      <c r="F30" s="16" t="n"/>
      <c r="G30" s="16" t="n"/>
      <c r="H30" s="43">
        <f>IFERROR(ROUND((SUM(E30:G30)-MIN(E30:G30))/2,1),"")</f>
        <v/>
      </c>
      <c r="I30" s="16" t="n"/>
      <c r="J30" s="16" t="inlineStr">
        <is>
          <t>Y</t>
        </is>
      </c>
      <c r="K30" s="16" t="n"/>
      <c r="L30" s="16" t="n"/>
      <c r="M30" s="16" t="n"/>
      <c r="N30" s="16" t="n"/>
    </row>
    <row r="31" ht="22" customHeight="1">
      <c r="B31" s="8" t="n">
        <v>26</v>
      </c>
      <c r="C31" s="9" t="n"/>
      <c r="D31" s="10" t="n"/>
      <c r="E31" s="10" t="n"/>
      <c r="F31" s="10" t="n"/>
      <c r="G31" s="10" t="n"/>
      <c r="H31" s="37">
        <f>IFERROR(ROUND((SUM(E31:G31)-MIN(E31:G31))/2,1),"")</f>
        <v/>
      </c>
      <c r="I31" s="10" t="n"/>
      <c r="J31" s="10" t="inlineStr">
        <is>
          <t>Y</t>
        </is>
      </c>
      <c r="K31" s="10" t="n"/>
      <c r="L31" s="10" t="n"/>
      <c r="M31" s="10" t="n"/>
      <c r="N31" s="10" t="n"/>
    </row>
    <row r="32" ht="22" customHeight="1">
      <c r="B32" s="14" t="n">
        <v>27</v>
      </c>
      <c r="C32" s="15" t="n"/>
      <c r="D32" s="16" t="n"/>
      <c r="E32" s="16" t="n"/>
      <c r="F32" s="16" t="n"/>
      <c r="G32" s="16" t="n"/>
      <c r="H32" s="43">
        <f>IFERROR(ROUND((SUM(E32:G32)-MIN(E32:G32))/2,1),"")</f>
        <v/>
      </c>
      <c r="I32" s="16" t="n"/>
      <c r="J32" s="16" t="inlineStr">
        <is>
          <t>Y</t>
        </is>
      </c>
      <c r="K32" s="16" t="n"/>
      <c r="L32" s="16" t="n"/>
      <c r="M32" s="16" t="n"/>
      <c r="N32" s="16" t="n"/>
    </row>
    <row r="33" ht="22" customHeight="1">
      <c r="B33" s="8" t="n">
        <v>28</v>
      </c>
      <c r="C33" s="9" t="n"/>
      <c r="D33" s="10" t="n"/>
      <c r="E33" s="10" t="n"/>
      <c r="F33" s="10" t="n"/>
      <c r="G33" s="10" t="n"/>
      <c r="H33" s="37">
        <f>IFERROR(ROUND((SUM(E33:G33)-MIN(E33:G33))/2,1),"")</f>
        <v/>
      </c>
      <c r="I33" s="10" t="n"/>
      <c r="J33" s="10" t="inlineStr">
        <is>
          <t>Y</t>
        </is>
      </c>
      <c r="K33" s="10" t="n"/>
      <c r="L33" s="10" t="n"/>
      <c r="M33" s="10" t="n"/>
      <c r="N33" s="10" t="n"/>
    </row>
    <row r="34" ht="22" customHeight="1">
      <c r="B34" s="14" t="n">
        <v>29</v>
      </c>
      <c r="C34" s="15" t="n"/>
      <c r="D34" s="16" t="n"/>
      <c r="E34" s="16" t="n"/>
      <c r="F34" s="16" t="n"/>
      <c r="G34" s="16" t="n"/>
      <c r="H34" s="43">
        <f>IFERROR(ROUND((SUM(E34:G34)-MIN(E34:G34))/2,1),"")</f>
        <v/>
      </c>
      <c r="I34" s="16" t="n"/>
      <c r="J34" s="16" t="inlineStr">
        <is>
          <t>Y</t>
        </is>
      </c>
      <c r="K34" s="16" t="n"/>
      <c r="L34" s="16" t="n"/>
      <c r="M34" s="16" t="n"/>
      <c r="N34" s="16" t="n"/>
    </row>
    <row r="35" ht="22" customHeight="1">
      <c r="B35" s="8" t="n">
        <v>30</v>
      </c>
      <c r="C35" s="9" t="n"/>
      <c r="D35" s="10" t="n"/>
      <c r="E35" s="10" t="n"/>
      <c r="F35" s="10" t="n"/>
      <c r="G35" s="10" t="n"/>
      <c r="H35" s="37">
        <f>IFERROR(ROUND((SUM(E35:G35)-MIN(E35:G35))/2,1),"")</f>
        <v/>
      </c>
      <c r="I35" s="10" t="n"/>
      <c r="J35" s="10" t="inlineStr">
        <is>
          <t>Y</t>
        </is>
      </c>
      <c r="K35" s="10" t="n"/>
      <c r="L35" s="10" t="n"/>
      <c r="M35" s="10" t="n"/>
      <c r="N35" s="10" t="n"/>
    </row>
    <row r="36" ht="22" customHeight="1"/>
    <row r="37" ht="24" customHeight="1">
      <c r="B37" s="34" t="inlineStr">
        <is>
          <t>MARKS ENTRY AUDIT</t>
        </is>
      </c>
    </row>
    <row r="38" ht="22" customHeight="1">
      <c r="B38" s="35" t="inlineStr">
        <is>
          <t>Total Students</t>
        </is>
      </c>
      <c r="F38" s="36">
        <f>COUNTA(C6:C35)</f>
        <v/>
      </c>
    </row>
    <row r="39" ht="22" customHeight="1">
      <c r="B39" s="25" t="inlineStr">
        <is>
          <t>Marks Uploaded to ERP</t>
        </is>
      </c>
      <c r="F39" s="37">
        <f>COUNTIF(N6:N35,"Y")</f>
        <v/>
      </c>
    </row>
    <row r="40" ht="22" customHeight="1">
      <c r="B40" s="35" t="inlineStr">
        <is>
          <t>Marks Pending Upload</t>
        </is>
      </c>
      <c r="F40" s="36">
        <f>IFERROR(C39-C40,"")</f>
        <v/>
      </c>
    </row>
    <row r="41" ht="22" customHeight="1">
      <c r="B41" s="25" t="inlineStr">
        <is>
          <t>Faculty Verified</t>
        </is>
      </c>
      <c r="F41" s="37">
        <f>COUNTIF(L6:L35,"Y")</f>
        <v/>
      </c>
    </row>
    <row r="42">
      <c r="B42" s="35" t="inlineStr">
        <is>
          <t>HoD Verified</t>
        </is>
      </c>
      <c r="F42" s="36">
        <f>COUNTIF(M6:M35,"Y")</f>
        <v/>
      </c>
    </row>
    <row r="43">
      <c r="B43" s="25" t="inlineStr">
        <is>
          <t>Class Average (Best 2 CIE)</t>
        </is>
      </c>
      <c r="F43" s="37">
        <f>IFERROR(ROUND(AVERAGE(H6:H35),1),"")</f>
        <v/>
      </c>
    </row>
  </sheetData>
  <mergeCells count="16">
    <mergeCell ref="F38:N38"/>
    <mergeCell ref="B37:N37"/>
    <mergeCell ref="B40:E40"/>
    <mergeCell ref="B41:E41"/>
    <mergeCell ref="F43:N43"/>
    <mergeCell ref="B43:E43"/>
    <mergeCell ref="B4:N4"/>
    <mergeCell ref="B42:E42"/>
    <mergeCell ref="B38:E38"/>
    <mergeCell ref="F42:N42"/>
    <mergeCell ref="B39:E39"/>
    <mergeCell ref="F40:N40"/>
    <mergeCell ref="F41:N41"/>
    <mergeCell ref="B3:N3"/>
    <mergeCell ref="B2:N2"/>
    <mergeCell ref="F39:N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EC-10: CIE MARKS DISPLAY &amp; GRIEVANCE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Course: _______  CIE: I / II / III  Marks Displayed on: _______  Grievance Window: _______ to _______  Faculty: ___________________</t>
        </is>
      </c>
    </row>
    <row r="5" ht="24" customHeight="1">
      <c r="B5" s="14" t="inlineStr">
        <is>
          <t>CIE/GRV/001</t>
        </is>
      </c>
      <c r="C5" s="15" t="inlineStr">
        <is>
          <t>Student Name</t>
        </is>
      </c>
      <c r="D5" s="16" t="inlineStr">
        <is>
          <t>Roll No.</t>
        </is>
      </c>
      <c r="E5" s="16" t="inlineStr">
        <is>
          <t>Marks
Awarded</t>
        </is>
      </c>
      <c r="F5" s="16" t="inlineStr">
        <is>
          <t>Marks
Claimed</t>
        </is>
      </c>
      <c r="G5" s="13" t="inlineStr">
        <is>
          <t>Nature of
Grievance</t>
        </is>
      </c>
      <c r="H5" s="16" t="inlineStr">
        <is>
          <t>Date
Submitted</t>
        </is>
      </c>
      <c r="I5" s="16" t="inlineStr">
        <is>
          <t>Faculty
Decision</t>
        </is>
      </c>
      <c r="J5" s="16" t="inlineStr">
        <is>
          <t>Revised
Marks</t>
        </is>
      </c>
      <c r="K5" s="16" t="inlineStr">
        <is>
          <t>Status</t>
        </is>
      </c>
    </row>
    <row r="6" ht="24" customHeight="1">
      <c r="B6" s="8" t="inlineStr">
        <is>
          <t>CIE/GRV/002</t>
        </is>
      </c>
      <c r="C6" s="9" t="n"/>
      <c r="D6" s="10" t="n"/>
      <c r="E6" s="10" t="n"/>
      <c r="F6" s="10" t="n"/>
      <c r="G6" s="45" t="n"/>
      <c r="H6" s="10" t="n"/>
      <c r="I6" s="10" t="n"/>
      <c r="J6" s="10" t="n"/>
      <c r="K6" s="10" t="n"/>
    </row>
    <row r="7" ht="24" customHeight="1">
      <c r="B7" s="14" t="inlineStr">
        <is>
          <t>CIE/GRV/003</t>
        </is>
      </c>
      <c r="C7" s="15" t="n"/>
      <c r="D7" s="16" t="n"/>
      <c r="E7" s="16" t="n"/>
      <c r="F7" s="16" t="n"/>
      <c r="G7" s="45" t="n"/>
      <c r="H7" s="16" t="n"/>
      <c r="I7" s="16" t="n"/>
      <c r="J7" s="16" t="n"/>
      <c r="K7" s="16" t="n"/>
    </row>
    <row r="8" ht="24" customHeight="1">
      <c r="B8" s="8" t="inlineStr">
        <is>
          <t>CIE/GRV/004</t>
        </is>
      </c>
      <c r="C8" s="9" t="n"/>
      <c r="D8" s="10" t="n"/>
      <c r="E8" s="10" t="n"/>
      <c r="F8" s="10" t="n"/>
      <c r="G8" s="45" t="n"/>
      <c r="H8" s="10" t="n"/>
      <c r="I8" s="10" t="n"/>
      <c r="J8" s="10" t="n"/>
      <c r="K8" s="10" t="n"/>
    </row>
    <row r="9" ht="24" customHeight="1">
      <c r="B9" s="14" t="inlineStr">
        <is>
          <t>CIE/GRV/005</t>
        </is>
      </c>
      <c r="C9" s="15" t="n"/>
      <c r="D9" s="16" t="n"/>
      <c r="E9" s="16" t="n"/>
      <c r="F9" s="16" t="n"/>
      <c r="G9" s="45" t="n"/>
      <c r="H9" s="16" t="n"/>
      <c r="I9" s="16" t="n"/>
      <c r="J9" s="16" t="n"/>
      <c r="K9" s="16" t="n"/>
    </row>
    <row r="10" ht="24" customHeight="1">
      <c r="B10" s="8" t="inlineStr">
        <is>
          <t>CIE/GRV/006</t>
        </is>
      </c>
      <c r="C10" s="9" t="n"/>
      <c r="D10" s="10" t="n"/>
      <c r="E10" s="10" t="n"/>
      <c r="F10" s="10" t="n"/>
      <c r="G10" s="45" t="n"/>
      <c r="H10" s="10" t="n"/>
      <c r="I10" s="10" t="n"/>
      <c r="J10" s="10" t="n"/>
      <c r="K10" s="10" t="n"/>
    </row>
    <row r="11" ht="24" customHeight="1">
      <c r="B11" s="14" t="inlineStr">
        <is>
          <t>CIE/GRV/007</t>
        </is>
      </c>
      <c r="C11" s="15" t="n"/>
      <c r="D11" s="16" t="n"/>
      <c r="E11" s="16" t="n"/>
      <c r="F11" s="16" t="n"/>
      <c r="G11" s="45" t="n"/>
      <c r="H11" s="16" t="n"/>
      <c r="I11" s="16" t="n"/>
      <c r="J11" s="16" t="n"/>
      <c r="K11" s="16" t="n"/>
    </row>
    <row r="12" ht="24" customHeight="1">
      <c r="B12" s="8" t="inlineStr">
        <is>
          <t>CIE/GRV/008</t>
        </is>
      </c>
      <c r="C12" s="9" t="n"/>
      <c r="D12" s="10" t="n"/>
      <c r="E12" s="10" t="n"/>
      <c r="F12" s="10" t="n"/>
      <c r="G12" s="45" t="n"/>
      <c r="H12" s="10" t="n"/>
      <c r="I12" s="10" t="n"/>
      <c r="J12" s="10" t="n"/>
      <c r="K12" s="10" t="n"/>
    </row>
    <row r="13" ht="24" customHeight="1">
      <c r="B13" s="14" t="inlineStr">
        <is>
          <t>CIE/GRV/009</t>
        </is>
      </c>
      <c r="C13" s="15" t="n"/>
      <c r="D13" s="16" t="n"/>
      <c r="E13" s="16" t="n"/>
      <c r="F13" s="16" t="n"/>
      <c r="G13" s="45" t="n"/>
      <c r="H13" s="16" t="n"/>
      <c r="I13" s="16" t="n"/>
      <c r="J13" s="16" t="n"/>
      <c r="K13" s="16" t="n"/>
    </row>
    <row r="14" ht="24" customHeight="1">
      <c r="B14" s="8" t="inlineStr">
        <is>
          <t>CIE/GRV/010</t>
        </is>
      </c>
      <c r="C14" s="9" t="n"/>
      <c r="D14" s="10" t="n"/>
      <c r="E14" s="10" t="n"/>
      <c r="F14" s="10" t="n"/>
      <c r="G14" s="45" t="n"/>
      <c r="H14" s="10" t="n"/>
      <c r="I14" s="10" t="n"/>
      <c r="J14" s="10" t="n"/>
      <c r="K14" s="10" t="n"/>
    </row>
    <row r="15" ht="24" customHeight="1">
      <c r="B15" s="14" t="inlineStr">
        <is>
          <t>CIE/GRV/011</t>
        </is>
      </c>
      <c r="C15" s="15" t="n"/>
      <c r="D15" s="16" t="n"/>
      <c r="E15" s="16" t="n"/>
      <c r="F15" s="16" t="n"/>
      <c r="G15" s="45" t="n"/>
      <c r="H15" s="16" t="n"/>
      <c r="I15" s="16" t="n"/>
      <c r="J15" s="16" t="n"/>
      <c r="K15" s="16" t="n"/>
    </row>
    <row r="16" ht="24" customHeight="1">
      <c r="B16" s="8" t="inlineStr">
        <is>
          <t>CIE/GRV/012</t>
        </is>
      </c>
      <c r="C16" s="9" t="n"/>
      <c r="D16" s="10" t="n"/>
      <c r="E16" s="10" t="n"/>
      <c r="F16" s="10" t="n"/>
      <c r="G16" s="45" t="n"/>
      <c r="H16" s="10" t="n"/>
      <c r="I16" s="10" t="n"/>
      <c r="J16" s="10" t="n"/>
      <c r="K16" s="10" t="n"/>
    </row>
    <row r="17" ht="24" customHeight="1">
      <c r="B17" s="14" t="inlineStr">
        <is>
          <t>CIE/GRV/013</t>
        </is>
      </c>
      <c r="C17" s="15" t="n"/>
      <c r="D17" s="16" t="n"/>
      <c r="E17" s="16" t="n"/>
      <c r="F17" s="16" t="n"/>
      <c r="G17" s="45" t="n"/>
      <c r="H17" s="16" t="n"/>
      <c r="I17" s="16" t="n"/>
      <c r="J17" s="16" t="n"/>
      <c r="K17" s="16" t="n"/>
    </row>
    <row r="18" ht="24" customHeight="1">
      <c r="B18" s="8" t="inlineStr">
        <is>
          <t>CIE/GRV/014</t>
        </is>
      </c>
      <c r="C18" s="9" t="n"/>
      <c r="D18" s="10" t="n"/>
      <c r="E18" s="10" t="n"/>
      <c r="F18" s="10" t="n"/>
      <c r="G18" s="45" t="n"/>
      <c r="H18" s="10" t="n"/>
      <c r="I18" s="10" t="n"/>
      <c r="J18" s="10" t="n"/>
      <c r="K18" s="10" t="n"/>
    </row>
    <row r="19" ht="24" customHeight="1">
      <c r="B19" s="14" t="inlineStr">
        <is>
          <t>CIE/GRV/015</t>
        </is>
      </c>
      <c r="C19" s="15" t="n"/>
      <c r="D19" s="16" t="n"/>
      <c r="E19" s="16" t="n"/>
      <c r="F19" s="16" t="n"/>
      <c r="G19" s="45" t="n"/>
      <c r="H19" s="16" t="n"/>
      <c r="I19" s="16" t="n"/>
      <c r="J19" s="16" t="n"/>
      <c r="K19" s="16" t="n"/>
    </row>
    <row r="20" ht="24" customHeight="1">
      <c r="B20" s="8" t="inlineStr">
        <is>
          <t>CIE/GRV/016</t>
        </is>
      </c>
      <c r="C20" s="9" t="n"/>
      <c r="D20" s="10" t="n"/>
      <c r="E20" s="10" t="n"/>
      <c r="F20" s="10" t="n"/>
      <c r="G20" s="45" t="n"/>
      <c r="H20" s="10" t="n"/>
      <c r="I20" s="10" t="n"/>
      <c r="J20" s="10" t="n"/>
      <c r="K20" s="10" t="n"/>
    </row>
    <row r="21" ht="24" customHeight="1">
      <c r="B21" s="14" t="inlineStr">
        <is>
          <t>CIE/GRV/017</t>
        </is>
      </c>
      <c r="C21" s="15" t="n"/>
      <c r="D21" s="16" t="n"/>
      <c r="E21" s="16" t="n"/>
      <c r="F21" s="16" t="n"/>
      <c r="G21" s="45" t="n"/>
      <c r="H21" s="16" t="n"/>
      <c r="I21" s="16" t="n"/>
      <c r="J21" s="16" t="n"/>
      <c r="K21" s="16" t="n"/>
    </row>
    <row r="22" ht="24" customHeight="1">
      <c r="B22" s="8" t="inlineStr">
        <is>
          <t>CIE/GRV/018</t>
        </is>
      </c>
      <c r="C22" s="9" t="n"/>
      <c r="D22" s="10" t="n"/>
      <c r="E22" s="10" t="n"/>
      <c r="F22" s="10" t="n"/>
      <c r="G22" s="45" t="n"/>
      <c r="H22" s="10" t="n"/>
      <c r="I22" s="10" t="n"/>
      <c r="J22" s="10" t="n"/>
      <c r="K22" s="10" t="n"/>
    </row>
    <row r="23" ht="24" customHeight="1">
      <c r="B23" s="14" t="inlineStr">
        <is>
          <t>CIE/GRV/019</t>
        </is>
      </c>
      <c r="C23" s="15" t="n"/>
      <c r="D23" s="16" t="n"/>
      <c r="E23" s="16" t="n"/>
      <c r="F23" s="16" t="n"/>
      <c r="G23" s="45" t="n"/>
      <c r="H23" s="16" t="n"/>
      <c r="I23" s="16" t="n"/>
      <c r="J23" s="16" t="n"/>
      <c r="K23" s="16" t="n"/>
    </row>
    <row r="24" ht="24" customHeight="1">
      <c r="B24" s="8" t="inlineStr">
        <is>
          <t>CIE/GRV/020</t>
        </is>
      </c>
      <c r="C24" s="9" t="n"/>
      <c r="D24" s="10" t="n"/>
      <c r="E24" s="10" t="n"/>
      <c r="F24" s="10" t="n"/>
      <c r="G24" s="45" t="n"/>
      <c r="H24" s="10" t="n"/>
      <c r="I24" s="10" t="n"/>
      <c r="J24" s="10" t="n"/>
      <c r="K24" s="10" t="n"/>
    </row>
    <row r="25" ht="24" customHeight="1"/>
    <row r="26" ht="24" customHeight="1">
      <c r="B26" s="34" t="inlineStr">
        <is>
          <t>GRIEVANCE SUMMARY</t>
        </is>
      </c>
    </row>
    <row r="27" ht="24" customHeight="1">
      <c r="B27" s="46" t="inlineStr">
        <is>
          <t>Total Grievances Received</t>
        </is>
      </c>
      <c r="F27" s="36">
        <f>COUNTA(B5:B24)</f>
        <v/>
      </c>
    </row>
    <row r="28" ht="24" customHeight="1">
      <c r="B28" s="25" t="inlineStr">
        <is>
          <t>Accepted — Marks Revised</t>
        </is>
      </c>
      <c r="F28" s="37">
        <f>COUNTIF(K5:K24,"Accepted")</f>
        <v/>
      </c>
    </row>
    <row r="29" ht="24" customHeight="1">
      <c r="B29" s="46" t="inlineStr">
        <is>
          <t>Rejected — Decision Upheld</t>
        </is>
      </c>
      <c r="F29" s="36">
        <f>COUNTIF(K5:K24,"Rejected")</f>
        <v/>
      </c>
    </row>
    <row r="30" ht="24" customHeight="1">
      <c r="B30" s="25" t="inlineStr">
        <is>
          <t>Pending</t>
        </is>
      </c>
      <c r="F30" s="37">
        <f>COUNTIF(K5:K24,"Pending")</f>
        <v/>
      </c>
    </row>
    <row r="31" ht="24" customHeight="1">
      <c r="B31" s="46" t="inlineStr">
        <is>
          <t>Resolution Rate (%)</t>
        </is>
      </c>
      <c r="F31" s="36">
        <f>IFERROR(ROUND((C28+C29)/C27*100,1),"")</f>
        <v/>
      </c>
    </row>
    <row r="32" ht="24" customHeight="1">
      <c r="B32" s="25" t="inlineStr">
        <is>
          <t>Avg Resolution Days</t>
        </is>
      </c>
      <c r="F32" s="37" t="inlineStr"/>
    </row>
    <row r="33" ht="24" customHeight="1"/>
  </sheetData>
  <mergeCells count="16">
    <mergeCell ref="B31:E31"/>
    <mergeCell ref="B27:E27"/>
    <mergeCell ref="B4:K4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EC-11: DETAINMENT &amp; CONDONATION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Semester: _______  A.Y.: _______  Detainment Cut-off Date: _______  CoE: ___________________</t>
        </is>
      </c>
    </row>
    <row r="5" ht="22" customHeight="1">
      <c r="B5" s="47" t="n">
        <v>1</v>
      </c>
      <c r="C5" s="48" t="inlineStr"/>
      <c r="D5" s="49" t="inlineStr"/>
      <c r="E5" s="49" t="inlineStr"/>
      <c r="F5" s="49" t="inlineStr"/>
      <c r="G5" s="49" t="inlineStr"/>
      <c r="H5" s="49" t="inlineStr">
        <is>
          <t>Attendance &lt; 75% — No Condonation</t>
        </is>
      </c>
      <c r="I5" s="49" t="inlineStr">
        <is>
          <t>Y</t>
        </is>
      </c>
      <c r="J5" s="49" t="inlineStr">
        <is>
          <t>N</t>
        </is>
      </c>
      <c r="K5" s="49" t="inlineStr">
        <is>
          <t>Detained — No SEE</t>
        </is>
      </c>
    </row>
    <row r="6" ht="22" customHeight="1">
      <c r="B6" s="8" t="n">
        <v>2</v>
      </c>
      <c r="C6" s="9" t="inlineStr"/>
      <c r="D6" s="10" t="inlineStr"/>
      <c r="E6" s="10" t="inlineStr"/>
      <c r="F6" s="10" t="inlineStr"/>
      <c r="G6" s="10" t="inlineStr"/>
      <c r="H6" s="10" t="inlineStr">
        <is>
          <t>Attendance &lt; 65% — Below Condonation Limit</t>
        </is>
      </c>
      <c r="I6" s="10" t="inlineStr">
        <is>
          <t>Y</t>
        </is>
      </c>
      <c r="J6" s="10" t="inlineStr">
        <is>
          <t>N</t>
        </is>
      </c>
      <c r="K6" s="10" t="inlineStr">
        <is>
          <t>Condonation Granted — SEE Allowed</t>
        </is>
      </c>
    </row>
    <row r="7" ht="22" customHeight="1">
      <c r="B7" s="47" t="n">
        <v>3</v>
      </c>
      <c r="C7" s="48" t="inlineStr"/>
      <c r="D7" s="49" t="inlineStr"/>
      <c r="E7" s="49" t="inlineStr"/>
      <c r="F7" s="49" t="inlineStr"/>
      <c r="G7" s="49" t="inlineStr"/>
      <c r="H7" s="49" t="inlineStr">
        <is>
          <t>CIE Marks &lt; Minimum (&lt; 12/30)</t>
        </is>
      </c>
      <c r="I7" s="49" t="inlineStr">
        <is>
          <t>Y</t>
        </is>
      </c>
      <c r="J7" s="49" t="inlineStr">
        <is>
          <t>N</t>
        </is>
      </c>
      <c r="K7" s="49" t="inlineStr">
        <is>
          <t>Condonation Rejected — Detained</t>
        </is>
      </c>
    </row>
    <row r="8" ht="22" customHeight="1">
      <c r="B8" s="8" t="n">
        <v>4</v>
      </c>
      <c r="C8" s="9" t="inlineStr"/>
      <c r="D8" s="10" t="inlineStr"/>
      <c r="E8" s="10" t="inlineStr"/>
      <c r="F8" s="10" t="inlineStr"/>
      <c r="G8" s="10" t="inlineStr"/>
      <c r="H8" s="10" t="inlineStr">
        <is>
          <t>Both Attendance &amp; CIE Deficiency</t>
        </is>
      </c>
      <c r="I8" s="10" t="inlineStr">
        <is>
          <t>Y</t>
        </is>
      </c>
      <c r="J8" s="10" t="inlineStr">
        <is>
          <t>N</t>
        </is>
      </c>
      <c r="K8" s="10" t="inlineStr">
        <is>
          <t>Appeal Pending</t>
        </is>
      </c>
    </row>
    <row r="9" ht="22" customHeight="1">
      <c r="B9" s="47" t="n">
        <v>5</v>
      </c>
      <c r="C9" s="48" t="inlineStr"/>
      <c r="D9" s="49" t="inlineStr"/>
      <c r="E9" s="49" t="inlineStr"/>
      <c r="F9" s="49" t="inlineStr"/>
      <c r="G9" s="49" t="inlineStr"/>
      <c r="H9" s="49" t="inlineStr">
        <is>
          <t>Disciplinary Action</t>
        </is>
      </c>
      <c r="I9" s="49" t="inlineStr">
        <is>
          <t>Y</t>
        </is>
      </c>
      <c r="J9" s="49" t="inlineStr">
        <is>
          <t>N</t>
        </is>
      </c>
      <c r="K9" s="49" t="inlineStr">
        <is>
          <t>Cleared — Eligible for SEE</t>
        </is>
      </c>
    </row>
    <row r="10" ht="22" customHeight="1">
      <c r="B10" s="8" t="n">
        <v>6</v>
      </c>
      <c r="C10" s="9" t="inlineStr"/>
      <c r="D10" s="10" t="inlineStr"/>
      <c r="E10" s="10" t="inlineStr"/>
      <c r="F10" s="10" t="inlineStr"/>
      <c r="G10" s="10" t="inlineStr"/>
      <c r="H10" s="10" t="inlineStr">
        <is>
          <t>Dues Pending — Finance</t>
        </is>
      </c>
      <c r="I10" s="10" t="inlineStr">
        <is>
          <t>Y</t>
        </is>
      </c>
      <c r="J10" s="10" t="inlineStr">
        <is>
          <t>N</t>
        </is>
      </c>
      <c r="K10" s="10" t="inlineStr">
        <is>
          <t>Detained — No SEE</t>
        </is>
      </c>
    </row>
    <row r="11" ht="22" customHeight="1">
      <c r="B11" s="47" t="n">
        <v>7</v>
      </c>
      <c r="C11" s="48" t="inlineStr"/>
      <c r="D11" s="49" t="inlineStr"/>
      <c r="E11" s="49" t="inlineStr"/>
      <c r="F11" s="49" t="inlineStr"/>
      <c r="G11" s="49" t="inlineStr"/>
      <c r="H11" s="49" t="inlineStr">
        <is>
          <t>Attendance &lt; 75% — No Condonation</t>
        </is>
      </c>
      <c r="I11" s="49" t="inlineStr">
        <is>
          <t>Y</t>
        </is>
      </c>
      <c r="J11" s="49" t="inlineStr">
        <is>
          <t>N</t>
        </is>
      </c>
      <c r="K11" s="49" t="inlineStr">
        <is>
          <t>Condonation Granted — SEE Allowed</t>
        </is>
      </c>
    </row>
    <row r="12" ht="22" customHeight="1">
      <c r="B12" s="8" t="n">
        <v>8</v>
      </c>
      <c r="C12" s="9" t="inlineStr"/>
      <c r="D12" s="10" t="inlineStr"/>
      <c r="E12" s="10" t="inlineStr"/>
      <c r="F12" s="10" t="inlineStr"/>
      <c r="G12" s="10" t="inlineStr"/>
      <c r="H12" s="10" t="inlineStr">
        <is>
          <t>Attendance &lt; 65% — Below Condonation Limit</t>
        </is>
      </c>
      <c r="I12" s="10" t="inlineStr">
        <is>
          <t>Y</t>
        </is>
      </c>
      <c r="J12" s="10" t="inlineStr">
        <is>
          <t>N</t>
        </is>
      </c>
      <c r="K12" s="10" t="inlineStr">
        <is>
          <t>Condonation Rejected — Detained</t>
        </is>
      </c>
    </row>
    <row r="13" ht="22" customHeight="1">
      <c r="B13" s="47" t="n">
        <v>9</v>
      </c>
      <c r="C13" s="48" t="inlineStr"/>
      <c r="D13" s="49" t="inlineStr"/>
      <c r="E13" s="49" t="inlineStr"/>
      <c r="F13" s="49" t="inlineStr"/>
      <c r="G13" s="49" t="inlineStr"/>
      <c r="H13" s="49" t="inlineStr">
        <is>
          <t>CIE Marks &lt; Minimum (&lt; 12/30)</t>
        </is>
      </c>
      <c r="I13" s="49" t="inlineStr">
        <is>
          <t>Y</t>
        </is>
      </c>
      <c r="J13" s="49" t="inlineStr">
        <is>
          <t>N</t>
        </is>
      </c>
      <c r="K13" s="49" t="inlineStr">
        <is>
          <t>Appeal Pending</t>
        </is>
      </c>
    </row>
    <row r="14" ht="22" customHeight="1">
      <c r="B14" s="8" t="n">
        <v>10</v>
      </c>
      <c r="C14" s="9" t="inlineStr"/>
      <c r="D14" s="10" t="inlineStr"/>
      <c r="E14" s="10" t="inlineStr"/>
      <c r="F14" s="10" t="inlineStr"/>
      <c r="G14" s="10" t="inlineStr"/>
      <c r="H14" s="10" t="inlineStr">
        <is>
          <t>Both Attendance &amp; CIE Deficiency</t>
        </is>
      </c>
      <c r="I14" s="10" t="inlineStr">
        <is>
          <t>Y</t>
        </is>
      </c>
      <c r="J14" s="10" t="inlineStr">
        <is>
          <t>N</t>
        </is>
      </c>
      <c r="K14" s="10" t="inlineStr">
        <is>
          <t>Cleared — Eligible for SEE</t>
        </is>
      </c>
    </row>
    <row r="15" ht="22" customHeight="1">
      <c r="B15" s="47" t="n">
        <v>11</v>
      </c>
      <c r="C15" s="48" t="inlineStr"/>
      <c r="D15" s="49" t="inlineStr"/>
      <c r="E15" s="49" t="inlineStr"/>
      <c r="F15" s="49" t="inlineStr"/>
      <c r="G15" s="49" t="inlineStr"/>
      <c r="H15" s="49" t="inlineStr">
        <is>
          <t>Disciplinary Action</t>
        </is>
      </c>
      <c r="I15" s="49" t="inlineStr">
        <is>
          <t>Y</t>
        </is>
      </c>
      <c r="J15" s="49" t="inlineStr">
        <is>
          <t>N</t>
        </is>
      </c>
      <c r="K15" s="49" t="inlineStr">
        <is>
          <t>Detained — No SEE</t>
        </is>
      </c>
    </row>
    <row r="16" ht="22" customHeight="1">
      <c r="B16" s="8" t="n">
        <v>12</v>
      </c>
      <c r="C16" s="9" t="inlineStr"/>
      <c r="D16" s="10" t="inlineStr"/>
      <c r="E16" s="10" t="inlineStr"/>
      <c r="F16" s="10" t="inlineStr"/>
      <c r="G16" s="10" t="inlineStr"/>
      <c r="H16" s="10" t="inlineStr">
        <is>
          <t>Dues Pending — Finance</t>
        </is>
      </c>
      <c r="I16" s="10" t="inlineStr">
        <is>
          <t>Y</t>
        </is>
      </c>
      <c r="J16" s="10" t="inlineStr">
        <is>
          <t>N</t>
        </is>
      </c>
      <c r="K16" s="10" t="inlineStr">
        <is>
          <t>Condonation Granted — SEE Allowed</t>
        </is>
      </c>
    </row>
    <row r="17" ht="22" customHeight="1">
      <c r="B17" s="47" t="n">
        <v>13</v>
      </c>
      <c r="C17" s="48" t="inlineStr"/>
      <c r="D17" s="49" t="inlineStr"/>
      <c r="E17" s="49" t="inlineStr"/>
      <c r="F17" s="49" t="inlineStr"/>
      <c r="G17" s="49" t="inlineStr"/>
      <c r="H17" s="49" t="inlineStr">
        <is>
          <t>Attendance &lt; 75% — No Condonation</t>
        </is>
      </c>
      <c r="I17" s="49" t="inlineStr">
        <is>
          <t>Y</t>
        </is>
      </c>
      <c r="J17" s="49" t="inlineStr">
        <is>
          <t>N</t>
        </is>
      </c>
      <c r="K17" s="49" t="inlineStr">
        <is>
          <t>Condonation Rejected — Detained</t>
        </is>
      </c>
    </row>
    <row r="18" ht="22" customHeight="1">
      <c r="B18" s="8" t="n">
        <v>14</v>
      </c>
      <c r="C18" s="9" t="inlineStr"/>
      <c r="D18" s="10" t="inlineStr"/>
      <c r="E18" s="10" t="inlineStr"/>
      <c r="F18" s="10" t="inlineStr"/>
      <c r="G18" s="10" t="inlineStr"/>
      <c r="H18" s="10" t="inlineStr">
        <is>
          <t>Attendance &lt; 65% — Below Condonation Limit</t>
        </is>
      </c>
      <c r="I18" s="10" t="inlineStr">
        <is>
          <t>Y</t>
        </is>
      </c>
      <c r="J18" s="10" t="inlineStr">
        <is>
          <t>N</t>
        </is>
      </c>
      <c r="K18" s="10" t="inlineStr">
        <is>
          <t>Appeal Pending</t>
        </is>
      </c>
    </row>
    <row r="19" ht="22" customHeight="1">
      <c r="B19" s="47" t="n">
        <v>15</v>
      </c>
      <c r="C19" s="48" t="inlineStr"/>
      <c r="D19" s="49" t="inlineStr"/>
      <c r="E19" s="49" t="inlineStr"/>
      <c r="F19" s="49" t="inlineStr"/>
      <c r="G19" s="49" t="inlineStr"/>
      <c r="H19" s="49" t="inlineStr">
        <is>
          <t>CIE Marks &lt; Minimum (&lt; 12/30)</t>
        </is>
      </c>
      <c r="I19" s="49" t="inlineStr">
        <is>
          <t>Y</t>
        </is>
      </c>
      <c r="J19" s="49" t="inlineStr">
        <is>
          <t>N</t>
        </is>
      </c>
      <c r="K19" s="49" t="inlineStr">
        <is>
          <t>Cleared — Eligible for SEE</t>
        </is>
      </c>
    </row>
    <row r="20" ht="22" customHeight="1">
      <c r="B20" s="8" t="n">
        <v>16</v>
      </c>
      <c r="C20" s="9" t="inlineStr"/>
      <c r="D20" s="10" t="inlineStr"/>
      <c r="E20" s="10" t="inlineStr"/>
      <c r="F20" s="10" t="inlineStr"/>
      <c r="G20" s="10" t="inlineStr"/>
      <c r="H20" s="10" t="inlineStr">
        <is>
          <t>Both Attendance &amp; CIE Deficiency</t>
        </is>
      </c>
      <c r="I20" s="10" t="inlineStr">
        <is>
          <t>Y</t>
        </is>
      </c>
      <c r="J20" s="10" t="inlineStr">
        <is>
          <t>N</t>
        </is>
      </c>
      <c r="K20" s="10" t="inlineStr">
        <is>
          <t>Detained — No SEE</t>
        </is>
      </c>
    </row>
    <row r="21" ht="22" customHeight="1">
      <c r="B21" s="47" t="n">
        <v>17</v>
      </c>
      <c r="C21" s="48" t="inlineStr"/>
      <c r="D21" s="49" t="inlineStr"/>
      <c r="E21" s="49" t="inlineStr"/>
      <c r="F21" s="49" t="inlineStr"/>
      <c r="G21" s="49" t="inlineStr"/>
      <c r="H21" s="49" t="inlineStr">
        <is>
          <t>Disciplinary Action</t>
        </is>
      </c>
      <c r="I21" s="49" t="inlineStr">
        <is>
          <t>Y</t>
        </is>
      </c>
      <c r="J21" s="49" t="inlineStr">
        <is>
          <t>N</t>
        </is>
      </c>
      <c r="K21" s="49" t="inlineStr">
        <is>
          <t>Condonation Granted — SEE Allowed</t>
        </is>
      </c>
    </row>
    <row r="22" ht="22" customHeight="1">
      <c r="B22" s="8" t="n">
        <v>18</v>
      </c>
      <c r="C22" s="9" t="inlineStr"/>
      <c r="D22" s="10" t="inlineStr"/>
      <c r="E22" s="10" t="inlineStr"/>
      <c r="F22" s="10" t="inlineStr"/>
      <c r="G22" s="10" t="inlineStr"/>
      <c r="H22" s="10" t="inlineStr">
        <is>
          <t>Dues Pending — Finance</t>
        </is>
      </c>
      <c r="I22" s="10" t="inlineStr">
        <is>
          <t>Y</t>
        </is>
      </c>
      <c r="J22" s="10" t="inlineStr">
        <is>
          <t>N</t>
        </is>
      </c>
      <c r="K22" s="10" t="inlineStr">
        <is>
          <t>Condonation Rejected — Detained</t>
        </is>
      </c>
    </row>
    <row r="23" ht="22" customHeight="1">
      <c r="B23" s="47" t="n">
        <v>19</v>
      </c>
      <c r="C23" s="48" t="inlineStr"/>
      <c r="D23" s="49" t="inlineStr"/>
      <c r="E23" s="49" t="inlineStr"/>
      <c r="F23" s="49" t="inlineStr"/>
      <c r="G23" s="49" t="inlineStr"/>
      <c r="H23" s="49" t="inlineStr">
        <is>
          <t>Attendance &lt; 75% — No Condonation</t>
        </is>
      </c>
      <c r="I23" s="49" t="inlineStr">
        <is>
          <t>Y</t>
        </is>
      </c>
      <c r="J23" s="49" t="inlineStr">
        <is>
          <t>N</t>
        </is>
      </c>
      <c r="K23" s="49" t="inlineStr">
        <is>
          <t>Appeal Pending</t>
        </is>
      </c>
    </row>
    <row r="24" ht="22" customHeight="1">
      <c r="B24" s="8" t="n">
        <v>20</v>
      </c>
      <c r="C24" s="9" t="inlineStr"/>
      <c r="D24" s="10" t="inlineStr"/>
      <c r="E24" s="10" t="inlineStr"/>
      <c r="F24" s="10" t="inlineStr"/>
      <c r="G24" s="10" t="inlineStr"/>
      <c r="H24" s="10" t="inlineStr">
        <is>
          <t>Attendance &lt; 65% — Below Condonation Limit</t>
        </is>
      </c>
      <c r="I24" s="10" t="inlineStr">
        <is>
          <t>Y</t>
        </is>
      </c>
      <c r="J24" s="10" t="inlineStr">
        <is>
          <t>N</t>
        </is>
      </c>
      <c r="K24" s="10" t="inlineStr">
        <is>
          <t>Cleared — Eligible for SEE</t>
        </is>
      </c>
    </row>
    <row r="25" ht="22" customHeight="1"/>
    <row r="26" ht="24" customHeight="1">
      <c r="B26" s="50" t="inlineStr">
        <is>
          <t>DETAINMENT SUMMARY</t>
        </is>
      </c>
    </row>
    <row r="27" ht="22" customHeight="1">
      <c r="B27" s="51" t="inlineStr">
        <is>
          <t>Total Students Detained</t>
        </is>
      </c>
      <c r="F27" s="36">
        <f>COUNTA(B5:B24)</f>
        <v/>
      </c>
    </row>
    <row r="28" ht="22" customHeight="1">
      <c r="B28" s="25" t="inlineStr">
        <is>
          <t>Detained — No SEE</t>
        </is>
      </c>
      <c r="F28" s="37">
        <f>COUNTIF(K5:K24,"Detained — No SEE")</f>
        <v/>
      </c>
    </row>
    <row r="29" ht="22" customHeight="1">
      <c r="B29" s="51" t="inlineStr">
        <is>
          <t>Condonation Granted</t>
        </is>
      </c>
      <c r="F29" s="36">
        <f>COUNTIF(K5:K24,"Condonation Granted — SEE Allowed")</f>
        <v/>
      </c>
    </row>
    <row r="30" ht="22" customHeight="1">
      <c r="B30" s="25" t="inlineStr">
        <is>
          <t>Condonation Rejected</t>
        </is>
      </c>
      <c r="F30" s="37">
        <f>COUNTIF(K5:K24,"Condonation Rejected — Detained")</f>
        <v/>
      </c>
    </row>
    <row r="31" ht="22" customHeight="1">
      <c r="B31" s="51" t="inlineStr">
        <is>
          <t>Appeal Pending</t>
        </is>
      </c>
      <c r="F31" s="36">
        <f>COUNTIF(K5:K24,"Appeal Pending")</f>
        <v/>
      </c>
    </row>
    <row r="32" ht="22" customHeight="1">
      <c r="B32" s="25" t="inlineStr">
        <is>
          <t>Detainment Rate (% of semester strength)</t>
        </is>
      </c>
      <c r="F32" s="37" t="inlineStr"/>
    </row>
    <row r="33" ht="22" customHeight="1"/>
  </sheetData>
  <mergeCells count="16">
    <mergeCell ref="B31:E31"/>
    <mergeCell ref="B27:E27"/>
    <mergeCell ref="B4:K4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EC-13: SEE STUDENT ELIGIBILITY VERIFICATION &amp; HALL TICKET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Semester: _______  A.Y.: _______  Exam: _______  Hall Ticket Issue Date: _______  CoE: ___________________</t>
        </is>
      </c>
    </row>
    <row r="5" ht="22" customHeight="1">
      <c r="B5" s="13" t="inlineStr">
        <is>
          <t>Sl.</t>
        </is>
      </c>
      <c r="C5" s="13" t="inlineStr">
        <is>
          <t>Student Name</t>
        </is>
      </c>
      <c r="D5" s="13" t="inlineStr">
        <is>
          <t>Roll No.</t>
        </is>
      </c>
      <c r="E5" s="13" t="inlineStr">
        <is>
          <t>Programme</t>
        </is>
      </c>
      <c r="F5" s="13" t="inlineStr">
        <is>
          <t>Dept.</t>
        </is>
      </c>
      <c r="G5" s="13" t="inlineStr">
        <is>
          <t>Attendance
%</t>
        </is>
      </c>
      <c r="H5" s="13" t="inlineStr">
        <is>
          <t>CIE
Eligible</t>
        </is>
      </c>
      <c r="I5" s="13" t="inlineStr">
        <is>
          <t>Dues
Cleaned</t>
        </is>
      </c>
      <c r="J5" s="13" t="inlineStr">
        <is>
          <t>Hall Ticket
Issued</t>
        </is>
      </c>
      <c r="K5" s="13" t="inlineStr">
        <is>
          <t>HT Number</t>
        </is>
      </c>
      <c r="L5" s="13" t="inlineStr">
        <is>
          <t>Date Issued</t>
        </is>
      </c>
    </row>
    <row r="6" ht="22" customHeight="1">
      <c r="B6" s="14" t="n">
        <v>1</v>
      </c>
      <c r="C6" s="15" t="n"/>
      <c r="D6" s="16" t="n"/>
      <c r="E6" s="16" t="n"/>
      <c r="F6" s="16" t="n"/>
      <c r="G6" s="16" t="n"/>
      <c r="H6" s="16" t="inlineStr">
        <is>
          <t>Y</t>
        </is>
      </c>
      <c r="I6" s="16" t="inlineStr">
        <is>
          <t>Y</t>
        </is>
      </c>
      <c r="J6" s="16" t="inlineStr">
        <is>
          <t>Y</t>
        </is>
      </c>
      <c r="K6" s="16" t="n"/>
      <c r="L6" s="16" t="n"/>
    </row>
    <row r="7" ht="22" customHeight="1">
      <c r="B7" s="8" t="n">
        <v>2</v>
      </c>
      <c r="C7" s="9" t="n"/>
      <c r="D7" s="10" t="n"/>
      <c r="E7" s="10" t="n"/>
      <c r="F7" s="10" t="n"/>
      <c r="G7" s="10" t="n"/>
      <c r="H7" s="10" t="inlineStr">
        <is>
          <t>Y</t>
        </is>
      </c>
      <c r="I7" s="10" t="inlineStr">
        <is>
          <t>Y</t>
        </is>
      </c>
      <c r="J7" s="10" t="inlineStr">
        <is>
          <t>Y</t>
        </is>
      </c>
      <c r="K7" s="10" t="n"/>
      <c r="L7" s="10" t="n"/>
    </row>
    <row r="8" ht="22" customHeight="1">
      <c r="B8" s="14" t="n">
        <v>3</v>
      </c>
      <c r="C8" s="15" t="n"/>
      <c r="D8" s="16" t="n"/>
      <c r="E8" s="16" t="n"/>
      <c r="F8" s="16" t="n"/>
      <c r="G8" s="16" t="n"/>
      <c r="H8" s="16" t="inlineStr">
        <is>
          <t>Y</t>
        </is>
      </c>
      <c r="I8" s="16" t="inlineStr">
        <is>
          <t>Y</t>
        </is>
      </c>
      <c r="J8" s="16" t="inlineStr">
        <is>
          <t>Y</t>
        </is>
      </c>
      <c r="K8" s="16" t="n"/>
      <c r="L8" s="16" t="n"/>
    </row>
    <row r="9" ht="22" customHeight="1">
      <c r="B9" s="8" t="n">
        <v>4</v>
      </c>
      <c r="C9" s="9" t="n"/>
      <c r="D9" s="10" t="n"/>
      <c r="E9" s="10" t="n"/>
      <c r="F9" s="10" t="n"/>
      <c r="G9" s="10" t="n"/>
      <c r="H9" s="10" t="inlineStr">
        <is>
          <t>Y</t>
        </is>
      </c>
      <c r="I9" s="10" t="inlineStr">
        <is>
          <t>Y</t>
        </is>
      </c>
      <c r="J9" s="10" t="inlineStr">
        <is>
          <t>Y</t>
        </is>
      </c>
      <c r="K9" s="10" t="n"/>
      <c r="L9" s="10" t="n"/>
    </row>
    <row r="10" ht="22" customHeight="1">
      <c r="B10" s="14" t="n">
        <v>5</v>
      </c>
      <c r="C10" s="15" t="n"/>
      <c r="D10" s="16" t="n"/>
      <c r="E10" s="16" t="n"/>
      <c r="F10" s="16" t="n"/>
      <c r="G10" s="16" t="n"/>
      <c r="H10" s="16" t="inlineStr">
        <is>
          <t>Y</t>
        </is>
      </c>
      <c r="I10" s="16" t="inlineStr">
        <is>
          <t>Y</t>
        </is>
      </c>
      <c r="J10" s="16" t="inlineStr">
        <is>
          <t>Y</t>
        </is>
      </c>
      <c r="K10" s="16" t="n"/>
      <c r="L10" s="16" t="n"/>
    </row>
    <row r="11" ht="22" customHeight="1">
      <c r="B11" s="8" t="n">
        <v>6</v>
      </c>
      <c r="C11" s="9" t="n"/>
      <c r="D11" s="10" t="n"/>
      <c r="E11" s="10" t="n"/>
      <c r="F11" s="10" t="n"/>
      <c r="G11" s="10" t="n"/>
      <c r="H11" s="10" t="inlineStr">
        <is>
          <t>Y</t>
        </is>
      </c>
      <c r="I11" s="10" t="inlineStr">
        <is>
          <t>Y</t>
        </is>
      </c>
      <c r="J11" s="10" t="inlineStr">
        <is>
          <t>Y</t>
        </is>
      </c>
      <c r="K11" s="10" t="n"/>
      <c r="L11" s="10" t="n"/>
    </row>
    <row r="12" ht="22" customHeight="1">
      <c r="B12" s="14" t="n">
        <v>7</v>
      </c>
      <c r="C12" s="15" t="n"/>
      <c r="D12" s="16" t="n"/>
      <c r="E12" s="16" t="n"/>
      <c r="F12" s="16" t="n"/>
      <c r="G12" s="16" t="n"/>
      <c r="H12" s="16" t="inlineStr">
        <is>
          <t>Y</t>
        </is>
      </c>
      <c r="I12" s="16" t="inlineStr">
        <is>
          <t>Y</t>
        </is>
      </c>
      <c r="J12" s="16" t="inlineStr">
        <is>
          <t>Y</t>
        </is>
      </c>
      <c r="K12" s="16" t="n"/>
      <c r="L12" s="16" t="n"/>
    </row>
    <row r="13" ht="22" customHeight="1">
      <c r="B13" s="8" t="n">
        <v>8</v>
      </c>
      <c r="C13" s="9" t="n"/>
      <c r="D13" s="10" t="n"/>
      <c r="E13" s="10" t="n"/>
      <c r="F13" s="10" t="n"/>
      <c r="G13" s="10" t="n"/>
      <c r="H13" s="10" t="inlineStr">
        <is>
          <t>Y</t>
        </is>
      </c>
      <c r="I13" s="10" t="inlineStr">
        <is>
          <t>Y</t>
        </is>
      </c>
      <c r="J13" s="10" t="inlineStr">
        <is>
          <t>Y</t>
        </is>
      </c>
      <c r="K13" s="10" t="n"/>
      <c r="L13" s="10" t="n"/>
    </row>
    <row r="14" ht="22" customHeight="1">
      <c r="B14" s="14" t="n">
        <v>9</v>
      </c>
      <c r="C14" s="15" t="n"/>
      <c r="D14" s="16" t="n"/>
      <c r="E14" s="16" t="n"/>
      <c r="F14" s="16" t="n"/>
      <c r="G14" s="16" t="n"/>
      <c r="H14" s="16" t="inlineStr">
        <is>
          <t>Y</t>
        </is>
      </c>
      <c r="I14" s="16" t="inlineStr">
        <is>
          <t>Y</t>
        </is>
      </c>
      <c r="J14" s="16" t="inlineStr">
        <is>
          <t>Y</t>
        </is>
      </c>
      <c r="K14" s="16" t="n"/>
      <c r="L14" s="16" t="n"/>
    </row>
    <row r="15" ht="22" customHeight="1">
      <c r="B15" s="8" t="n">
        <v>10</v>
      </c>
      <c r="C15" s="9" t="n"/>
      <c r="D15" s="10" t="n"/>
      <c r="E15" s="10" t="n"/>
      <c r="F15" s="10" t="n"/>
      <c r="G15" s="10" t="n"/>
      <c r="H15" s="10" t="inlineStr">
        <is>
          <t>Y</t>
        </is>
      </c>
      <c r="I15" s="10" t="inlineStr">
        <is>
          <t>Y</t>
        </is>
      </c>
      <c r="J15" s="10" t="inlineStr">
        <is>
          <t>Y</t>
        </is>
      </c>
      <c r="K15" s="10" t="n"/>
      <c r="L15" s="10" t="n"/>
    </row>
    <row r="16" ht="22" customHeight="1">
      <c r="B16" s="14" t="n">
        <v>11</v>
      </c>
      <c r="C16" s="15" t="n"/>
      <c r="D16" s="16" t="n"/>
      <c r="E16" s="16" t="n"/>
      <c r="F16" s="16" t="n"/>
      <c r="G16" s="16" t="n"/>
      <c r="H16" s="16" t="inlineStr">
        <is>
          <t>Y</t>
        </is>
      </c>
      <c r="I16" s="16" t="inlineStr">
        <is>
          <t>Y</t>
        </is>
      </c>
      <c r="J16" s="16" t="inlineStr">
        <is>
          <t>Y</t>
        </is>
      </c>
      <c r="K16" s="16" t="n"/>
      <c r="L16" s="16" t="n"/>
    </row>
    <row r="17" ht="22" customHeight="1">
      <c r="B17" s="8" t="n">
        <v>12</v>
      </c>
      <c r="C17" s="9" t="n"/>
      <c r="D17" s="10" t="n"/>
      <c r="E17" s="10" t="n"/>
      <c r="F17" s="10" t="n"/>
      <c r="G17" s="10" t="n"/>
      <c r="H17" s="10" t="inlineStr">
        <is>
          <t>Y</t>
        </is>
      </c>
      <c r="I17" s="10" t="inlineStr">
        <is>
          <t>Y</t>
        </is>
      </c>
      <c r="J17" s="10" t="inlineStr">
        <is>
          <t>Y</t>
        </is>
      </c>
      <c r="K17" s="10" t="n"/>
      <c r="L17" s="10" t="n"/>
    </row>
    <row r="18" ht="22" customHeight="1">
      <c r="B18" s="14" t="n">
        <v>13</v>
      </c>
      <c r="C18" s="15" t="n"/>
      <c r="D18" s="16" t="n"/>
      <c r="E18" s="16" t="n"/>
      <c r="F18" s="16" t="n"/>
      <c r="G18" s="16" t="n"/>
      <c r="H18" s="16" t="inlineStr">
        <is>
          <t>Y</t>
        </is>
      </c>
      <c r="I18" s="16" t="inlineStr">
        <is>
          <t>Y</t>
        </is>
      </c>
      <c r="J18" s="16" t="inlineStr">
        <is>
          <t>Y</t>
        </is>
      </c>
      <c r="K18" s="16" t="n"/>
      <c r="L18" s="16" t="n"/>
    </row>
    <row r="19" ht="22" customHeight="1">
      <c r="B19" s="8" t="n">
        <v>14</v>
      </c>
      <c r="C19" s="9" t="n"/>
      <c r="D19" s="10" t="n"/>
      <c r="E19" s="10" t="n"/>
      <c r="F19" s="10" t="n"/>
      <c r="G19" s="10" t="n"/>
      <c r="H19" s="10" t="inlineStr">
        <is>
          <t>Y</t>
        </is>
      </c>
      <c r="I19" s="10" t="inlineStr">
        <is>
          <t>Y</t>
        </is>
      </c>
      <c r="J19" s="10" t="inlineStr">
        <is>
          <t>Y</t>
        </is>
      </c>
      <c r="K19" s="10" t="n"/>
      <c r="L19" s="10" t="n"/>
    </row>
    <row r="20" ht="22" customHeight="1">
      <c r="B20" s="14" t="n">
        <v>15</v>
      </c>
      <c r="C20" s="15" t="n"/>
      <c r="D20" s="16" t="n"/>
      <c r="E20" s="16" t="n"/>
      <c r="F20" s="16" t="n"/>
      <c r="G20" s="16" t="n"/>
      <c r="H20" s="16" t="inlineStr">
        <is>
          <t>Y</t>
        </is>
      </c>
      <c r="I20" s="16" t="inlineStr">
        <is>
          <t>Y</t>
        </is>
      </c>
      <c r="J20" s="16" t="inlineStr">
        <is>
          <t>Y</t>
        </is>
      </c>
      <c r="K20" s="16" t="n"/>
      <c r="L20" s="16" t="n"/>
    </row>
    <row r="21" ht="22" customHeight="1">
      <c r="B21" s="8" t="n">
        <v>16</v>
      </c>
      <c r="C21" s="9" t="n"/>
      <c r="D21" s="10" t="n"/>
      <c r="E21" s="10" t="n"/>
      <c r="F21" s="10" t="n"/>
      <c r="G21" s="10" t="n"/>
      <c r="H21" s="10" t="inlineStr">
        <is>
          <t>Y</t>
        </is>
      </c>
      <c r="I21" s="10" t="inlineStr">
        <is>
          <t>Y</t>
        </is>
      </c>
      <c r="J21" s="10" t="inlineStr">
        <is>
          <t>Y</t>
        </is>
      </c>
      <c r="K21" s="10" t="n"/>
      <c r="L21" s="10" t="n"/>
    </row>
    <row r="22" ht="22" customHeight="1">
      <c r="B22" s="14" t="n">
        <v>17</v>
      </c>
      <c r="C22" s="15" t="n"/>
      <c r="D22" s="16" t="n"/>
      <c r="E22" s="16" t="n"/>
      <c r="F22" s="16" t="n"/>
      <c r="G22" s="16" t="n"/>
      <c r="H22" s="16" t="inlineStr">
        <is>
          <t>Y</t>
        </is>
      </c>
      <c r="I22" s="16" t="inlineStr">
        <is>
          <t>Y</t>
        </is>
      </c>
      <c r="J22" s="16" t="inlineStr">
        <is>
          <t>Y</t>
        </is>
      </c>
      <c r="K22" s="16" t="n"/>
      <c r="L22" s="16" t="n"/>
    </row>
    <row r="23" ht="22" customHeight="1">
      <c r="B23" s="8" t="n">
        <v>18</v>
      </c>
      <c r="C23" s="9" t="n"/>
      <c r="D23" s="10" t="n"/>
      <c r="E23" s="10" t="n"/>
      <c r="F23" s="10" t="n"/>
      <c r="G23" s="10" t="n"/>
      <c r="H23" s="10" t="inlineStr">
        <is>
          <t>Y</t>
        </is>
      </c>
      <c r="I23" s="10" t="inlineStr">
        <is>
          <t>Y</t>
        </is>
      </c>
      <c r="J23" s="10" t="inlineStr">
        <is>
          <t>Y</t>
        </is>
      </c>
      <c r="K23" s="10" t="n"/>
      <c r="L23" s="10" t="n"/>
    </row>
    <row r="24" ht="22" customHeight="1">
      <c r="B24" s="14" t="n">
        <v>19</v>
      </c>
      <c r="C24" s="15" t="n"/>
      <c r="D24" s="16" t="n"/>
      <c r="E24" s="16" t="n"/>
      <c r="F24" s="16" t="n"/>
      <c r="G24" s="16" t="n"/>
      <c r="H24" s="16" t="inlineStr">
        <is>
          <t>Y</t>
        </is>
      </c>
      <c r="I24" s="16" t="inlineStr">
        <is>
          <t>Y</t>
        </is>
      </c>
      <c r="J24" s="16" t="inlineStr">
        <is>
          <t>Y</t>
        </is>
      </c>
      <c r="K24" s="16" t="n"/>
      <c r="L24" s="16" t="n"/>
    </row>
    <row r="25" ht="22" customHeight="1">
      <c r="B25" s="8" t="n">
        <v>20</v>
      </c>
      <c r="C25" s="9" t="n"/>
      <c r="D25" s="10" t="n"/>
      <c r="E25" s="10" t="n"/>
      <c r="F25" s="10" t="n"/>
      <c r="G25" s="10" t="n"/>
      <c r="H25" s="10" t="inlineStr">
        <is>
          <t>Y</t>
        </is>
      </c>
      <c r="I25" s="10" t="inlineStr">
        <is>
          <t>Y</t>
        </is>
      </c>
      <c r="J25" s="10" t="inlineStr">
        <is>
          <t>Y</t>
        </is>
      </c>
      <c r="K25" s="10" t="n"/>
      <c r="L25" s="10" t="n"/>
    </row>
    <row r="26" ht="22" customHeight="1">
      <c r="B26" s="14" t="n">
        <v>21</v>
      </c>
      <c r="C26" s="15" t="n"/>
      <c r="D26" s="16" t="n"/>
      <c r="E26" s="16" t="n"/>
      <c r="F26" s="16" t="n"/>
      <c r="G26" s="16" t="n"/>
      <c r="H26" s="16" t="inlineStr">
        <is>
          <t>Y</t>
        </is>
      </c>
      <c r="I26" s="16" t="inlineStr">
        <is>
          <t>Y</t>
        </is>
      </c>
      <c r="J26" s="16" t="inlineStr">
        <is>
          <t>Y</t>
        </is>
      </c>
      <c r="K26" s="16" t="n"/>
      <c r="L26" s="16" t="n"/>
    </row>
    <row r="27" ht="22" customHeight="1">
      <c r="B27" s="8" t="n">
        <v>22</v>
      </c>
      <c r="C27" s="9" t="n"/>
      <c r="D27" s="10" t="n"/>
      <c r="E27" s="10" t="n"/>
      <c r="F27" s="10" t="n"/>
      <c r="G27" s="10" t="n"/>
      <c r="H27" s="10" t="inlineStr">
        <is>
          <t>Y</t>
        </is>
      </c>
      <c r="I27" s="10" t="inlineStr">
        <is>
          <t>Y</t>
        </is>
      </c>
      <c r="J27" s="10" t="inlineStr">
        <is>
          <t>Y</t>
        </is>
      </c>
      <c r="K27" s="10" t="n"/>
      <c r="L27" s="10" t="n"/>
    </row>
    <row r="28" ht="22" customHeight="1">
      <c r="B28" s="14" t="n">
        <v>23</v>
      </c>
      <c r="C28" s="15" t="n"/>
      <c r="D28" s="16" t="n"/>
      <c r="E28" s="16" t="n"/>
      <c r="F28" s="16" t="n"/>
      <c r="G28" s="16" t="n"/>
      <c r="H28" s="16" t="inlineStr">
        <is>
          <t>Y</t>
        </is>
      </c>
      <c r="I28" s="16" t="inlineStr">
        <is>
          <t>Y</t>
        </is>
      </c>
      <c r="J28" s="16" t="inlineStr">
        <is>
          <t>Y</t>
        </is>
      </c>
      <c r="K28" s="16" t="n"/>
      <c r="L28" s="16" t="n"/>
    </row>
    <row r="29" ht="22" customHeight="1">
      <c r="B29" s="8" t="n">
        <v>24</v>
      </c>
      <c r="C29" s="9" t="n"/>
      <c r="D29" s="10" t="n"/>
      <c r="E29" s="10" t="n"/>
      <c r="F29" s="10" t="n"/>
      <c r="G29" s="10" t="n"/>
      <c r="H29" s="10" t="inlineStr">
        <is>
          <t>Y</t>
        </is>
      </c>
      <c r="I29" s="10" t="inlineStr">
        <is>
          <t>Y</t>
        </is>
      </c>
      <c r="J29" s="10" t="inlineStr">
        <is>
          <t>Y</t>
        </is>
      </c>
      <c r="K29" s="10" t="n"/>
      <c r="L29" s="10" t="n"/>
    </row>
    <row r="30" ht="22" customHeight="1">
      <c r="B30" s="14" t="n">
        <v>25</v>
      </c>
      <c r="C30" s="15" t="n"/>
      <c r="D30" s="16" t="n"/>
      <c r="E30" s="16" t="n"/>
      <c r="F30" s="16" t="n"/>
      <c r="G30" s="16" t="n"/>
      <c r="H30" s="16" t="inlineStr">
        <is>
          <t>Y</t>
        </is>
      </c>
      <c r="I30" s="16" t="inlineStr">
        <is>
          <t>Y</t>
        </is>
      </c>
      <c r="J30" s="16" t="inlineStr">
        <is>
          <t>Y</t>
        </is>
      </c>
      <c r="K30" s="16" t="n"/>
      <c r="L30" s="16" t="n"/>
    </row>
    <row r="31" ht="22" customHeight="1">
      <c r="B31" s="8" t="n">
        <v>26</v>
      </c>
      <c r="C31" s="9" t="n"/>
      <c r="D31" s="10" t="n"/>
      <c r="E31" s="10" t="n"/>
      <c r="F31" s="10" t="n"/>
      <c r="G31" s="10" t="n"/>
      <c r="H31" s="10" t="inlineStr">
        <is>
          <t>Y</t>
        </is>
      </c>
      <c r="I31" s="10" t="inlineStr">
        <is>
          <t>Y</t>
        </is>
      </c>
      <c r="J31" s="10" t="inlineStr">
        <is>
          <t>Y</t>
        </is>
      </c>
      <c r="K31" s="10" t="n"/>
      <c r="L31" s="10" t="n"/>
    </row>
    <row r="32" ht="22" customHeight="1">
      <c r="B32" s="14" t="n">
        <v>27</v>
      </c>
      <c r="C32" s="15" t="n"/>
      <c r="D32" s="16" t="n"/>
      <c r="E32" s="16" t="n"/>
      <c r="F32" s="16" t="n"/>
      <c r="G32" s="16" t="n"/>
      <c r="H32" s="16" t="inlineStr">
        <is>
          <t>Y</t>
        </is>
      </c>
      <c r="I32" s="16" t="inlineStr">
        <is>
          <t>Y</t>
        </is>
      </c>
      <c r="J32" s="16" t="inlineStr">
        <is>
          <t>Y</t>
        </is>
      </c>
      <c r="K32" s="16" t="n"/>
      <c r="L32" s="16" t="n"/>
    </row>
    <row r="33" ht="22" customHeight="1">
      <c r="B33" s="8" t="n">
        <v>28</v>
      </c>
      <c r="C33" s="9" t="n"/>
      <c r="D33" s="10" t="n"/>
      <c r="E33" s="10" t="n"/>
      <c r="F33" s="10" t="n"/>
      <c r="G33" s="10" t="n"/>
      <c r="H33" s="10" t="inlineStr">
        <is>
          <t>Y</t>
        </is>
      </c>
      <c r="I33" s="10" t="inlineStr">
        <is>
          <t>Y</t>
        </is>
      </c>
      <c r="J33" s="10" t="inlineStr">
        <is>
          <t>Y</t>
        </is>
      </c>
      <c r="K33" s="10" t="n"/>
      <c r="L33" s="10" t="n"/>
    </row>
    <row r="34" ht="22" customHeight="1">
      <c r="B34" s="14" t="n">
        <v>29</v>
      </c>
      <c r="C34" s="15" t="n"/>
      <c r="D34" s="16" t="n"/>
      <c r="E34" s="16" t="n"/>
      <c r="F34" s="16" t="n"/>
      <c r="G34" s="16" t="n"/>
      <c r="H34" s="16" t="inlineStr">
        <is>
          <t>Y</t>
        </is>
      </c>
      <c r="I34" s="16" t="inlineStr">
        <is>
          <t>Y</t>
        </is>
      </c>
      <c r="J34" s="16" t="inlineStr">
        <is>
          <t>Y</t>
        </is>
      </c>
      <c r="K34" s="16" t="n"/>
      <c r="L34" s="16" t="n"/>
    </row>
    <row r="35" ht="22" customHeight="1">
      <c r="B35" s="8" t="n">
        <v>30</v>
      </c>
      <c r="C35" s="9" t="n"/>
      <c r="D35" s="10" t="n"/>
      <c r="E35" s="10" t="n"/>
      <c r="F35" s="10" t="n"/>
      <c r="G35" s="10" t="n"/>
      <c r="H35" s="10" t="inlineStr">
        <is>
          <t>Y</t>
        </is>
      </c>
      <c r="I35" s="10" t="inlineStr">
        <is>
          <t>Y</t>
        </is>
      </c>
      <c r="J35" s="10" t="inlineStr">
        <is>
          <t>Y</t>
        </is>
      </c>
      <c r="K35" s="10" t="n"/>
      <c r="L35" s="10" t="n"/>
    </row>
    <row r="36" ht="22" customHeight="1"/>
    <row r="37" ht="24" customHeight="1">
      <c r="B37" s="34" t="inlineStr">
        <is>
          <t>HALL TICKET ISSUANCE SUMMARY</t>
        </is>
      </c>
    </row>
    <row r="38" ht="22" customHeight="1">
      <c r="B38" s="35" t="inlineStr">
        <is>
          <t>Total Students in Semester</t>
        </is>
      </c>
      <c r="F38" s="36">
        <f>COUNTA(C6:C35)</f>
        <v/>
      </c>
    </row>
    <row r="39" ht="22" customHeight="1">
      <c r="B39" s="25" t="inlineStr">
        <is>
          <t>Hall Tickets Issued</t>
        </is>
      </c>
      <c r="F39" s="37">
        <f>COUNTIF(J6:J35,"Y")</f>
        <v/>
      </c>
    </row>
    <row r="40">
      <c r="B40" s="35" t="inlineStr">
        <is>
          <t>Pending (Dues / Eligibility)</t>
        </is>
      </c>
      <c r="F40" s="36">
        <f>IFERROR(C39-C40,"")</f>
        <v/>
      </c>
    </row>
    <row r="41">
      <c r="B41" s="25" t="inlineStr">
        <is>
          <t>Detained (No HT)</t>
        </is>
      </c>
      <c r="F41" s="37" t="inlineStr"/>
    </row>
    <row r="42">
      <c r="B42" s="35" t="inlineStr">
        <is>
          <t>% Eligible</t>
        </is>
      </c>
      <c r="F42" s="36">
        <f>IFERROR(ROUND(C40/C39*100,1),"")</f>
        <v/>
      </c>
    </row>
  </sheetData>
  <mergeCells count="14">
    <mergeCell ref="B4:L4"/>
    <mergeCell ref="B40:E40"/>
    <mergeCell ref="B41:E41"/>
    <mergeCell ref="F40:L40"/>
    <mergeCell ref="F41:L41"/>
    <mergeCell ref="B38:E38"/>
    <mergeCell ref="B3:L3"/>
    <mergeCell ref="B2:L2"/>
    <mergeCell ref="B37:L37"/>
    <mergeCell ref="B39:E39"/>
    <mergeCell ref="F39:L39"/>
    <mergeCell ref="F38:L38"/>
    <mergeCell ref="B42:E42"/>
    <mergeCell ref="F42:L4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EC-14: SEE EXAMINATION CENTRE &amp; ROOM ALLOCATION REGISTER</t>
        </is>
      </c>
    </row>
    <row r="3" ht="25" customHeight="1">
      <c r="B3" s="2" t="inlineStr">
        <is>
          <t>Exam Date: _______  Session: FN / AN  Total Appearing: _______  CoE: ___________________</t>
        </is>
      </c>
    </row>
    <row r="4" ht="25" customHeight="1">
      <c r="B4" s="13" t="inlineStr">
        <is>
          <t>Room
No.</t>
        </is>
      </c>
      <c r="C4" s="13" t="inlineStr">
        <is>
          <t>Room Name /
Location</t>
        </is>
      </c>
      <c r="D4" s="13" t="inlineStr">
        <is>
          <t>Capacity
(Seats)</t>
        </is>
      </c>
      <c r="E4" s="13" t="inlineStr">
        <is>
          <t>Students
Allotted</t>
        </is>
      </c>
      <c r="F4" s="13" t="inlineStr">
        <is>
          <t>Start Roll
Number</t>
        </is>
      </c>
      <c r="G4" s="13" t="inlineStr">
        <is>
          <t>End Roll
Number</t>
        </is>
      </c>
      <c r="H4" s="13" t="inlineStr">
        <is>
          <t>Programmes
Covered</t>
        </is>
      </c>
      <c r="I4" s="13" t="inlineStr">
        <is>
          <t>Invigilator 1</t>
        </is>
      </c>
      <c r="J4" s="13" t="inlineStr">
        <is>
          <t>Invigilator 2</t>
        </is>
      </c>
      <c r="K4" s="13" t="inlineStr">
        <is>
          <t>Flying Squad
/ Observer</t>
        </is>
      </c>
    </row>
    <row r="5" ht="22" customHeight="1">
      <c r="B5" s="14" t="inlineStr">
        <is>
          <t>ROOM-01</t>
        </is>
      </c>
      <c r="C5" s="15" t="inlineStr">
        <is>
          <t>Exam Hall 1</t>
        </is>
      </c>
      <c r="D5" s="16" t="inlineStr"/>
      <c r="E5" s="16" t="inlineStr"/>
      <c r="F5" s="16" t="inlineStr"/>
      <c r="G5" s="16" t="inlineStr"/>
      <c r="H5" s="16" t="inlineStr"/>
      <c r="I5" s="15" t="inlineStr"/>
      <c r="J5" s="15" t="inlineStr"/>
      <c r="K5" s="15" t="inlineStr"/>
    </row>
    <row r="6" ht="22" customHeight="1">
      <c r="B6" s="8" t="inlineStr">
        <is>
          <t>ROOM-02</t>
        </is>
      </c>
      <c r="C6" s="9" t="inlineStr">
        <is>
          <t>Exam Hall 2</t>
        </is>
      </c>
      <c r="D6" s="10" t="inlineStr"/>
      <c r="E6" s="10" t="inlineStr"/>
      <c r="F6" s="10" t="inlineStr"/>
      <c r="G6" s="10" t="inlineStr"/>
      <c r="H6" s="10" t="inlineStr"/>
      <c r="I6" s="9" t="inlineStr"/>
      <c r="J6" s="9" t="inlineStr"/>
      <c r="K6" s="9" t="inlineStr"/>
    </row>
    <row r="7" ht="22" customHeight="1">
      <c r="B7" s="14" t="inlineStr">
        <is>
          <t>ROOM-03</t>
        </is>
      </c>
      <c r="C7" s="15" t="inlineStr">
        <is>
          <t>Exam Hall 3</t>
        </is>
      </c>
      <c r="D7" s="16" t="inlineStr"/>
      <c r="E7" s="16" t="inlineStr"/>
      <c r="F7" s="16" t="inlineStr"/>
      <c r="G7" s="16" t="inlineStr"/>
      <c r="H7" s="16" t="inlineStr"/>
      <c r="I7" s="15" t="inlineStr"/>
      <c r="J7" s="15" t="inlineStr"/>
      <c r="K7" s="15" t="inlineStr"/>
    </row>
    <row r="8" ht="22" customHeight="1">
      <c r="B8" s="8" t="inlineStr">
        <is>
          <t>ROOM-04</t>
        </is>
      </c>
      <c r="C8" s="9" t="inlineStr">
        <is>
          <t>Exam Hall 4</t>
        </is>
      </c>
      <c r="D8" s="10" t="inlineStr"/>
      <c r="E8" s="10" t="inlineStr"/>
      <c r="F8" s="10" t="inlineStr"/>
      <c r="G8" s="10" t="inlineStr"/>
      <c r="H8" s="10" t="inlineStr"/>
      <c r="I8" s="9" t="inlineStr"/>
      <c r="J8" s="9" t="inlineStr"/>
      <c r="K8" s="9" t="inlineStr"/>
    </row>
    <row r="9" ht="22" customHeight="1">
      <c r="B9" s="14" t="inlineStr">
        <is>
          <t>ROOM-05</t>
        </is>
      </c>
      <c r="C9" s="15" t="inlineStr">
        <is>
          <t>Exam Hall 5</t>
        </is>
      </c>
      <c r="D9" s="16" t="inlineStr"/>
      <c r="E9" s="16" t="inlineStr"/>
      <c r="F9" s="16" t="inlineStr"/>
      <c r="G9" s="16" t="inlineStr"/>
      <c r="H9" s="16" t="inlineStr"/>
      <c r="I9" s="15" t="inlineStr"/>
      <c r="J9" s="15" t="inlineStr"/>
      <c r="K9" s="15" t="inlineStr"/>
    </row>
    <row r="10" ht="22" customHeight="1">
      <c r="B10" s="8" t="inlineStr">
        <is>
          <t>ROOM-06</t>
        </is>
      </c>
      <c r="C10" s="9" t="inlineStr">
        <is>
          <t>Exam Hall 6</t>
        </is>
      </c>
      <c r="D10" s="10" t="inlineStr"/>
      <c r="E10" s="10" t="inlineStr"/>
      <c r="F10" s="10" t="inlineStr"/>
      <c r="G10" s="10" t="inlineStr"/>
      <c r="H10" s="10" t="inlineStr"/>
      <c r="I10" s="9" t="inlineStr"/>
      <c r="J10" s="9" t="inlineStr"/>
      <c r="K10" s="9" t="inlineStr"/>
    </row>
    <row r="11" ht="22" customHeight="1">
      <c r="B11" s="14" t="inlineStr">
        <is>
          <t>ROOM-07</t>
        </is>
      </c>
      <c r="C11" s="15" t="inlineStr">
        <is>
          <t>Exam Hall 7</t>
        </is>
      </c>
      <c r="D11" s="16" t="inlineStr"/>
      <c r="E11" s="16" t="inlineStr"/>
      <c r="F11" s="16" t="inlineStr"/>
      <c r="G11" s="16" t="inlineStr"/>
      <c r="H11" s="16" t="inlineStr"/>
      <c r="I11" s="15" t="inlineStr"/>
      <c r="J11" s="15" t="inlineStr"/>
      <c r="K11" s="15" t="inlineStr"/>
    </row>
    <row r="12" ht="22" customHeight="1">
      <c r="B12" s="8" t="inlineStr">
        <is>
          <t>ROOM-08</t>
        </is>
      </c>
      <c r="C12" s="9" t="inlineStr">
        <is>
          <t>Exam Hall 8</t>
        </is>
      </c>
      <c r="D12" s="10" t="inlineStr"/>
      <c r="E12" s="10" t="inlineStr"/>
      <c r="F12" s="10" t="inlineStr"/>
      <c r="G12" s="10" t="inlineStr"/>
      <c r="H12" s="10" t="inlineStr"/>
      <c r="I12" s="9" t="inlineStr"/>
      <c r="J12" s="9" t="inlineStr"/>
      <c r="K12" s="9" t="inlineStr"/>
    </row>
    <row r="13" ht="22" customHeight="1">
      <c r="B13" s="14" t="inlineStr">
        <is>
          <t>ROOM-09</t>
        </is>
      </c>
      <c r="C13" s="15" t="inlineStr">
        <is>
          <t>Exam Hall 9</t>
        </is>
      </c>
      <c r="D13" s="16" t="inlineStr"/>
      <c r="E13" s="16" t="inlineStr"/>
      <c r="F13" s="16" t="inlineStr"/>
      <c r="G13" s="16" t="inlineStr"/>
      <c r="H13" s="16" t="inlineStr"/>
      <c r="I13" s="15" t="inlineStr"/>
      <c r="J13" s="15" t="inlineStr"/>
      <c r="K13" s="15" t="inlineStr"/>
    </row>
    <row r="14" ht="22" customHeight="1">
      <c r="B14" s="8" t="inlineStr">
        <is>
          <t>ROOM-10</t>
        </is>
      </c>
      <c r="C14" s="9" t="inlineStr">
        <is>
          <t>Exam Hall 10</t>
        </is>
      </c>
      <c r="D14" s="10" t="inlineStr"/>
      <c r="E14" s="10" t="inlineStr"/>
      <c r="F14" s="10" t="inlineStr"/>
      <c r="G14" s="10" t="inlineStr"/>
      <c r="H14" s="10" t="inlineStr"/>
      <c r="I14" s="9" t="inlineStr"/>
      <c r="J14" s="9" t="inlineStr"/>
      <c r="K14" s="9" t="inlineStr"/>
    </row>
    <row r="15" ht="22" customHeight="1">
      <c r="B15" s="14" t="inlineStr">
        <is>
          <t>ROOM-11</t>
        </is>
      </c>
      <c r="C15" s="15" t="inlineStr">
        <is>
          <t>Exam Hall 11</t>
        </is>
      </c>
      <c r="D15" s="16" t="inlineStr"/>
      <c r="E15" s="16" t="inlineStr"/>
      <c r="F15" s="16" t="inlineStr"/>
      <c r="G15" s="16" t="inlineStr"/>
      <c r="H15" s="16" t="inlineStr"/>
      <c r="I15" s="15" t="inlineStr"/>
      <c r="J15" s="15" t="inlineStr"/>
      <c r="K15" s="15" t="inlineStr"/>
    </row>
    <row r="16" ht="22" customHeight="1">
      <c r="B16" s="8" t="inlineStr">
        <is>
          <t>ROOM-12</t>
        </is>
      </c>
      <c r="C16" s="9" t="inlineStr">
        <is>
          <t>Exam Hall 12</t>
        </is>
      </c>
      <c r="D16" s="10" t="inlineStr"/>
      <c r="E16" s="10" t="inlineStr"/>
      <c r="F16" s="10" t="inlineStr"/>
      <c r="G16" s="10" t="inlineStr"/>
      <c r="H16" s="10" t="inlineStr"/>
      <c r="I16" s="9" t="inlineStr"/>
      <c r="J16" s="9" t="inlineStr"/>
      <c r="K16" s="9" t="inlineStr"/>
    </row>
    <row r="17" ht="22" customHeight="1">
      <c r="B17" s="14" t="inlineStr">
        <is>
          <t>ROOM-13</t>
        </is>
      </c>
      <c r="C17" s="15" t="inlineStr">
        <is>
          <t>Exam Hall 13</t>
        </is>
      </c>
      <c r="D17" s="16" t="inlineStr"/>
      <c r="E17" s="16" t="inlineStr"/>
      <c r="F17" s="16" t="inlineStr"/>
      <c r="G17" s="16" t="inlineStr"/>
      <c r="H17" s="16" t="inlineStr"/>
      <c r="I17" s="15" t="inlineStr"/>
      <c r="J17" s="15" t="inlineStr"/>
      <c r="K17" s="15" t="inlineStr"/>
    </row>
    <row r="18" ht="22" customHeight="1">
      <c r="B18" s="8" t="inlineStr">
        <is>
          <t>ROOM-14</t>
        </is>
      </c>
      <c r="C18" s="9" t="inlineStr">
        <is>
          <t>Exam Hall 14</t>
        </is>
      </c>
      <c r="D18" s="10" t="inlineStr"/>
      <c r="E18" s="10" t="inlineStr"/>
      <c r="F18" s="10" t="inlineStr"/>
      <c r="G18" s="10" t="inlineStr"/>
      <c r="H18" s="10" t="inlineStr"/>
      <c r="I18" s="9" t="inlineStr"/>
      <c r="J18" s="9" t="inlineStr"/>
      <c r="K18" s="9" t="inlineStr"/>
    </row>
    <row r="19" ht="22" customHeight="1">
      <c r="B19" s="14" t="inlineStr">
        <is>
          <t>ROOM-15</t>
        </is>
      </c>
      <c r="C19" s="15" t="inlineStr">
        <is>
          <t>Exam Hall 15</t>
        </is>
      </c>
      <c r="D19" s="16" t="inlineStr"/>
      <c r="E19" s="16" t="inlineStr"/>
      <c r="F19" s="16" t="inlineStr"/>
      <c r="G19" s="16" t="inlineStr"/>
      <c r="H19" s="16" t="inlineStr"/>
      <c r="I19" s="15" t="inlineStr"/>
      <c r="J19" s="15" t="inlineStr"/>
      <c r="K19" s="15" t="inlineStr"/>
    </row>
    <row r="20" ht="22" customHeight="1">
      <c r="B20" s="8" t="inlineStr">
        <is>
          <t>ROOM-16</t>
        </is>
      </c>
      <c r="C20" s="9" t="inlineStr">
        <is>
          <t>Exam Hall 16</t>
        </is>
      </c>
      <c r="D20" s="10" t="inlineStr"/>
      <c r="E20" s="10" t="inlineStr"/>
      <c r="F20" s="10" t="inlineStr"/>
      <c r="G20" s="10" t="inlineStr"/>
      <c r="H20" s="10" t="inlineStr"/>
      <c r="I20" s="9" t="inlineStr"/>
      <c r="J20" s="9" t="inlineStr"/>
      <c r="K20" s="9" t="inlineStr"/>
    </row>
    <row r="21" ht="22" customHeight="1">
      <c r="B21" s="14" t="inlineStr">
        <is>
          <t>ROOM-17</t>
        </is>
      </c>
      <c r="C21" s="15" t="inlineStr">
        <is>
          <t>Exam Hall 17</t>
        </is>
      </c>
      <c r="D21" s="16" t="inlineStr"/>
      <c r="E21" s="16" t="inlineStr"/>
      <c r="F21" s="16" t="inlineStr"/>
      <c r="G21" s="16" t="inlineStr"/>
      <c r="H21" s="16" t="inlineStr"/>
      <c r="I21" s="15" t="inlineStr"/>
      <c r="J21" s="15" t="inlineStr"/>
      <c r="K21" s="15" t="inlineStr"/>
    </row>
    <row r="22" ht="22" customHeight="1">
      <c r="B22" s="8" t="inlineStr">
        <is>
          <t>ROOM-18</t>
        </is>
      </c>
      <c r="C22" s="9" t="inlineStr">
        <is>
          <t>Exam Hall 18</t>
        </is>
      </c>
      <c r="D22" s="10" t="inlineStr"/>
      <c r="E22" s="10" t="inlineStr"/>
      <c r="F22" s="10" t="inlineStr"/>
      <c r="G22" s="10" t="inlineStr"/>
      <c r="H22" s="10" t="inlineStr"/>
      <c r="I22" s="9" t="inlineStr"/>
      <c r="J22" s="9" t="inlineStr"/>
      <c r="K22" s="9" t="inlineStr"/>
    </row>
    <row r="23" ht="22" customHeight="1">
      <c r="B23" s="14" t="inlineStr">
        <is>
          <t>ROOM-19</t>
        </is>
      </c>
      <c r="C23" s="15" t="inlineStr">
        <is>
          <t>Exam Hall 19</t>
        </is>
      </c>
      <c r="D23" s="16" t="inlineStr"/>
      <c r="E23" s="16" t="inlineStr"/>
      <c r="F23" s="16" t="inlineStr"/>
      <c r="G23" s="16" t="inlineStr"/>
      <c r="H23" s="16" t="inlineStr"/>
      <c r="I23" s="15" t="inlineStr"/>
      <c r="J23" s="15" t="inlineStr"/>
      <c r="K23" s="15" t="inlineStr"/>
    </row>
    <row r="24" ht="22" customHeight="1">
      <c r="B24" s="8" t="inlineStr">
        <is>
          <t>ROOM-20</t>
        </is>
      </c>
      <c r="C24" s="9" t="inlineStr">
        <is>
          <t>Exam Hall 20</t>
        </is>
      </c>
      <c r="D24" s="10" t="inlineStr"/>
      <c r="E24" s="10" t="inlineStr"/>
      <c r="F24" s="10" t="inlineStr"/>
      <c r="G24" s="10" t="inlineStr"/>
      <c r="H24" s="10" t="inlineStr"/>
      <c r="I24" s="9" t="inlineStr"/>
      <c r="J24" s="9" t="inlineStr"/>
      <c r="K24" s="9" t="inlineStr"/>
    </row>
    <row r="25" ht="22" customHeight="1"/>
    <row r="26" ht="24" customHeight="1">
      <c r="B26" s="34" t="inlineStr">
        <is>
          <t>SEATING SUMMARY</t>
        </is>
      </c>
    </row>
    <row r="27" ht="22" customHeight="1">
      <c r="B27" s="35" t="inlineStr">
        <is>
          <t>Total Rooms Allocated</t>
        </is>
      </c>
      <c r="F27" s="36">
        <f>COUNTA(B5:B24)</f>
        <v/>
      </c>
    </row>
    <row r="28" ht="22" customHeight="1">
      <c r="B28" s="25" t="inlineStr">
        <is>
          <t>Total Seating Capacity</t>
        </is>
      </c>
      <c r="F28" s="37">
        <f>IFERROR(SUM(D5:D24),"")</f>
        <v/>
      </c>
    </row>
    <row r="29" ht="22" customHeight="1">
      <c r="B29" s="35" t="inlineStr">
        <is>
          <t>Total Students Allotted</t>
        </is>
      </c>
      <c r="F29" s="36">
        <f>IFERROR(SUM(E5:E24),"")</f>
        <v/>
      </c>
    </row>
    <row r="30" ht="22" customHeight="1">
      <c r="B30" s="25" t="inlineStr">
        <is>
          <t>Utilisation %</t>
        </is>
      </c>
      <c r="F30" s="37">
        <f>IFERROR(ROUND(C29/C28*100,1),"")</f>
        <v/>
      </c>
    </row>
    <row r="31" ht="22" customHeight="1">
      <c r="B31" s="35" t="inlineStr">
        <is>
          <t>Rooms with Single Invigilator</t>
        </is>
      </c>
      <c r="F31" s="36" t="inlineStr"/>
    </row>
    <row r="32" ht="22" customHeight="1">
      <c r="B32" s="25" t="inlineStr">
        <is>
          <t>Flying Squad Rooms</t>
        </is>
      </c>
      <c r="F32" s="37" t="inlineStr"/>
    </row>
    <row r="33" ht="22" customHeight="1"/>
    <row r="34" ht="22" customHeight="1"/>
    <row r="35" ht="22" customHeight="1"/>
  </sheetData>
  <mergeCells count="15">
    <mergeCell ref="B31:E31"/>
    <mergeCell ref="B27:E27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EC-15: SEE INVIGILATION DUTY ALLOCATION REGISTER</t>
        </is>
      </c>
    </row>
    <row r="3" ht="25" customHeight="1">
      <c r="B3" s="2" t="inlineStr">
        <is>
          <t>Exam Period: _______ to _______  Semester: _______  A.Y.: _______  Exam Superintendent: ___________________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Designation
/ Dept.</t>
        </is>
      </c>
      <c r="E4" s="13" t="inlineStr">
        <is>
          <t>Date</t>
        </is>
      </c>
      <c r="F4" s="13" t="inlineStr">
        <is>
          <t>Session
(FN/AN)</t>
        </is>
      </c>
      <c r="G4" s="13" t="inlineStr">
        <is>
          <t>Room
Allotted</t>
        </is>
      </c>
      <c r="H4" s="13" t="inlineStr">
        <is>
          <t>Reporting
Time</t>
        </is>
      </c>
      <c r="I4" s="13" t="inlineStr">
        <is>
          <t>Role</t>
        </is>
      </c>
      <c r="J4" s="13" t="inlineStr">
        <is>
          <t>Sign
(Pre-Exam)</t>
        </is>
      </c>
      <c r="K4" s="13" t="inlineStr">
        <is>
          <t>Sign
(Post-Exam)</t>
        </is>
      </c>
    </row>
    <row r="5" ht="22" customHeight="1">
      <c r="B5" s="14" t="n">
        <v>1</v>
      </c>
      <c r="C5" s="15" t="inlineStr"/>
      <c r="D5" s="16" t="inlineStr"/>
      <c r="E5" s="16" t="inlineStr"/>
      <c r="F5" s="16" t="inlineStr">
        <is>
          <t>FN</t>
        </is>
      </c>
      <c r="G5" s="16" t="inlineStr"/>
      <c r="H5" s="16" t="inlineStr">
        <is>
          <t>09:30 AM</t>
        </is>
      </c>
      <c r="I5" s="16" t="inlineStr">
        <is>
          <t>Chief Invigilator</t>
        </is>
      </c>
      <c r="J5" s="16" t="inlineStr"/>
      <c r="K5" s="16" t="inlineStr"/>
    </row>
    <row r="6" ht="22" customHeight="1">
      <c r="B6" s="8" t="n">
        <v>2</v>
      </c>
      <c r="C6" s="9" t="inlineStr"/>
      <c r="D6" s="10" t="inlineStr"/>
      <c r="E6" s="10" t="inlineStr"/>
      <c r="F6" s="10" t="inlineStr">
        <is>
          <t>FN</t>
        </is>
      </c>
      <c r="G6" s="10" t="inlineStr"/>
      <c r="H6" s="10" t="inlineStr">
        <is>
          <t>09:30 AM</t>
        </is>
      </c>
      <c r="I6" s="10" t="inlineStr">
        <is>
          <t>Invigilator</t>
        </is>
      </c>
      <c r="J6" s="10" t="inlineStr"/>
      <c r="K6" s="10" t="inlineStr"/>
    </row>
    <row r="7" ht="22" customHeight="1">
      <c r="B7" s="14" t="n">
        <v>3</v>
      </c>
      <c r="C7" s="15" t="inlineStr"/>
      <c r="D7" s="16" t="inlineStr"/>
      <c r="E7" s="16" t="inlineStr"/>
      <c r="F7" s="16" t="inlineStr">
        <is>
          <t>FN</t>
        </is>
      </c>
      <c r="G7" s="16" t="inlineStr"/>
      <c r="H7" s="16" t="inlineStr">
        <is>
          <t>09:30 AM</t>
        </is>
      </c>
      <c r="I7" s="16" t="inlineStr">
        <is>
          <t>Flying Squad</t>
        </is>
      </c>
      <c r="J7" s="16" t="inlineStr"/>
      <c r="K7" s="16" t="inlineStr"/>
    </row>
    <row r="8" ht="22" customHeight="1">
      <c r="B8" s="8" t="n">
        <v>4</v>
      </c>
      <c r="C8" s="9" t="inlineStr"/>
      <c r="D8" s="10" t="inlineStr"/>
      <c r="E8" s="10" t="inlineStr"/>
      <c r="F8" s="10" t="inlineStr">
        <is>
          <t>FN</t>
        </is>
      </c>
      <c r="G8" s="10" t="inlineStr"/>
      <c r="H8" s="10" t="inlineStr">
        <is>
          <t>09:30 AM</t>
        </is>
      </c>
      <c r="I8" s="10" t="inlineStr">
        <is>
          <t>Observer</t>
        </is>
      </c>
      <c r="J8" s="10" t="inlineStr"/>
      <c r="K8" s="10" t="inlineStr"/>
    </row>
    <row r="9" ht="22" customHeight="1">
      <c r="B9" s="14" t="n">
        <v>5</v>
      </c>
      <c r="C9" s="15" t="inlineStr"/>
      <c r="D9" s="16" t="inlineStr"/>
      <c r="E9" s="16" t="inlineStr"/>
      <c r="F9" s="16" t="inlineStr">
        <is>
          <t>FN</t>
        </is>
      </c>
      <c r="G9" s="16" t="inlineStr"/>
      <c r="H9" s="16" t="inlineStr">
        <is>
          <t>09:30 AM</t>
        </is>
      </c>
      <c r="I9" s="16" t="inlineStr">
        <is>
          <t>Relief Invigilator</t>
        </is>
      </c>
      <c r="J9" s="16" t="inlineStr"/>
      <c r="K9" s="16" t="inlineStr"/>
    </row>
    <row r="10" ht="22" customHeight="1">
      <c r="B10" s="8" t="n">
        <v>6</v>
      </c>
      <c r="C10" s="9" t="inlineStr"/>
      <c r="D10" s="10" t="inlineStr"/>
      <c r="E10" s="10" t="inlineStr"/>
      <c r="F10" s="10" t="inlineStr">
        <is>
          <t>FN</t>
        </is>
      </c>
      <c r="G10" s="10" t="inlineStr"/>
      <c r="H10" s="10" t="inlineStr">
        <is>
          <t>09:30 AM</t>
        </is>
      </c>
      <c r="I10" s="10" t="inlineStr">
        <is>
          <t>Hall Superintendent</t>
        </is>
      </c>
      <c r="J10" s="10" t="inlineStr"/>
      <c r="K10" s="10" t="inlineStr"/>
    </row>
    <row r="11" ht="22" customHeight="1">
      <c r="B11" s="14" t="n">
        <v>7</v>
      </c>
      <c r="C11" s="15" t="inlineStr"/>
      <c r="D11" s="16" t="inlineStr"/>
      <c r="E11" s="16" t="inlineStr"/>
      <c r="F11" s="16" t="inlineStr">
        <is>
          <t>FN</t>
        </is>
      </c>
      <c r="G11" s="16" t="inlineStr"/>
      <c r="H11" s="16" t="inlineStr">
        <is>
          <t>09:30 AM</t>
        </is>
      </c>
      <c r="I11" s="16" t="inlineStr">
        <is>
          <t>Chief Invigilator</t>
        </is>
      </c>
      <c r="J11" s="16" t="inlineStr"/>
      <c r="K11" s="16" t="inlineStr"/>
    </row>
    <row r="12" ht="22" customHeight="1">
      <c r="B12" s="8" t="n">
        <v>8</v>
      </c>
      <c r="C12" s="9" t="inlineStr"/>
      <c r="D12" s="10" t="inlineStr"/>
      <c r="E12" s="10" t="inlineStr"/>
      <c r="F12" s="10" t="inlineStr">
        <is>
          <t>FN</t>
        </is>
      </c>
      <c r="G12" s="10" t="inlineStr"/>
      <c r="H12" s="10" t="inlineStr">
        <is>
          <t>09:30 AM</t>
        </is>
      </c>
      <c r="I12" s="10" t="inlineStr">
        <is>
          <t>Invigilator</t>
        </is>
      </c>
      <c r="J12" s="10" t="inlineStr"/>
      <c r="K12" s="10" t="inlineStr"/>
    </row>
    <row r="13" ht="22" customHeight="1">
      <c r="B13" s="14" t="n">
        <v>9</v>
      </c>
      <c r="C13" s="15" t="inlineStr"/>
      <c r="D13" s="16" t="inlineStr"/>
      <c r="E13" s="16" t="inlineStr"/>
      <c r="F13" s="16" t="inlineStr">
        <is>
          <t>FN</t>
        </is>
      </c>
      <c r="G13" s="16" t="inlineStr"/>
      <c r="H13" s="16" t="inlineStr">
        <is>
          <t>09:30 AM</t>
        </is>
      </c>
      <c r="I13" s="16" t="inlineStr">
        <is>
          <t>Flying Squad</t>
        </is>
      </c>
      <c r="J13" s="16" t="inlineStr"/>
      <c r="K13" s="16" t="inlineStr"/>
    </row>
    <row r="14" ht="22" customHeight="1">
      <c r="B14" s="8" t="n">
        <v>10</v>
      </c>
      <c r="C14" s="9" t="inlineStr"/>
      <c r="D14" s="10" t="inlineStr"/>
      <c r="E14" s="10" t="inlineStr"/>
      <c r="F14" s="10" t="inlineStr">
        <is>
          <t>FN</t>
        </is>
      </c>
      <c r="G14" s="10" t="inlineStr"/>
      <c r="H14" s="10" t="inlineStr">
        <is>
          <t>09:30 AM</t>
        </is>
      </c>
      <c r="I14" s="10" t="inlineStr">
        <is>
          <t>Observer</t>
        </is>
      </c>
      <c r="J14" s="10" t="inlineStr"/>
      <c r="K14" s="10" t="inlineStr"/>
    </row>
    <row r="15" ht="22" customHeight="1">
      <c r="B15" s="14" t="n">
        <v>11</v>
      </c>
      <c r="C15" s="15" t="inlineStr"/>
      <c r="D15" s="16" t="inlineStr"/>
      <c r="E15" s="16" t="inlineStr"/>
      <c r="F15" s="16" t="inlineStr">
        <is>
          <t>FN</t>
        </is>
      </c>
      <c r="G15" s="16" t="inlineStr"/>
      <c r="H15" s="16" t="inlineStr">
        <is>
          <t>09:30 AM</t>
        </is>
      </c>
      <c r="I15" s="16" t="inlineStr">
        <is>
          <t>Relief Invigilator</t>
        </is>
      </c>
      <c r="J15" s="16" t="inlineStr"/>
      <c r="K15" s="16" t="inlineStr"/>
    </row>
    <row r="16" ht="22" customHeight="1">
      <c r="B16" s="8" t="n">
        <v>12</v>
      </c>
      <c r="C16" s="9" t="inlineStr"/>
      <c r="D16" s="10" t="inlineStr"/>
      <c r="E16" s="10" t="inlineStr"/>
      <c r="F16" s="10" t="inlineStr">
        <is>
          <t>FN</t>
        </is>
      </c>
      <c r="G16" s="10" t="inlineStr"/>
      <c r="H16" s="10" t="inlineStr">
        <is>
          <t>09:30 AM</t>
        </is>
      </c>
      <c r="I16" s="10" t="inlineStr">
        <is>
          <t>Hall Superintendent</t>
        </is>
      </c>
      <c r="J16" s="10" t="inlineStr"/>
      <c r="K16" s="10" t="inlineStr"/>
    </row>
    <row r="17" ht="22" customHeight="1">
      <c r="B17" s="14" t="n">
        <v>13</v>
      </c>
      <c r="C17" s="15" t="inlineStr"/>
      <c r="D17" s="16" t="inlineStr"/>
      <c r="E17" s="16" t="inlineStr"/>
      <c r="F17" s="16" t="inlineStr">
        <is>
          <t>FN</t>
        </is>
      </c>
      <c r="G17" s="16" t="inlineStr"/>
      <c r="H17" s="16" t="inlineStr">
        <is>
          <t>09:30 AM</t>
        </is>
      </c>
      <c r="I17" s="16" t="inlineStr">
        <is>
          <t>Chief Invigilator</t>
        </is>
      </c>
      <c r="J17" s="16" t="inlineStr"/>
      <c r="K17" s="16" t="inlineStr"/>
    </row>
    <row r="18" ht="22" customHeight="1">
      <c r="B18" s="8" t="n">
        <v>14</v>
      </c>
      <c r="C18" s="9" t="inlineStr"/>
      <c r="D18" s="10" t="inlineStr"/>
      <c r="E18" s="10" t="inlineStr"/>
      <c r="F18" s="10" t="inlineStr">
        <is>
          <t>FN</t>
        </is>
      </c>
      <c r="G18" s="10" t="inlineStr"/>
      <c r="H18" s="10" t="inlineStr">
        <is>
          <t>09:30 AM</t>
        </is>
      </c>
      <c r="I18" s="10" t="inlineStr">
        <is>
          <t>Invigilator</t>
        </is>
      </c>
      <c r="J18" s="10" t="inlineStr"/>
      <c r="K18" s="10" t="inlineStr"/>
    </row>
    <row r="19" ht="22" customHeight="1">
      <c r="B19" s="14" t="n">
        <v>15</v>
      </c>
      <c r="C19" s="15" t="inlineStr"/>
      <c r="D19" s="16" t="inlineStr"/>
      <c r="E19" s="16" t="inlineStr"/>
      <c r="F19" s="16" t="inlineStr">
        <is>
          <t>FN</t>
        </is>
      </c>
      <c r="G19" s="16" t="inlineStr"/>
      <c r="H19" s="16" t="inlineStr">
        <is>
          <t>09:30 AM</t>
        </is>
      </c>
      <c r="I19" s="16" t="inlineStr">
        <is>
          <t>Flying Squad</t>
        </is>
      </c>
      <c r="J19" s="16" t="inlineStr"/>
      <c r="K19" s="16" t="inlineStr"/>
    </row>
    <row r="20" ht="22" customHeight="1">
      <c r="B20" s="8" t="n">
        <v>16</v>
      </c>
      <c r="C20" s="9" t="inlineStr"/>
      <c r="D20" s="10" t="inlineStr"/>
      <c r="E20" s="10" t="inlineStr"/>
      <c r="F20" s="10" t="inlineStr">
        <is>
          <t>FN</t>
        </is>
      </c>
      <c r="G20" s="10" t="inlineStr"/>
      <c r="H20" s="10" t="inlineStr">
        <is>
          <t>09:30 AM</t>
        </is>
      </c>
      <c r="I20" s="10" t="inlineStr">
        <is>
          <t>Observer</t>
        </is>
      </c>
      <c r="J20" s="10" t="inlineStr"/>
      <c r="K20" s="10" t="inlineStr"/>
    </row>
    <row r="21" ht="22" customHeight="1">
      <c r="B21" s="14" t="n">
        <v>17</v>
      </c>
      <c r="C21" s="15" t="inlineStr"/>
      <c r="D21" s="16" t="inlineStr"/>
      <c r="E21" s="16" t="inlineStr"/>
      <c r="F21" s="16" t="inlineStr">
        <is>
          <t>FN</t>
        </is>
      </c>
      <c r="G21" s="16" t="inlineStr"/>
      <c r="H21" s="16" t="inlineStr">
        <is>
          <t>09:30 AM</t>
        </is>
      </c>
      <c r="I21" s="16" t="inlineStr">
        <is>
          <t>Relief Invigilator</t>
        </is>
      </c>
      <c r="J21" s="16" t="inlineStr"/>
      <c r="K21" s="16" t="inlineStr"/>
    </row>
    <row r="22" ht="22" customHeight="1">
      <c r="B22" s="8" t="n">
        <v>18</v>
      </c>
      <c r="C22" s="9" t="inlineStr"/>
      <c r="D22" s="10" t="inlineStr"/>
      <c r="E22" s="10" t="inlineStr"/>
      <c r="F22" s="10" t="inlineStr">
        <is>
          <t>FN</t>
        </is>
      </c>
      <c r="G22" s="10" t="inlineStr"/>
      <c r="H22" s="10" t="inlineStr">
        <is>
          <t>09:30 AM</t>
        </is>
      </c>
      <c r="I22" s="10" t="inlineStr">
        <is>
          <t>Hall Superintendent</t>
        </is>
      </c>
      <c r="J22" s="10" t="inlineStr"/>
      <c r="K22" s="10" t="inlineStr"/>
    </row>
    <row r="23" ht="22" customHeight="1">
      <c r="B23" s="14" t="n">
        <v>19</v>
      </c>
      <c r="C23" s="15" t="inlineStr"/>
      <c r="D23" s="16" t="inlineStr"/>
      <c r="E23" s="16" t="inlineStr"/>
      <c r="F23" s="16" t="inlineStr">
        <is>
          <t>FN</t>
        </is>
      </c>
      <c r="G23" s="16" t="inlineStr"/>
      <c r="H23" s="16" t="inlineStr">
        <is>
          <t>09:30 AM</t>
        </is>
      </c>
      <c r="I23" s="16" t="inlineStr">
        <is>
          <t>Chief Invigilator</t>
        </is>
      </c>
      <c r="J23" s="16" t="inlineStr"/>
      <c r="K23" s="16" t="inlineStr"/>
    </row>
    <row r="24" ht="22" customHeight="1">
      <c r="B24" s="8" t="n">
        <v>20</v>
      </c>
      <c r="C24" s="9" t="inlineStr"/>
      <c r="D24" s="10" t="inlineStr"/>
      <c r="E24" s="10" t="inlineStr"/>
      <c r="F24" s="10" t="inlineStr">
        <is>
          <t>FN</t>
        </is>
      </c>
      <c r="G24" s="10" t="inlineStr"/>
      <c r="H24" s="10" t="inlineStr">
        <is>
          <t>09:30 AM</t>
        </is>
      </c>
      <c r="I24" s="10" t="inlineStr">
        <is>
          <t>Invigilator</t>
        </is>
      </c>
      <c r="J24" s="10" t="inlineStr"/>
      <c r="K24" s="10" t="inlineStr"/>
    </row>
    <row r="25" ht="22" customHeight="1">
      <c r="B25" s="14" t="n">
        <v>21</v>
      </c>
      <c r="C25" s="15" t="inlineStr"/>
      <c r="D25" s="16" t="inlineStr"/>
      <c r="E25" s="16" t="inlineStr"/>
      <c r="F25" s="16" t="inlineStr">
        <is>
          <t>FN</t>
        </is>
      </c>
      <c r="G25" s="16" t="inlineStr"/>
      <c r="H25" s="16" t="inlineStr">
        <is>
          <t>09:30 AM</t>
        </is>
      </c>
      <c r="I25" s="16" t="inlineStr">
        <is>
          <t>Flying Squad</t>
        </is>
      </c>
      <c r="J25" s="16" t="inlineStr"/>
      <c r="K25" s="16" t="inlineStr"/>
    </row>
    <row r="26" ht="22" customHeight="1">
      <c r="B26" s="8" t="n">
        <v>22</v>
      </c>
      <c r="C26" s="9" t="inlineStr"/>
      <c r="D26" s="10" t="inlineStr"/>
      <c r="E26" s="10" t="inlineStr"/>
      <c r="F26" s="10" t="inlineStr">
        <is>
          <t>FN</t>
        </is>
      </c>
      <c r="G26" s="10" t="inlineStr"/>
      <c r="H26" s="10" t="inlineStr">
        <is>
          <t>09:30 AM</t>
        </is>
      </c>
      <c r="I26" s="10" t="inlineStr">
        <is>
          <t>Observer</t>
        </is>
      </c>
      <c r="J26" s="10" t="inlineStr"/>
      <c r="K26" s="10" t="inlineStr"/>
    </row>
    <row r="27" ht="22" customHeight="1">
      <c r="B27" s="14" t="n">
        <v>23</v>
      </c>
      <c r="C27" s="15" t="inlineStr"/>
      <c r="D27" s="16" t="inlineStr"/>
      <c r="E27" s="16" t="inlineStr"/>
      <c r="F27" s="16" t="inlineStr">
        <is>
          <t>FN</t>
        </is>
      </c>
      <c r="G27" s="16" t="inlineStr"/>
      <c r="H27" s="16" t="inlineStr">
        <is>
          <t>09:30 AM</t>
        </is>
      </c>
      <c r="I27" s="16" t="inlineStr">
        <is>
          <t>Relief Invigilator</t>
        </is>
      </c>
      <c r="J27" s="16" t="inlineStr"/>
      <c r="K27" s="16" t="inlineStr"/>
    </row>
    <row r="28" ht="22" customHeight="1">
      <c r="B28" s="8" t="n">
        <v>24</v>
      </c>
      <c r="C28" s="9" t="inlineStr"/>
      <c r="D28" s="10" t="inlineStr"/>
      <c r="E28" s="10" t="inlineStr"/>
      <c r="F28" s="10" t="inlineStr">
        <is>
          <t>FN</t>
        </is>
      </c>
      <c r="G28" s="10" t="inlineStr"/>
      <c r="H28" s="10" t="inlineStr">
        <is>
          <t>09:30 AM</t>
        </is>
      </c>
      <c r="I28" s="10" t="inlineStr">
        <is>
          <t>Hall Superintendent</t>
        </is>
      </c>
      <c r="J28" s="10" t="inlineStr"/>
      <c r="K28" s="10" t="inlineStr"/>
    </row>
    <row r="29" ht="22" customHeight="1">
      <c r="B29" s="14" t="n">
        <v>25</v>
      </c>
      <c r="C29" s="15" t="inlineStr"/>
      <c r="D29" s="16" t="inlineStr"/>
      <c r="E29" s="16" t="inlineStr"/>
      <c r="F29" s="16" t="inlineStr">
        <is>
          <t>FN</t>
        </is>
      </c>
      <c r="G29" s="16" t="inlineStr"/>
      <c r="H29" s="16" t="inlineStr">
        <is>
          <t>09:30 AM</t>
        </is>
      </c>
      <c r="I29" s="16" t="inlineStr">
        <is>
          <t>Chief Invigilator</t>
        </is>
      </c>
      <c r="J29" s="16" t="inlineStr"/>
      <c r="K29" s="16" t="inlineStr"/>
    </row>
    <row r="30" ht="22" customHeight="1">
      <c r="B30" s="8" t="n">
        <v>26</v>
      </c>
      <c r="C30" s="9" t="inlineStr"/>
      <c r="D30" s="10" t="inlineStr"/>
      <c r="E30" s="10" t="inlineStr"/>
      <c r="F30" s="10" t="inlineStr">
        <is>
          <t>FN</t>
        </is>
      </c>
      <c r="G30" s="10" t="inlineStr"/>
      <c r="H30" s="10" t="inlineStr">
        <is>
          <t>09:30 AM</t>
        </is>
      </c>
      <c r="I30" s="10" t="inlineStr">
        <is>
          <t>Invigilator</t>
        </is>
      </c>
      <c r="J30" s="10" t="inlineStr"/>
      <c r="K30" s="10" t="inlineStr"/>
    </row>
    <row r="31" ht="22" customHeight="1">
      <c r="B31" s="14" t="n">
        <v>27</v>
      </c>
      <c r="C31" s="15" t="inlineStr"/>
      <c r="D31" s="16" t="inlineStr"/>
      <c r="E31" s="16" t="inlineStr"/>
      <c r="F31" s="16" t="inlineStr">
        <is>
          <t>FN</t>
        </is>
      </c>
      <c r="G31" s="16" t="inlineStr"/>
      <c r="H31" s="16" t="inlineStr">
        <is>
          <t>09:30 AM</t>
        </is>
      </c>
      <c r="I31" s="16" t="inlineStr">
        <is>
          <t>Flying Squad</t>
        </is>
      </c>
      <c r="J31" s="16" t="inlineStr"/>
      <c r="K31" s="16" t="inlineStr"/>
    </row>
    <row r="32" ht="22" customHeight="1">
      <c r="B32" s="8" t="n">
        <v>28</v>
      </c>
      <c r="C32" s="9" t="inlineStr"/>
      <c r="D32" s="10" t="inlineStr"/>
      <c r="E32" s="10" t="inlineStr"/>
      <c r="F32" s="10" t="inlineStr">
        <is>
          <t>FN</t>
        </is>
      </c>
      <c r="G32" s="10" t="inlineStr"/>
      <c r="H32" s="10" t="inlineStr">
        <is>
          <t>09:30 AM</t>
        </is>
      </c>
      <c r="I32" s="10" t="inlineStr">
        <is>
          <t>Observer</t>
        </is>
      </c>
      <c r="J32" s="10" t="inlineStr"/>
      <c r="K32" s="10" t="inlineStr"/>
    </row>
    <row r="33" ht="22" customHeight="1"/>
    <row r="34" ht="20" customHeight="1">
      <c r="B34" s="17" t="inlineStr">
        <is>
          <t>Faculty declining duty without valid reason is a disciplinary matter. Duty register to be filed with CoE after each exam day.</t>
        </is>
      </c>
    </row>
    <row r="35" ht="22" customHeight="1"/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EC-19: UNFAIR MEANS (UFM) / MALPRACTICE REGISTER</t>
        </is>
      </c>
    </row>
    <row r="3" ht="18" customHeight="1">
      <c r="B3" s="42" t="inlineStr">
        <is>
          <t>STRICTLY CONFIDENTIAL — UFM records are legal documents. Retain for minimum 5 years. Report to university within 24 hours of incident.</t>
        </is>
      </c>
    </row>
    <row r="4" ht="25" customHeight="1">
      <c r="B4" s="52" t="inlineStr">
        <is>
          <t>Semester: _______  A.Y.: _______  CoE: ___________________  Any UFM incident reported to Principal within 24 hours: Y / N</t>
        </is>
      </c>
    </row>
    <row r="5" ht="26" customHeight="1">
      <c r="B5" s="47" t="inlineStr">
        <is>
          <t>UFM/2024/001</t>
        </is>
      </c>
      <c r="C5" s="48" t="inlineStr"/>
      <c r="D5" s="49" t="inlineStr"/>
      <c r="E5" s="48" t="inlineStr"/>
      <c r="F5" s="49" t="inlineStr"/>
      <c r="G5" s="48" t="inlineStr">
        <is>
          <t>Chit / Written material found</t>
        </is>
      </c>
      <c r="H5" s="49" t="inlineStr">
        <is>
          <t>Yes</t>
        </is>
      </c>
      <c r="I5" s="49" t="inlineStr"/>
      <c r="J5" s="48" t="inlineStr">
        <is>
          <t>Referred to University</t>
        </is>
      </c>
    </row>
    <row r="6" ht="26" customHeight="1">
      <c r="B6" s="8" t="inlineStr">
        <is>
          <t>UFM/2024/002</t>
        </is>
      </c>
      <c r="C6" s="9" t="inlineStr"/>
      <c r="D6" s="10" t="inlineStr"/>
      <c r="E6" s="9" t="inlineStr"/>
      <c r="F6" s="10" t="inlineStr"/>
      <c r="G6" s="9" t="inlineStr">
        <is>
          <t>Mobile phone found during exam</t>
        </is>
      </c>
      <c r="H6" s="10" t="inlineStr">
        <is>
          <t>Yes</t>
        </is>
      </c>
      <c r="I6" s="10" t="inlineStr"/>
      <c r="J6" s="9" t="inlineStr">
        <is>
          <t>Referred to University</t>
        </is>
      </c>
    </row>
    <row r="7" ht="26" customHeight="1">
      <c r="B7" s="47" t="inlineStr">
        <is>
          <t>UFM/2024/003</t>
        </is>
      </c>
      <c r="C7" s="48" t="inlineStr"/>
      <c r="D7" s="49" t="inlineStr"/>
      <c r="E7" s="48" t="inlineStr"/>
      <c r="F7" s="49" t="inlineStr"/>
      <c r="G7" s="48" t="inlineStr">
        <is>
          <t>Copying from neighbour</t>
        </is>
      </c>
      <c r="H7" s="49" t="inlineStr">
        <is>
          <t>Yes</t>
        </is>
      </c>
      <c r="I7" s="49" t="inlineStr"/>
      <c r="J7" s="48" t="inlineStr">
        <is>
          <t>Referred to University</t>
        </is>
      </c>
    </row>
    <row r="8" ht="26" customHeight="1">
      <c r="B8" s="8" t="inlineStr">
        <is>
          <t>UFM/2024/004</t>
        </is>
      </c>
      <c r="C8" s="9" t="inlineStr"/>
      <c r="D8" s="10" t="inlineStr"/>
      <c r="E8" s="9" t="inlineStr"/>
      <c r="F8" s="10" t="inlineStr"/>
      <c r="G8" s="9" t="inlineStr">
        <is>
          <t>Impersonation</t>
        </is>
      </c>
      <c r="H8" s="10" t="inlineStr">
        <is>
          <t>Yes</t>
        </is>
      </c>
      <c r="I8" s="10" t="inlineStr"/>
      <c r="J8" s="9" t="inlineStr">
        <is>
          <t>Referred to University</t>
        </is>
      </c>
    </row>
    <row r="9" ht="26" customHeight="1">
      <c r="B9" s="47" t="inlineStr">
        <is>
          <t>UFM/2024/005</t>
        </is>
      </c>
      <c r="C9" s="48" t="inlineStr"/>
      <c r="D9" s="49" t="inlineStr"/>
      <c r="E9" s="48" t="inlineStr"/>
      <c r="F9" s="49" t="inlineStr"/>
      <c r="G9" s="48" t="inlineStr">
        <is>
          <t>Tampering with answer script</t>
        </is>
      </c>
      <c r="H9" s="49" t="inlineStr">
        <is>
          <t>Yes</t>
        </is>
      </c>
      <c r="I9" s="49" t="inlineStr"/>
      <c r="J9" s="48" t="inlineStr">
        <is>
          <t>Referred to University</t>
        </is>
      </c>
    </row>
    <row r="10" ht="26" customHeight="1">
      <c r="B10" s="8" t="inlineStr">
        <is>
          <t>UFM/2024/006</t>
        </is>
      </c>
      <c r="C10" s="9" t="inlineStr"/>
      <c r="D10" s="10" t="inlineStr"/>
      <c r="E10" s="9" t="inlineStr"/>
      <c r="F10" s="10" t="inlineStr"/>
      <c r="G10" s="9" t="inlineStr">
        <is>
          <t>Communication device found</t>
        </is>
      </c>
      <c r="H10" s="10" t="inlineStr">
        <is>
          <t>Yes</t>
        </is>
      </c>
      <c r="I10" s="10" t="inlineStr"/>
      <c r="J10" s="9" t="inlineStr">
        <is>
          <t>Referred to University</t>
        </is>
      </c>
    </row>
    <row r="11" ht="26" customHeight="1">
      <c r="B11" s="47" t="inlineStr">
        <is>
          <t>UFM/2024/007</t>
        </is>
      </c>
      <c r="C11" s="48" t="inlineStr"/>
      <c r="D11" s="49" t="inlineStr"/>
      <c r="E11" s="48" t="inlineStr"/>
      <c r="F11" s="49" t="inlineStr"/>
      <c r="G11" s="48" t="inlineStr">
        <is>
          <t>Unauthorised notes in hall</t>
        </is>
      </c>
      <c r="H11" s="49" t="inlineStr">
        <is>
          <t>Yes</t>
        </is>
      </c>
      <c r="I11" s="49" t="inlineStr"/>
      <c r="J11" s="48" t="inlineStr">
        <is>
          <t>Referred to University</t>
        </is>
      </c>
    </row>
    <row r="12" ht="26" customHeight="1">
      <c r="B12" s="8" t="inlineStr">
        <is>
          <t>UFM/2025/008</t>
        </is>
      </c>
      <c r="C12" s="9" t="inlineStr"/>
      <c r="D12" s="10" t="inlineStr"/>
      <c r="E12" s="9" t="inlineStr"/>
      <c r="F12" s="10" t="inlineStr"/>
      <c r="G12" s="9" t="inlineStr">
        <is>
          <t>Pre-written answer in script</t>
        </is>
      </c>
      <c r="H12" s="10" t="inlineStr">
        <is>
          <t>Yes</t>
        </is>
      </c>
      <c r="I12" s="10" t="inlineStr"/>
      <c r="J12" s="9" t="inlineStr">
        <is>
          <t>Referred to University</t>
        </is>
      </c>
    </row>
    <row r="13" ht="26" customHeight="1">
      <c r="B13" s="47" t="inlineStr">
        <is>
          <t>UFM/2025/009</t>
        </is>
      </c>
      <c r="C13" s="48" t="inlineStr"/>
      <c r="D13" s="49" t="inlineStr"/>
      <c r="E13" s="48" t="inlineStr"/>
      <c r="F13" s="49" t="inlineStr"/>
      <c r="G13" s="48" t="inlineStr">
        <is>
          <t>Disruptive / threatening behaviour</t>
        </is>
      </c>
      <c r="H13" s="49" t="inlineStr">
        <is>
          <t>Yes</t>
        </is>
      </c>
      <c r="I13" s="49" t="inlineStr"/>
      <c r="J13" s="48" t="inlineStr">
        <is>
          <t>Referred to University</t>
        </is>
      </c>
    </row>
    <row r="14" ht="26" customHeight="1">
      <c r="B14" s="8" t="inlineStr">
        <is>
          <t>UFM/2025/010</t>
        </is>
      </c>
      <c r="C14" s="9" t="inlineStr"/>
      <c r="D14" s="10" t="inlineStr"/>
      <c r="E14" s="9" t="inlineStr"/>
      <c r="F14" s="10" t="inlineStr"/>
      <c r="G14" s="9" t="inlineStr">
        <is>
          <t>Other UFM</t>
        </is>
      </c>
      <c r="H14" s="10" t="inlineStr">
        <is>
          <t>Yes</t>
        </is>
      </c>
      <c r="I14" s="10" t="inlineStr"/>
      <c r="J14" s="9" t="inlineStr">
        <is>
          <t>Referred to University</t>
        </is>
      </c>
    </row>
    <row r="15" ht="26" customHeight="1">
      <c r="B15" s="47" t="inlineStr">
        <is>
          <t>UFM/2025/011</t>
        </is>
      </c>
      <c r="C15" s="48" t="inlineStr"/>
      <c r="D15" s="49" t="inlineStr"/>
      <c r="E15" s="48" t="inlineStr"/>
      <c r="F15" s="49" t="inlineStr"/>
      <c r="G15" s="48" t="inlineStr">
        <is>
          <t>Chit / Written material found</t>
        </is>
      </c>
      <c r="H15" s="49" t="inlineStr">
        <is>
          <t>Yes</t>
        </is>
      </c>
      <c r="I15" s="49" t="inlineStr"/>
      <c r="J15" s="48" t="inlineStr">
        <is>
          <t>Referred to University</t>
        </is>
      </c>
    </row>
    <row r="16" ht="26" customHeight="1">
      <c r="B16" s="8" t="inlineStr">
        <is>
          <t>UFM/2025/012</t>
        </is>
      </c>
      <c r="C16" s="9" t="inlineStr"/>
      <c r="D16" s="10" t="inlineStr"/>
      <c r="E16" s="9" t="inlineStr"/>
      <c r="F16" s="10" t="inlineStr"/>
      <c r="G16" s="9" t="inlineStr">
        <is>
          <t>Mobile phone found during exam</t>
        </is>
      </c>
      <c r="H16" s="10" t="inlineStr">
        <is>
          <t>Yes</t>
        </is>
      </c>
      <c r="I16" s="10" t="inlineStr"/>
      <c r="J16" s="9" t="inlineStr">
        <is>
          <t>Referred to University</t>
        </is>
      </c>
    </row>
    <row r="17" ht="26" customHeight="1">
      <c r="B17" s="47" t="inlineStr">
        <is>
          <t>UFM/2025/013</t>
        </is>
      </c>
      <c r="C17" s="48" t="inlineStr"/>
      <c r="D17" s="49" t="inlineStr"/>
      <c r="E17" s="48" t="inlineStr"/>
      <c r="F17" s="49" t="inlineStr"/>
      <c r="G17" s="48" t="inlineStr">
        <is>
          <t>Copying from neighbour</t>
        </is>
      </c>
      <c r="H17" s="49" t="inlineStr">
        <is>
          <t>Yes</t>
        </is>
      </c>
      <c r="I17" s="49" t="inlineStr"/>
      <c r="J17" s="48" t="inlineStr">
        <is>
          <t>Referred to University</t>
        </is>
      </c>
    </row>
    <row r="18" ht="26" customHeight="1">
      <c r="B18" s="8" t="inlineStr">
        <is>
          <t>UFM/2025/014</t>
        </is>
      </c>
      <c r="C18" s="9" t="inlineStr"/>
      <c r="D18" s="10" t="inlineStr"/>
      <c r="E18" s="9" t="inlineStr"/>
      <c r="F18" s="10" t="inlineStr"/>
      <c r="G18" s="9" t="inlineStr">
        <is>
          <t>Impersonation</t>
        </is>
      </c>
      <c r="H18" s="10" t="inlineStr">
        <is>
          <t>Yes</t>
        </is>
      </c>
      <c r="I18" s="10" t="inlineStr"/>
      <c r="J18" s="9" t="inlineStr">
        <is>
          <t>Referred to University</t>
        </is>
      </c>
    </row>
    <row r="19" ht="26" customHeight="1"/>
    <row r="20" ht="24" customHeight="1">
      <c r="B20" s="50" t="inlineStr">
        <is>
          <t>UFM INCIDENT STATISTICS</t>
        </is>
      </c>
    </row>
    <row r="21" ht="26" customHeight="1">
      <c r="B21" s="51" t="inlineStr">
        <is>
          <t>Total UFM Incidents This Semester</t>
        </is>
      </c>
      <c r="F21" s="36">
        <f>COUNTA(B5:B18)</f>
        <v/>
      </c>
    </row>
    <row r="22" ht="26" customHeight="1">
      <c r="B22" s="25" t="inlineStr">
        <is>
          <t>Referred to University</t>
        </is>
      </c>
      <c r="F22" s="37">
        <f>COUNTIF(J5:J18,"Referred to University")</f>
        <v/>
      </c>
    </row>
    <row r="23" ht="26" customHeight="1">
      <c r="B23" s="51" t="inlineStr">
        <is>
          <t>Cases with Material Seized</t>
        </is>
      </c>
      <c r="F23" s="36">
        <f>COUNTIF(H5:H18,"Yes")</f>
        <v/>
      </c>
    </row>
    <row r="24" ht="26" customHeight="1">
      <c r="B24" s="25" t="inlineStr">
        <is>
          <t>Cases Resolved Internally</t>
        </is>
      </c>
      <c r="F24" s="37" t="inlineStr"/>
    </row>
    <row r="25" ht="26" customHeight="1">
      <c r="B25" s="51" t="inlineStr">
        <is>
          <t>Cases with Punishment Awarded</t>
        </is>
      </c>
      <c r="F25" s="36" t="inlineStr"/>
    </row>
    <row r="26" ht="26" customHeight="1">
      <c r="B26" s="25" t="inlineStr">
        <is>
          <t>Repeat Offenders</t>
        </is>
      </c>
      <c r="F26" s="37" t="inlineStr"/>
    </row>
    <row r="27" ht="26" customHeight="1"/>
    <row r="28" ht="26" customHeight="1"/>
    <row r="29" ht="26" customHeight="1"/>
  </sheetData>
  <mergeCells count="16">
    <mergeCell ref="B23:E23"/>
    <mergeCell ref="B26:E26"/>
    <mergeCell ref="B3:J3"/>
    <mergeCell ref="F21:J21"/>
    <mergeCell ref="B20:J20"/>
    <mergeCell ref="F24:J24"/>
    <mergeCell ref="F23:J23"/>
    <mergeCell ref="F26:J26"/>
    <mergeCell ref="B21:E21"/>
    <mergeCell ref="F25:J25"/>
    <mergeCell ref="B25:E25"/>
    <mergeCell ref="B24:E24"/>
    <mergeCell ref="B4:J4"/>
    <mergeCell ref="F22:J22"/>
    <mergeCell ref="B22:E22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EC-22: RESULTS ANALYSIS REGISTER</t>
        </is>
      </c>
    </row>
    <row r="3" ht="25" customHeight="1">
      <c r="B3" s="2" t="inlineStr">
        <is>
          <t>Semester: _______  A.Y.: _______  Results Declared on: _______  CoE: ___________________</t>
        </is>
      </c>
    </row>
    <row r="4" ht="25" customHeight="1">
      <c r="B4" s="13" t="inlineStr">
        <is>
          <t>Dept.</t>
        </is>
      </c>
      <c r="C4" s="13" t="inlineStr">
        <is>
          <t>Programme</t>
        </is>
      </c>
      <c r="D4" s="13" t="inlineStr">
        <is>
          <t>Semester</t>
        </is>
      </c>
      <c r="E4" s="13" t="inlineStr">
        <is>
          <t>Appeared</t>
        </is>
      </c>
      <c r="F4" s="13" t="inlineStr">
        <is>
          <t>Passed</t>
        </is>
      </c>
      <c r="G4" s="13" t="inlineStr">
        <is>
          <t>Failed</t>
        </is>
      </c>
      <c r="H4" s="13" t="inlineStr">
        <is>
          <t>Pass
%</t>
        </is>
      </c>
      <c r="I4" s="13" t="inlineStr">
        <is>
          <t>First Class
&amp; Above %</t>
        </is>
      </c>
      <c r="J4" s="13" t="inlineStr">
        <is>
          <t>Distinction
%</t>
        </is>
      </c>
      <c r="K4" s="13" t="inlineStr">
        <is>
          <t>Avg CGPA</t>
        </is>
      </c>
      <c r="L4" s="13" t="inlineStr">
        <is>
          <t>Remarks</t>
        </is>
      </c>
    </row>
    <row r="5" ht="20" customHeight="1">
      <c r="B5" s="14" t="inlineStr">
        <is>
          <t>CSE</t>
        </is>
      </c>
      <c r="C5" s="15" t="inlineStr">
        <is>
          <t>B.E. CSE</t>
        </is>
      </c>
      <c r="D5" s="16" t="n">
        <v>1</v>
      </c>
      <c r="E5" s="16" t="inlineStr"/>
      <c r="F5" s="16" t="inlineStr"/>
      <c r="G5" s="16" t="inlineStr"/>
      <c r="H5" s="43">
        <f>IFERROR(ROUND(G5/F5*100,1),"")</f>
        <v/>
      </c>
      <c r="I5" s="16" t="inlineStr"/>
      <c r="J5" s="16" t="inlineStr"/>
      <c r="K5" s="16" t="inlineStr"/>
      <c r="L5" s="15" t="inlineStr"/>
    </row>
    <row r="6" ht="20" customHeight="1">
      <c r="B6" s="8" t="inlineStr">
        <is>
          <t>ECE</t>
        </is>
      </c>
      <c r="C6" s="9" t="inlineStr">
        <is>
          <t>B.E. ECE</t>
        </is>
      </c>
      <c r="D6" s="10" t="n">
        <v>1</v>
      </c>
      <c r="E6" s="10" t="inlineStr"/>
      <c r="F6" s="10" t="inlineStr"/>
      <c r="G6" s="10" t="inlineStr"/>
      <c r="H6" s="37">
        <f>IFERROR(ROUND(G6/F6*100,1),"")</f>
        <v/>
      </c>
      <c r="I6" s="10" t="inlineStr"/>
      <c r="J6" s="10" t="inlineStr"/>
      <c r="K6" s="10" t="inlineStr"/>
      <c r="L6" s="9" t="inlineStr"/>
    </row>
    <row r="7" ht="20" customHeight="1">
      <c r="B7" s="14" t="inlineStr">
        <is>
          <t>EEE</t>
        </is>
      </c>
      <c r="C7" s="15" t="inlineStr">
        <is>
          <t>B.E. EEE</t>
        </is>
      </c>
      <c r="D7" s="16" t="n">
        <v>1</v>
      </c>
      <c r="E7" s="16" t="inlineStr"/>
      <c r="F7" s="16" t="inlineStr"/>
      <c r="G7" s="16" t="inlineStr"/>
      <c r="H7" s="43">
        <f>IFERROR(ROUND(G7/F7*100,1),"")</f>
        <v/>
      </c>
      <c r="I7" s="16" t="inlineStr"/>
      <c r="J7" s="16" t="inlineStr"/>
      <c r="K7" s="16" t="inlineStr"/>
      <c r="L7" s="15" t="inlineStr"/>
    </row>
    <row r="8" ht="20" customHeight="1">
      <c r="B8" s="8" t="inlineStr">
        <is>
          <t>MECH</t>
        </is>
      </c>
      <c r="C8" s="9" t="inlineStr">
        <is>
          <t>B.E. Mech.</t>
        </is>
      </c>
      <c r="D8" s="10" t="n">
        <v>1</v>
      </c>
      <c r="E8" s="10" t="inlineStr"/>
      <c r="F8" s="10" t="inlineStr"/>
      <c r="G8" s="10" t="inlineStr"/>
      <c r="H8" s="37">
        <f>IFERROR(ROUND(G8/F8*100,1),"")</f>
        <v/>
      </c>
      <c r="I8" s="10" t="inlineStr"/>
      <c r="J8" s="10" t="inlineStr"/>
      <c r="K8" s="10" t="inlineStr"/>
      <c r="L8" s="9" t="inlineStr"/>
    </row>
    <row r="9" ht="20" customHeight="1">
      <c r="B9" s="14" t="inlineStr">
        <is>
          <t>CIVIL</t>
        </is>
      </c>
      <c r="C9" s="15" t="inlineStr">
        <is>
          <t>B.E. Civil</t>
        </is>
      </c>
      <c r="D9" s="16" t="n">
        <v>1</v>
      </c>
      <c r="E9" s="16" t="inlineStr"/>
      <c r="F9" s="16" t="inlineStr"/>
      <c r="G9" s="16" t="inlineStr"/>
      <c r="H9" s="43">
        <f>IFERROR(ROUND(G9/F9*100,1),"")</f>
        <v/>
      </c>
      <c r="I9" s="16" t="inlineStr"/>
      <c r="J9" s="16" t="inlineStr"/>
      <c r="K9" s="16" t="inlineStr"/>
      <c r="L9" s="15" t="inlineStr"/>
    </row>
    <row r="10" ht="20" customHeight="1">
      <c r="B10" s="8" t="inlineStr">
        <is>
          <t>S&amp;H</t>
        </is>
      </c>
      <c r="C10" s="9" t="inlineStr">
        <is>
          <t>B.Sc. / B.A.</t>
        </is>
      </c>
      <c r="D10" s="10" t="n">
        <v>1</v>
      </c>
      <c r="E10" s="10" t="inlineStr"/>
      <c r="F10" s="10" t="inlineStr"/>
      <c r="G10" s="10" t="inlineStr"/>
      <c r="H10" s="37">
        <f>IFERROR(ROUND(G10/F10*100,1),"")</f>
        <v/>
      </c>
      <c r="I10" s="10" t="inlineStr"/>
      <c r="J10" s="10" t="inlineStr"/>
      <c r="K10" s="10" t="inlineStr"/>
      <c r="L10" s="9" t="inlineStr"/>
    </row>
    <row r="11" ht="20" customHeight="1">
      <c r="B11" s="14" t="inlineStr">
        <is>
          <t>MBA</t>
        </is>
      </c>
      <c r="C11" s="15" t="inlineStr">
        <is>
          <t>M.B.A.</t>
        </is>
      </c>
      <c r="D11" s="16" t="n">
        <v>1</v>
      </c>
      <c r="E11" s="16" t="inlineStr"/>
      <c r="F11" s="16" t="inlineStr"/>
      <c r="G11" s="16" t="inlineStr"/>
      <c r="H11" s="43">
        <f>IFERROR(ROUND(G11/F11*100,1),"")</f>
        <v/>
      </c>
      <c r="I11" s="16" t="inlineStr"/>
      <c r="J11" s="16" t="inlineStr"/>
      <c r="K11" s="16" t="inlineStr"/>
      <c r="L11" s="15" t="inlineStr"/>
    </row>
    <row r="12" ht="20" customHeight="1">
      <c r="B12" s="8" t="inlineStr">
        <is>
          <t>MCA</t>
        </is>
      </c>
      <c r="C12" s="9" t="inlineStr">
        <is>
          <t>M.C.A.</t>
        </is>
      </c>
      <c r="D12" s="10" t="n">
        <v>1</v>
      </c>
      <c r="E12" s="10" t="inlineStr"/>
      <c r="F12" s="10" t="inlineStr"/>
      <c r="G12" s="10" t="inlineStr"/>
      <c r="H12" s="37">
        <f>IFERROR(ROUND(G12/F12*100,1),"")</f>
        <v/>
      </c>
      <c r="I12" s="10" t="inlineStr"/>
      <c r="J12" s="10" t="inlineStr"/>
      <c r="K12" s="10" t="inlineStr"/>
      <c r="L12" s="9" t="inlineStr"/>
    </row>
    <row r="13" ht="20" customHeight="1">
      <c r="B13" s="14" t="inlineStr">
        <is>
          <t>CSE</t>
        </is>
      </c>
      <c r="C13" s="15" t="inlineStr">
        <is>
          <t>B.E. CSE</t>
        </is>
      </c>
      <c r="D13" s="16" t="n">
        <v>2</v>
      </c>
      <c r="E13" s="16" t="inlineStr"/>
      <c r="F13" s="16" t="inlineStr"/>
      <c r="G13" s="16" t="inlineStr"/>
      <c r="H13" s="43">
        <f>IFERROR(ROUND(G13/F13*100,1),"")</f>
        <v/>
      </c>
      <c r="I13" s="16" t="inlineStr"/>
      <c r="J13" s="16" t="inlineStr"/>
      <c r="K13" s="16" t="inlineStr"/>
      <c r="L13" s="15" t="inlineStr"/>
    </row>
    <row r="14" ht="20" customHeight="1">
      <c r="B14" s="8" t="inlineStr">
        <is>
          <t>ECE</t>
        </is>
      </c>
      <c r="C14" s="9" t="inlineStr">
        <is>
          <t>B.E. ECE</t>
        </is>
      </c>
      <c r="D14" s="10" t="n">
        <v>2</v>
      </c>
      <c r="E14" s="10" t="inlineStr"/>
      <c r="F14" s="10" t="inlineStr"/>
      <c r="G14" s="10" t="inlineStr"/>
      <c r="H14" s="37">
        <f>IFERROR(ROUND(G14/F14*100,1),"")</f>
        <v/>
      </c>
      <c r="I14" s="10" t="inlineStr"/>
      <c r="J14" s="10" t="inlineStr"/>
      <c r="K14" s="10" t="inlineStr"/>
      <c r="L14" s="9" t="inlineStr"/>
    </row>
    <row r="15" ht="20" customHeight="1">
      <c r="B15" s="14" t="inlineStr">
        <is>
          <t>EEE</t>
        </is>
      </c>
      <c r="C15" s="15" t="inlineStr">
        <is>
          <t>B.E. EEE</t>
        </is>
      </c>
      <c r="D15" s="16" t="n">
        <v>2</v>
      </c>
      <c r="E15" s="16" t="inlineStr"/>
      <c r="F15" s="16" t="inlineStr"/>
      <c r="G15" s="16" t="inlineStr"/>
      <c r="H15" s="43">
        <f>IFERROR(ROUND(G15/F15*100,1),"")</f>
        <v/>
      </c>
      <c r="I15" s="16" t="inlineStr"/>
      <c r="J15" s="16" t="inlineStr"/>
      <c r="K15" s="16" t="inlineStr"/>
      <c r="L15" s="15" t="inlineStr"/>
    </row>
    <row r="16" ht="20" customHeight="1">
      <c r="B16" s="8" t="inlineStr">
        <is>
          <t>MECH</t>
        </is>
      </c>
      <c r="C16" s="9" t="inlineStr">
        <is>
          <t>B.E. Mech.</t>
        </is>
      </c>
      <c r="D16" s="10" t="n">
        <v>2</v>
      </c>
      <c r="E16" s="10" t="inlineStr"/>
      <c r="F16" s="10" t="inlineStr"/>
      <c r="G16" s="10" t="inlineStr"/>
      <c r="H16" s="37">
        <f>IFERROR(ROUND(G16/F16*100,1),"")</f>
        <v/>
      </c>
      <c r="I16" s="10" t="inlineStr"/>
      <c r="J16" s="10" t="inlineStr"/>
      <c r="K16" s="10" t="inlineStr"/>
      <c r="L16" s="9" t="inlineStr"/>
    </row>
    <row r="17" ht="20" customHeight="1">
      <c r="B17" s="14" t="inlineStr">
        <is>
          <t>CIVIL</t>
        </is>
      </c>
      <c r="C17" s="15" t="inlineStr">
        <is>
          <t>B.E. Civil</t>
        </is>
      </c>
      <c r="D17" s="16" t="n">
        <v>2</v>
      </c>
      <c r="E17" s="16" t="inlineStr"/>
      <c r="F17" s="16" t="inlineStr"/>
      <c r="G17" s="16" t="inlineStr"/>
      <c r="H17" s="43">
        <f>IFERROR(ROUND(G17/F17*100,1),"")</f>
        <v/>
      </c>
      <c r="I17" s="16" t="inlineStr"/>
      <c r="J17" s="16" t="inlineStr"/>
      <c r="K17" s="16" t="inlineStr"/>
      <c r="L17" s="15" t="inlineStr"/>
    </row>
    <row r="18" ht="20" customHeight="1">
      <c r="B18" s="8" t="inlineStr">
        <is>
          <t>S&amp;H</t>
        </is>
      </c>
      <c r="C18" s="9" t="inlineStr">
        <is>
          <t>B.Sc. / B.A.</t>
        </is>
      </c>
      <c r="D18" s="10" t="n">
        <v>2</v>
      </c>
      <c r="E18" s="10" t="inlineStr"/>
      <c r="F18" s="10" t="inlineStr"/>
      <c r="G18" s="10" t="inlineStr"/>
      <c r="H18" s="37">
        <f>IFERROR(ROUND(G18/F18*100,1),"")</f>
        <v/>
      </c>
      <c r="I18" s="10" t="inlineStr"/>
      <c r="J18" s="10" t="inlineStr"/>
      <c r="K18" s="10" t="inlineStr"/>
      <c r="L18" s="9" t="inlineStr"/>
    </row>
    <row r="19" ht="20" customHeight="1">
      <c r="B19" s="14" t="inlineStr">
        <is>
          <t>MBA</t>
        </is>
      </c>
      <c r="C19" s="15" t="inlineStr">
        <is>
          <t>M.B.A.</t>
        </is>
      </c>
      <c r="D19" s="16" t="n">
        <v>2</v>
      </c>
      <c r="E19" s="16" t="inlineStr"/>
      <c r="F19" s="16" t="inlineStr"/>
      <c r="G19" s="16" t="inlineStr"/>
      <c r="H19" s="43">
        <f>IFERROR(ROUND(G19/F19*100,1),"")</f>
        <v/>
      </c>
      <c r="I19" s="16" t="inlineStr"/>
      <c r="J19" s="16" t="inlineStr"/>
      <c r="K19" s="16" t="inlineStr"/>
      <c r="L19" s="15" t="inlineStr"/>
    </row>
    <row r="20" ht="20" customHeight="1">
      <c r="B20" s="8" t="inlineStr">
        <is>
          <t>MCA</t>
        </is>
      </c>
      <c r="C20" s="9" t="inlineStr">
        <is>
          <t>M.C.A.</t>
        </is>
      </c>
      <c r="D20" s="10" t="n">
        <v>2</v>
      </c>
      <c r="E20" s="10" t="inlineStr"/>
      <c r="F20" s="10" t="inlineStr"/>
      <c r="G20" s="10" t="inlineStr"/>
      <c r="H20" s="37">
        <f>IFERROR(ROUND(G20/F20*100,1),"")</f>
        <v/>
      </c>
      <c r="I20" s="10" t="inlineStr"/>
      <c r="J20" s="10" t="inlineStr"/>
      <c r="K20" s="10" t="inlineStr"/>
      <c r="L20" s="9" t="inlineStr"/>
    </row>
    <row r="21" ht="20" customHeight="1">
      <c r="B21" s="14" t="inlineStr">
        <is>
          <t>CSE</t>
        </is>
      </c>
      <c r="C21" s="15" t="inlineStr">
        <is>
          <t>B.E. CSE</t>
        </is>
      </c>
      <c r="D21" s="16" t="n">
        <v>3</v>
      </c>
      <c r="E21" s="16" t="inlineStr"/>
      <c r="F21" s="16" t="inlineStr"/>
      <c r="G21" s="16" t="inlineStr"/>
      <c r="H21" s="43">
        <f>IFERROR(ROUND(G21/F21*100,1),"")</f>
        <v/>
      </c>
      <c r="I21" s="16" t="inlineStr"/>
      <c r="J21" s="16" t="inlineStr"/>
      <c r="K21" s="16" t="inlineStr"/>
      <c r="L21" s="15" t="inlineStr"/>
    </row>
    <row r="22" ht="20" customHeight="1">
      <c r="B22" s="8" t="inlineStr">
        <is>
          <t>ECE</t>
        </is>
      </c>
      <c r="C22" s="9" t="inlineStr">
        <is>
          <t>B.E. ECE</t>
        </is>
      </c>
      <c r="D22" s="10" t="n">
        <v>3</v>
      </c>
      <c r="E22" s="10" t="inlineStr"/>
      <c r="F22" s="10" t="inlineStr"/>
      <c r="G22" s="10" t="inlineStr"/>
      <c r="H22" s="37">
        <f>IFERROR(ROUND(G22/F22*100,1),"")</f>
        <v/>
      </c>
      <c r="I22" s="10" t="inlineStr"/>
      <c r="J22" s="10" t="inlineStr"/>
      <c r="K22" s="10" t="inlineStr"/>
      <c r="L22" s="9" t="inlineStr"/>
    </row>
    <row r="23" ht="20" customHeight="1">
      <c r="B23" s="14" t="inlineStr">
        <is>
          <t>EEE</t>
        </is>
      </c>
      <c r="C23" s="15" t="inlineStr">
        <is>
          <t>B.E. EEE</t>
        </is>
      </c>
      <c r="D23" s="16" t="n">
        <v>3</v>
      </c>
      <c r="E23" s="16" t="inlineStr"/>
      <c r="F23" s="16" t="inlineStr"/>
      <c r="G23" s="16" t="inlineStr"/>
      <c r="H23" s="43">
        <f>IFERROR(ROUND(G23/F23*100,1),"")</f>
        <v/>
      </c>
      <c r="I23" s="16" t="inlineStr"/>
      <c r="J23" s="16" t="inlineStr"/>
      <c r="K23" s="16" t="inlineStr"/>
      <c r="L23" s="15" t="inlineStr"/>
    </row>
    <row r="24" ht="20" customHeight="1">
      <c r="B24" s="8" t="inlineStr">
        <is>
          <t>MECH</t>
        </is>
      </c>
      <c r="C24" s="9" t="inlineStr">
        <is>
          <t>B.E. Mech.</t>
        </is>
      </c>
      <c r="D24" s="10" t="n">
        <v>3</v>
      </c>
      <c r="E24" s="10" t="inlineStr"/>
      <c r="F24" s="10" t="inlineStr"/>
      <c r="G24" s="10" t="inlineStr"/>
      <c r="H24" s="37">
        <f>IFERROR(ROUND(G24/F24*100,1),"")</f>
        <v/>
      </c>
      <c r="I24" s="10" t="inlineStr"/>
      <c r="J24" s="10" t="inlineStr"/>
      <c r="K24" s="10" t="inlineStr"/>
      <c r="L24" s="9" t="inlineStr"/>
    </row>
    <row r="25" ht="20" customHeight="1">
      <c r="B25" s="14" t="inlineStr">
        <is>
          <t>CIVIL</t>
        </is>
      </c>
      <c r="C25" s="15" t="inlineStr">
        <is>
          <t>B.E. Civil</t>
        </is>
      </c>
      <c r="D25" s="16" t="n">
        <v>3</v>
      </c>
      <c r="E25" s="16" t="inlineStr"/>
      <c r="F25" s="16" t="inlineStr"/>
      <c r="G25" s="16" t="inlineStr"/>
      <c r="H25" s="43">
        <f>IFERROR(ROUND(G25/F25*100,1),"")</f>
        <v/>
      </c>
      <c r="I25" s="16" t="inlineStr"/>
      <c r="J25" s="16" t="inlineStr"/>
      <c r="K25" s="16" t="inlineStr"/>
      <c r="L25" s="15" t="inlineStr"/>
    </row>
    <row r="26" ht="20" customHeight="1">
      <c r="B26" s="8" t="inlineStr">
        <is>
          <t>S&amp;H</t>
        </is>
      </c>
      <c r="C26" s="9" t="inlineStr">
        <is>
          <t>B.Sc. / B.A.</t>
        </is>
      </c>
      <c r="D26" s="10" t="n">
        <v>3</v>
      </c>
      <c r="E26" s="10" t="inlineStr"/>
      <c r="F26" s="10" t="inlineStr"/>
      <c r="G26" s="10" t="inlineStr"/>
      <c r="H26" s="37">
        <f>IFERROR(ROUND(G26/F26*100,1),"")</f>
        <v/>
      </c>
      <c r="I26" s="10" t="inlineStr"/>
      <c r="J26" s="10" t="inlineStr"/>
      <c r="K26" s="10" t="inlineStr"/>
      <c r="L26" s="9" t="inlineStr"/>
    </row>
    <row r="27" ht="20" customHeight="1">
      <c r="B27" s="14" t="inlineStr">
        <is>
          <t>MBA</t>
        </is>
      </c>
      <c r="C27" s="15" t="inlineStr">
        <is>
          <t>M.B.A.</t>
        </is>
      </c>
      <c r="D27" s="16" t="n">
        <v>3</v>
      </c>
      <c r="E27" s="16" t="inlineStr"/>
      <c r="F27" s="16" t="inlineStr"/>
      <c r="G27" s="16" t="inlineStr"/>
      <c r="H27" s="43">
        <f>IFERROR(ROUND(G27/F27*100,1),"")</f>
        <v/>
      </c>
      <c r="I27" s="16" t="inlineStr"/>
      <c r="J27" s="16" t="inlineStr"/>
      <c r="K27" s="16" t="inlineStr"/>
      <c r="L27" s="15" t="inlineStr"/>
    </row>
    <row r="28" ht="20" customHeight="1">
      <c r="B28" s="8" t="inlineStr">
        <is>
          <t>MCA</t>
        </is>
      </c>
      <c r="C28" s="9" t="inlineStr">
        <is>
          <t>M.C.A.</t>
        </is>
      </c>
      <c r="D28" s="10" t="n">
        <v>3</v>
      </c>
      <c r="E28" s="10" t="inlineStr"/>
      <c r="F28" s="10" t="inlineStr"/>
      <c r="G28" s="10" t="inlineStr"/>
      <c r="H28" s="37">
        <f>IFERROR(ROUND(G28/F28*100,1),"")</f>
        <v/>
      </c>
      <c r="I28" s="10" t="inlineStr"/>
      <c r="J28" s="10" t="inlineStr"/>
      <c r="K28" s="10" t="inlineStr"/>
      <c r="L28" s="9" t="inlineStr"/>
    </row>
    <row r="29" ht="20" customHeight="1">
      <c r="B29" s="14" t="inlineStr">
        <is>
          <t>CSE</t>
        </is>
      </c>
      <c r="C29" s="15" t="inlineStr">
        <is>
          <t>B.E. CSE</t>
        </is>
      </c>
      <c r="D29" s="16" t="n">
        <v>4</v>
      </c>
      <c r="E29" s="16" t="inlineStr"/>
      <c r="F29" s="16" t="inlineStr"/>
      <c r="G29" s="16" t="inlineStr"/>
      <c r="H29" s="43">
        <f>IFERROR(ROUND(G29/F29*100,1),"")</f>
        <v/>
      </c>
      <c r="I29" s="16" t="inlineStr"/>
      <c r="J29" s="16" t="inlineStr"/>
      <c r="K29" s="16" t="inlineStr"/>
      <c r="L29" s="15" t="inlineStr"/>
    </row>
    <row r="30" ht="20" customHeight="1">
      <c r="B30" s="8" t="inlineStr">
        <is>
          <t>ECE</t>
        </is>
      </c>
      <c r="C30" s="9" t="inlineStr">
        <is>
          <t>B.E. ECE</t>
        </is>
      </c>
      <c r="D30" s="10" t="n">
        <v>4</v>
      </c>
      <c r="E30" s="10" t="inlineStr"/>
      <c r="F30" s="10" t="inlineStr"/>
      <c r="G30" s="10" t="inlineStr"/>
      <c r="H30" s="37">
        <f>IFERROR(ROUND(G30/F30*100,1),"")</f>
        <v/>
      </c>
      <c r="I30" s="10" t="inlineStr"/>
      <c r="J30" s="10" t="inlineStr"/>
      <c r="K30" s="10" t="inlineStr"/>
      <c r="L30" s="9" t="inlineStr"/>
    </row>
    <row r="31" ht="20" customHeight="1">
      <c r="B31" s="14" t="inlineStr">
        <is>
          <t>EEE</t>
        </is>
      </c>
      <c r="C31" s="15" t="inlineStr">
        <is>
          <t>B.E. EEE</t>
        </is>
      </c>
      <c r="D31" s="16" t="n">
        <v>4</v>
      </c>
      <c r="E31" s="16" t="inlineStr"/>
      <c r="F31" s="16" t="inlineStr"/>
      <c r="G31" s="16" t="inlineStr"/>
      <c r="H31" s="43">
        <f>IFERROR(ROUND(G31/F31*100,1),"")</f>
        <v/>
      </c>
      <c r="I31" s="16" t="inlineStr"/>
      <c r="J31" s="16" t="inlineStr"/>
      <c r="K31" s="16" t="inlineStr"/>
      <c r="L31" s="15" t="inlineStr"/>
    </row>
    <row r="32" ht="20" customHeight="1">
      <c r="B32" s="8" t="inlineStr">
        <is>
          <t>MECH</t>
        </is>
      </c>
      <c r="C32" s="9" t="inlineStr">
        <is>
          <t>B.E. Mech.</t>
        </is>
      </c>
      <c r="D32" s="10" t="n">
        <v>4</v>
      </c>
      <c r="E32" s="10" t="inlineStr"/>
      <c r="F32" s="10" t="inlineStr"/>
      <c r="G32" s="10" t="inlineStr"/>
      <c r="H32" s="37">
        <f>IFERROR(ROUND(G32/F32*100,1),"")</f>
        <v/>
      </c>
      <c r="I32" s="10" t="inlineStr"/>
      <c r="J32" s="10" t="inlineStr"/>
      <c r="K32" s="10" t="inlineStr"/>
      <c r="L32" s="9" t="inlineStr"/>
    </row>
    <row r="33" ht="20" customHeight="1">
      <c r="B33" s="14" t="inlineStr">
        <is>
          <t>CIVIL</t>
        </is>
      </c>
      <c r="C33" s="15" t="inlineStr">
        <is>
          <t>B.E. Civil</t>
        </is>
      </c>
      <c r="D33" s="16" t="n">
        <v>4</v>
      </c>
      <c r="E33" s="16" t="inlineStr"/>
      <c r="F33" s="16" t="inlineStr"/>
      <c r="G33" s="16" t="inlineStr"/>
      <c r="H33" s="43">
        <f>IFERROR(ROUND(G33/F33*100,1),"")</f>
        <v/>
      </c>
      <c r="I33" s="16" t="inlineStr"/>
      <c r="J33" s="16" t="inlineStr"/>
      <c r="K33" s="16" t="inlineStr"/>
      <c r="L33" s="15" t="inlineStr"/>
    </row>
    <row r="34" ht="20" customHeight="1">
      <c r="B34" s="8" t="inlineStr">
        <is>
          <t>S&amp;H</t>
        </is>
      </c>
      <c r="C34" s="9" t="inlineStr">
        <is>
          <t>B.Sc. / B.A.</t>
        </is>
      </c>
      <c r="D34" s="10" t="n">
        <v>4</v>
      </c>
      <c r="E34" s="10" t="inlineStr"/>
      <c r="F34" s="10" t="inlineStr"/>
      <c r="G34" s="10" t="inlineStr"/>
      <c r="H34" s="37">
        <f>IFERROR(ROUND(G34/F34*100,1),"")</f>
        <v/>
      </c>
      <c r="I34" s="10" t="inlineStr"/>
      <c r="J34" s="10" t="inlineStr"/>
      <c r="K34" s="10" t="inlineStr"/>
      <c r="L34" s="9" t="inlineStr"/>
    </row>
    <row r="35" ht="20" customHeight="1">
      <c r="B35" s="14" t="inlineStr">
        <is>
          <t>MBA</t>
        </is>
      </c>
      <c r="C35" s="15" t="inlineStr">
        <is>
          <t>M.B.A.</t>
        </is>
      </c>
      <c r="D35" s="16" t="n">
        <v>4</v>
      </c>
      <c r="E35" s="16" t="inlineStr"/>
      <c r="F35" s="16" t="inlineStr"/>
      <c r="G35" s="16" t="inlineStr"/>
      <c r="H35" s="43">
        <f>IFERROR(ROUND(G35/F35*100,1),"")</f>
        <v/>
      </c>
      <c r="I35" s="16" t="inlineStr"/>
      <c r="J35" s="16" t="inlineStr"/>
      <c r="K35" s="16" t="inlineStr"/>
      <c r="L35" s="15" t="inlineStr"/>
    </row>
    <row r="36" ht="20" customHeight="1">
      <c r="B36" s="8" t="inlineStr">
        <is>
          <t>MCA</t>
        </is>
      </c>
      <c r="C36" s="9" t="inlineStr">
        <is>
          <t>M.C.A.</t>
        </is>
      </c>
      <c r="D36" s="10" t="n">
        <v>4</v>
      </c>
      <c r="E36" s="10" t="inlineStr"/>
      <c r="F36" s="10" t="inlineStr"/>
      <c r="G36" s="10" t="inlineStr"/>
      <c r="H36" s="37">
        <f>IFERROR(ROUND(G36/F36*100,1),"")</f>
        <v/>
      </c>
      <c r="I36" s="10" t="inlineStr"/>
      <c r="J36" s="10" t="inlineStr"/>
      <c r="K36" s="10" t="inlineStr"/>
      <c r="L36" s="9" t="inlineStr"/>
    </row>
    <row r="37" ht="20" customHeight="1">
      <c r="B37" s="14" t="inlineStr">
        <is>
          <t>CSE</t>
        </is>
      </c>
      <c r="C37" s="15" t="inlineStr">
        <is>
          <t>B.E. CSE</t>
        </is>
      </c>
      <c r="D37" s="16" t="n">
        <v>5</v>
      </c>
      <c r="E37" s="16" t="inlineStr"/>
      <c r="F37" s="16" t="inlineStr"/>
      <c r="G37" s="16" t="inlineStr"/>
      <c r="H37" s="43">
        <f>IFERROR(ROUND(G37/F37*100,1),"")</f>
        <v/>
      </c>
      <c r="I37" s="16" t="inlineStr"/>
      <c r="J37" s="16" t="inlineStr"/>
      <c r="K37" s="16" t="inlineStr"/>
      <c r="L37" s="15" t="inlineStr"/>
    </row>
    <row r="38" ht="20" customHeight="1">
      <c r="B38" s="8" t="inlineStr">
        <is>
          <t>ECE</t>
        </is>
      </c>
      <c r="C38" s="9" t="inlineStr">
        <is>
          <t>B.E. ECE</t>
        </is>
      </c>
      <c r="D38" s="10" t="n">
        <v>5</v>
      </c>
      <c r="E38" s="10" t="inlineStr"/>
      <c r="F38" s="10" t="inlineStr"/>
      <c r="G38" s="10" t="inlineStr"/>
      <c r="H38" s="37">
        <f>IFERROR(ROUND(G38/F38*100,1),"")</f>
        <v/>
      </c>
      <c r="I38" s="10" t="inlineStr"/>
      <c r="J38" s="10" t="inlineStr"/>
      <c r="K38" s="10" t="inlineStr"/>
      <c r="L38" s="9" t="inlineStr"/>
    </row>
    <row r="39" ht="20" customHeight="1">
      <c r="B39" s="14" t="inlineStr">
        <is>
          <t>EEE</t>
        </is>
      </c>
      <c r="C39" s="15" t="inlineStr">
        <is>
          <t>B.E. EEE</t>
        </is>
      </c>
      <c r="D39" s="16" t="n">
        <v>5</v>
      </c>
      <c r="E39" s="16" t="inlineStr"/>
      <c r="F39" s="16" t="inlineStr"/>
      <c r="G39" s="16" t="inlineStr"/>
      <c r="H39" s="43">
        <f>IFERROR(ROUND(G39/F39*100,1),"")</f>
        <v/>
      </c>
      <c r="I39" s="16" t="inlineStr"/>
      <c r="J39" s="16" t="inlineStr"/>
      <c r="K39" s="16" t="inlineStr"/>
      <c r="L39" s="15" t="inlineStr"/>
    </row>
    <row r="40" ht="20" customHeight="1">
      <c r="B40" s="8" t="inlineStr">
        <is>
          <t>MECH</t>
        </is>
      </c>
      <c r="C40" s="9" t="inlineStr">
        <is>
          <t>B.E. Mech.</t>
        </is>
      </c>
      <c r="D40" s="10" t="n">
        <v>5</v>
      </c>
      <c r="E40" s="10" t="inlineStr"/>
      <c r="F40" s="10" t="inlineStr"/>
      <c r="G40" s="10" t="inlineStr"/>
      <c r="H40" s="37">
        <f>IFERROR(ROUND(G40/F40*100,1),"")</f>
        <v/>
      </c>
      <c r="I40" s="10" t="inlineStr"/>
      <c r="J40" s="10" t="inlineStr"/>
      <c r="K40" s="10" t="inlineStr"/>
      <c r="L40" s="9" t="inlineStr"/>
    </row>
    <row r="41" ht="20" customHeight="1">
      <c r="B41" s="14" t="inlineStr">
        <is>
          <t>CIVIL</t>
        </is>
      </c>
      <c r="C41" s="15" t="inlineStr">
        <is>
          <t>B.E. Civil</t>
        </is>
      </c>
      <c r="D41" s="16" t="n">
        <v>5</v>
      </c>
      <c r="E41" s="16" t="inlineStr"/>
      <c r="F41" s="16" t="inlineStr"/>
      <c r="G41" s="16" t="inlineStr"/>
      <c r="H41" s="43">
        <f>IFERROR(ROUND(G41/F41*100,1),"")</f>
        <v/>
      </c>
      <c r="I41" s="16" t="inlineStr"/>
      <c r="J41" s="16" t="inlineStr"/>
      <c r="K41" s="16" t="inlineStr"/>
      <c r="L41" s="15" t="inlineStr"/>
    </row>
    <row r="42" ht="24" customHeight="1">
      <c r="B42" s="34" t="inlineStr">
        <is>
          <t>SEMESTER RESULTS SUMMARY — INSTITUTION LEVEL</t>
        </is>
      </c>
    </row>
    <row r="43">
      <c r="B43" s="30" t="inlineStr">
        <is>
          <t>Metric</t>
        </is>
      </c>
      <c r="C43" s="30" t="inlineStr">
        <is>
          <t>Semester 1</t>
        </is>
      </c>
      <c r="D43" s="30" t="inlineStr">
        <is>
          <t>Sem 2</t>
        </is>
      </c>
      <c r="E43" s="30" t="inlineStr">
        <is>
          <t>Sem 3</t>
        </is>
      </c>
      <c r="F43" s="30" t="inlineStr">
        <is>
          <t>Sem 4</t>
        </is>
      </c>
      <c r="G43" s="30" t="inlineStr">
        <is>
          <t>Sem 5</t>
        </is>
      </c>
      <c r="H43" s="30" t="inlineStr">
        <is>
          <t>Sem 6</t>
        </is>
      </c>
      <c r="I43" s="30" t="inlineStr">
        <is>
          <t>Sem 7</t>
        </is>
      </c>
      <c r="J43" s="30" t="inlineStr">
        <is>
          <t>Sem 8</t>
        </is>
      </c>
      <c r="K43" s="30" t="inlineStr">
        <is>
          <t>Overall
Avg</t>
        </is>
      </c>
      <c r="L43" s="30" t="inlineStr">
        <is>
          <t>Trend</t>
        </is>
      </c>
    </row>
    <row r="44">
      <c r="B44" s="35" t="inlineStr">
        <is>
          <t>Overall Pass %</t>
        </is>
      </c>
      <c r="C44" s="33" t="inlineStr"/>
      <c r="D44" s="33" t="inlineStr"/>
      <c r="E44" s="33" t="inlineStr"/>
      <c r="F44" s="33" t="inlineStr"/>
      <c r="G44" s="33" t="inlineStr"/>
      <c r="H44" s="33" t="inlineStr"/>
      <c r="I44" s="33" t="inlineStr"/>
      <c r="J44" s="33" t="inlineStr"/>
      <c r="K44" s="33" t="inlineStr"/>
      <c r="L44" s="33" t="inlineStr"/>
    </row>
    <row r="45">
      <c r="B45" s="25" t="inlineStr">
        <is>
          <t>First Class &amp; Above %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</row>
    <row r="46">
      <c r="B46" s="35" t="inlineStr">
        <is>
          <t>Distinction %</t>
        </is>
      </c>
      <c r="C46" s="33" t="inlineStr"/>
      <c r="D46" s="33" t="inlineStr"/>
      <c r="E46" s="33" t="inlineStr"/>
      <c r="F46" s="33" t="inlineStr"/>
      <c r="G46" s="33" t="inlineStr"/>
      <c r="H46" s="33" t="inlineStr"/>
      <c r="I46" s="33" t="inlineStr"/>
      <c r="J46" s="33" t="inlineStr"/>
      <c r="K46" s="33" t="inlineStr"/>
      <c r="L46" s="33" t="inlineStr"/>
    </row>
    <row r="47">
      <c r="B47" s="25" t="inlineStr">
        <is>
          <t>Average CGPA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</row>
    <row r="48">
      <c r="B48" s="35" t="inlineStr">
        <is>
          <t>Backlog Reduction %</t>
        </is>
      </c>
      <c r="C48" s="33" t="inlineStr"/>
      <c r="D48" s="33" t="inlineStr"/>
      <c r="E48" s="33" t="inlineStr"/>
      <c r="F48" s="33" t="inlineStr"/>
      <c r="G48" s="33" t="inlineStr"/>
      <c r="H48" s="33" t="inlineStr"/>
      <c r="I48" s="33" t="inlineStr"/>
      <c r="J48" s="33" t="inlineStr"/>
      <c r="K48" s="33" t="inlineStr"/>
      <c r="L48" s="33" t="inlineStr"/>
    </row>
  </sheetData>
  <mergeCells count="3">
    <mergeCell ref="B2:L2"/>
    <mergeCell ref="B42:L42"/>
    <mergeCell ref="B3:L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EC-23: REVALUATION / RECOUNTING APPLICATION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Semester: _______  A.Y.: _______  Application Window: _______ to _______  CoE: ___________________</t>
        </is>
      </c>
    </row>
    <row r="5" ht="22" customHeight="1">
      <c r="B5" s="14" t="inlineStr">
        <is>
          <t>RV/2024/001</t>
        </is>
      </c>
      <c r="C5" s="15" t="inlineStr"/>
      <c r="D5" s="16" t="inlineStr"/>
      <c r="E5" s="16" t="inlineStr"/>
      <c r="F5" s="16" t="inlineStr">
        <is>
          <t>Revaluation</t>
        </is>
      </c>
      <c r="G5" s="16" t="inlineStr"/>
      <c r="H5" s="16" t="inlineStr"/>
      <c r="I5" s="16" t="inlineStr">
        <is>
          <t>Y</t>
        </is>
      </c>
      <c r="J5" s="16" t="inlineStr"/>
      <c r="K5" s="16" t="inlineStr">
        <is>
          <t>Marks Increased</t>
        </is>
      </c>
    </row>
    <row r="6" ht="22" customHeight="1">
      <c r="B6" s="8" t="inlineStr">
        <is>
          <t>RV/2024/002</t>
        </is>
      </c>
      <c r="C6" s="9" t="inlineStr"/>
      <c r="D6" s="10" t="inlineStr"/>
      <c r="E6" s="10" t="inlineStr"/>
      <c r="F6" s="10" t="inlineStr">
        <is>
          <t>Recounting</t>
        </is>
      </c>
      <c r="G6" s="10" t="inlineStr"/>
      <c r="H6" s="10" t="inlineStr"/>
      <c r="I6" s="10" t="inlineStr">
        <is>
          <t>Y</t>
        </is>
      </c>
      <c r="J6" s="10" t="inlineStr"/>
      <c r="K6" s="10" t="inlineStr">
        <is>
          <t>No Change</t>
        </is>
      </c>
    </row>
    <row r="7" ht="22" customHeight="1">
      <c r="B7" s="14" t="inlineStr">
        <is>
          <t>RV/2024/003</t>
        </is>
      </c>
      <c r="C7" s="15" t="inlineStr"/>
      <c r="D7" s="16" t="inlineStr"/>
      <c r="E7" s="16" t="inlineStr"/>
      <c r="F7" s="16" t="inlineStr">
        <is>
          <t>Challenge Valuation</t>
        </is>
      </c>
      <c r="G7" s="16" t="inlineStr"/>
      <c r="H7" s="16" t="inlineStr"/>
      <c r="I7" s="16" t="inlineStr">
        <is>
          <t>Y</t>
        </is>
      </c>
      <c r="J7" s="16" t="inlineStr"/>
      <c r="K7" s="16" t="inlineStr">
        <is>
          <t>Marks Decreased</t>
        </is>
      </c>
    </row>
    <row r="8" ht="22" customHeight="1">
      <c r="B8" s="8" t="inlineStr">
        <is>
          <t>RV/2024/004</t>
        </is>
      </c>
      <c r="C8" s="9" t="inlineStr"/>
      <c r="D8" s="10" t="inlineStr"/>
      <c r="E8" s="10" t="inlineStr"/>
      <c r="F8" s="10" t="inlineStr">
        <is>
          <t>Photocopy of Script</t>
        </is>
      </c>
      <c r="G8" s="10" t="inlineStr"/>
      <c r="H8" s="10" t="inlineStr"/>
      <c r="I8" s="10" t="inlineStr">
        <is>
          <t>Y</t>
        </is>
      </c>
      <c r="J8" s="10" t="inlineStr"/>
      <c r="K8" s="10" t="inlineStr">
        <is>
          <t>Result Withheld</t>
        </is>
      </c>
    </row>
    <row r="9" ht="22" customHeight="1">
      <c r="B9" s="14" t="inlineStr">
        <is>
          <t>RV/2024/005</t>
        </is>
      </c>
      <c r="C9" s="15" t="inlineStr"/>
      <c r="D9" s="16" t="inlineStr"/>
      <c r="E9" s="16" t="inlineStr"/>
      <c r="F9" s="16" t="inlineStr">
        <is>
          <t>Revaluation</t>
        </is>
      </c>
      <c r="G9" s="16" t="inlineStr"/>
      <c r="H9" s="16" t="inlineStr"/>
      <c r="I9" s="16" t="inlineStr">
        <is>
          <t>Y</t>
        </is>
      </c>
      <c r="J9" s="16" t="inlineStr"/>
      <c r="K9" s="16" t="inlineStr">
        <is>
          <t>Under Process</t>
        </is>
      </c>
    </row>
    <row r="10" ht="22" customHeight="1">
      <c r="B10" s="8" t="inlineStr">
        <is>
          <t>RV/2024/006</t>
        </is>
      </c>
      <c r="C10" s="9" t="inlineStr"/>
      <c r="D10" s="10" t="inlineStr"/>
      <c r="E10" s="10" t="inlineStr"/>
      <c r="F10" s="10" t="inlineStr">
        <is>
          <t>Recounting</t>
        </is>
      </c>
      <c r="G10" s="10" t="inlineStr"/>
      <c r="H10" s="10" t="inlineStr"/>
      <c r="I10" s="10" t="inlineStr">
        <is>
          <t>Y</t>
        </is>
      </c>
      <c r="J10" s="10" t="inlineStr"/>
      <c r="K10" s="10" t="inlineStr">
        <is>
          <t>Marks Increased</t>
        </is>
      </c>
    </row>
    <row r="11" ht="22" customHeight="1">
      <c r="B11" s="14" t="inlineStr">
        <is>
          <t>RV/2024/007</t>
        </is>
      </c>
      <c r="C11" s="15" t="inlineStr"/>
      <c r="D11" s="16" t="inlineStr"/>
      <c r="E11" s="16" t="inlineStr"/>
      <c r="F11" s="16" t="inlineStr">
        <is>
          <t>Challenge Valuation</t>
        </is>
      </c>
      <c r="G11" s="16" t="inlineStr"/>
      <c r="H11" s="16" t="inlineStr"/>
      <c r="I11" s="16" t="inlineStr">
        <is>
          <t>Y</t>
        </is>
      </c>
      <c r="J11" s="16" t="inlineStr"/>
      <c r="K11" s="16" t="inlineStr">
        <is>
          <t>No Change</t>
        </is>
      </c>
    </row>
    <row r="12" ht="22" customHeight="1">
      <c r="B12" s="8" t="inlineStr">
        <is>
          <t>RV/2024/008</t>
        </is>
      </c>
      <c r="C12" s="9" t="inlineStr"/>
      <c r="D12" s="10" t="inlineStr"/>
      <c r="E12" s="10" t="inlineStr"/>
      <c r="F12" s="10" t="inlineStr">
        <is>
          <t>Photocopy of Script</t>
        </is>
      </c>
      <c r="G12" s="10" t="inlineStr"/>
      <c r="H12" s="10" t="inlineStr"/>
      <c r="I12" s="10" t="inlineStr">
        <is>
          <t>Y</t>
        </is>
      </c>
      <c r="J12" s="10" t="inlineStr"/>
      <c r="K12" s="10" t="inlineStr">
        <is>
          <t>Marks Decreased</t>
        </is>
      </c>
    </row>
    <row r="13" ht="22" customHeight="1">
      <c r="B13" s="14" t="inlineStr">
        <is>
          <t>RV/2024/009</t>
        </is>
      </c>
      <c r="C13" s="15" t="inlineStr"/>
      <c r="D13" s="16" t="inlineStr"/>
      <c r="E13" s="16" t="inlineStr"/>
      <c r="F13" s="16" t="inlineStr">
        <is>
          <t>Revaluation</t>
        </is>
      </c>
      <c r="G13" s="16" t="inlineStr"/>
      <c r="H13" s="16" t="inlineStr"/>
      <c r="I13" s="16" t="inlineStr">
        <is>
          <t>Y</t>
        </is>
      </c>
      <c r="J13" s="16" t="inlineStr"/>
      <c r="K13" s="16" t="inlineStr">
        <is>
          <t>Result Withheld</t>
        </is>
      </c>
    </row>
    <row r="14" ht="22" customHeight="1">
      <c r="B14" s="8" t="inlineStr">
        <is>
          <t>RV/2024/010</t>
        </is>
      </c>
      <c r="C14" s="9" t="inlineStr"/>
      <c r="D14" s="10" t="inlineStr"/>
      <c r="E14" s="10" t="inlineStr"/>
      <c r="F14" s="10" t="inlineStr">
        <is>
          <t>Recounting</t>
        </is>
      </c>
      <c r="G14" s="10" t="inlineStr"/>
      <c r="H14" s="10" t="inlineStr"/>
      <c r="I14" s="10" t="inlineStr">
        <is>
          <t>Y</t>
        </is>
      </c>
      <c r="J14" s="10" t="inlineStr"/>
      <c r="K14" s="10" t="inlineStr">
        <is>
          <t>Under Process</t>
        </is>
      </c>
    </row>
    <row r="15" ht="22" customHeight="1">
      <c r="B15" s="14" t="inlineStr">
        <is>
          <t>RV/2024/011</t>
        </is>
      </c>
      <c r="C15" s="15" t="inlineStr"/>
      <c r="D15" s="16" t="inlineStr"/>
      <c r="E15" s="16" t="inlineStr"/>
      <c r="F15" s="16" t="inlineStr">
        <is>
          <t>Challenge Valuation</t>
        </is>
      </c>
      <c r="G15" s="16" t="inlineStr"/>
      <c r="H15" s="16" t="inlineStr"/>
      <c r="I15" s="16" t="inlineStr">
        <is>
          <t>Y</t>
        </is>
      </c>
      <c r="J15" s="16" t="inlineStr"/>
      <c r="K15" s="16" t="inlineStr">
        <is>
          <t>Marks Increased</t>
        </is>
      </c>
    </row>
    <row r="16" ht="22" customHeight="1">
      <c r="B16" s="8" t="inlineStr">
        <is>
          <t>RV/2025/012</t>
        </is>
      </c>
      <c r="C16" s="9" t="inlineStr"/>
      <c r="D16" s="10" t="inlineStr"/>
      <c r="E16" s="10" t="inlineStr"/>
      <c r="F16" s="10" t="inlineStr">
        <is>
          <t>Photocopy of Script</t>
        </is>
      </c>
      <c r="G16" s="10" t="inlineStr"/>
      <c r="H16" s="10" t="inlineStr"/>
      <c r="I16" s="10" t="inlineStr">
        <is>
          <t>Y</t>
        </is>
      </c>
      <c r="J16" s="10" t="inlineStr"/>
      <c r="K16" s="10" t="inlineStr">
        <is>
          <t>No Change</t>
        </is>
      </c>
    </row>
    <row r="17" ht="22" customHeight="1">
      <c r="B17" s="14" t="inlineStr">
        <is>
          <t>RV/2025/013</t>
        </is>
      </c>
      <c r="C17" s="15" t="inlineStr"/>
      <c r="D17" s="16" t="inlineStr"/>
      <c r="E17" s="16" t="inlineStr"/>
      <c r="F17" s="16" t="inlineStr">
        <is>
          <t>Revaluation</t>
        </is>
      </c>
      <c r="G17" s="16" t="inlineStr"/>
      <c r="H17" s="16" t="inlineStr"/>
      <c r="I17" s="16" t="inlineStr">
        <is>
          <t>Y</t>
        </is>
      </c>
      <c r="J17" s="16" t="inlineStr"/>
      <c r="K17" s="16" t="inlineStr">
        <is>
          <t>Marks Decreased</t>
        </is>
      </c>
    </row>
    <row r="18" ht="22" customHeight="1">
      <c r="B18" s="8" t="inlineStr">
        <is>
          <t>RV/2025/014</t>
        </is>
      </c>
      <c r="C18" s="9" t="inlineStr"/>
      <c r="D18" s="10" t="inlineStr"/>
      <c r="E18" s="10" t="inlineStr"/>
      <c r="F18" s="10" t="inlineStr">
        <is>
          <t>Recounting</t>
        </is>
      </c>
      <c r="G18" s="10" t="inlineStr"/>
      <c r="H18" s="10" t="inlineStr"/>
      <c r="I18" s="10" t="inlineStr">
        <is>
          <t>Y</t>
        </is>
      </c>
      <c r="J18" s="10" t="inlineStr"/>
      <c r="K18" s="10" t="inlineStr">
        <is>
          <t>Result Withheld</t>
        </is>
      </c>
    </row>
    <row r="19" ht="22" customHeight="1">
      <c r="B19" s="14" t="inlineStr">
        <is>
          <t>RV/2025/015</t>
        </is>
      </c>
      <c r="C19" s="15" t="inlineStr"/>
      <c r="D19" s="16" t="inlineStr"/>
      <c r="E19" s="16" t="inlineStr"/>
      <c r="F19" s="16" t="inlineStr">
        <is>
          <t>Challenge Valuation</t>
        </is>
      </c>
      <c r="G19" s="16" t="inlineStr"/>
      <c r="H19" s="16" t="inlineStr"/>
      <c r="I19" s="16" t="inlineStr">
        <is>
          <t>Y</t>
        </is>
      </c>
      <c r="J19" s="16" t="inlineStr"/>
      <c r="K19" s="16" t="inlineStr">
        <is>
          <t>Under Process</t>
        </is>
      </c>
    </row>
    <row r="20" ht="22" customHeight="1">
      <c r="B20" s="8" t="inlineStr">
        <is>
          <t>RV/2025/016</t>
        </is>
      </c>
      <c r="C20" s="9" t="inlineStr"/>
      <c r="D20" s="10" t="inlineStr"/>
      <c r="E20" s="10" t="inlineStr"/>
      <c r="F20" s="10" t="inlineStr">
        <is>
          <t>Photocopy of Script</t>
        </is>
      </c>
      <c r="G20" s="10" t="inlineStr"/>
      <c r="H20" s="10" t="inlineStr"/>
      <c r="I20" s="10" t="inlineStr">
        <is>
          <t>Y</t>
        </is>
      </c>
      <c r="J20" s="10" t="inlineStr"/>
      <c r="K20" s="10" t="inlineStr">
        <is>
          <t>Marks Increased</t>
        </is>
      </c>
    </row>
    <row r="21" ht="22" customHeight="1">
      <c r="B21" s="14" t="inlineStr">
        <is>
          <t>RV/2025/017</t>
        </is>
      </c>
      <c r="C21" s="15" t="inlineStr"/>
      <c r="D21" s="16" t="inlineStr"/>
      <c r="E21" s="16" t="inlineStr"/>
      <c r="F21" s="16" t="inlineStr">
        <is>
          <t>Revaluation</t>
        </is>
      </c>
      <c r="G21" s="16" t="inlineStr"/>
      <c r="H21" s="16" t="inlineStr"/>
      <c r="I21" s="16" t="inlineStr">
        <is>
          <t>Y</t>
        </is>
      </c>
      <c r="J21" s="16" t="inlineStr"/>
      <c r="K21" s="16" t="inlineStr">
        <is>
          <t>No Change</t>
        </is>
      </c>
    </row>
    <row r="22" ht="22" customHeight="1">
      <c r="B22" s="8" t="inlineStr">
        <is>
          <t>RV/2025/018</t>
        </is>
      </c>
      <c r="C22" s="9" t="inlineStr"/>
      <c r="D22" s="10" t="inlineStr"/>
      <c r="E22" s="10" t="inlineStr"/>
      <c r="F22" s="10" t="inlineStr">
        <is>
          <t>Recounting</t>
        </is>
      </c>
      <c r="G22" s="10" t="inlineStr"/>
      <c r="H22" s="10" t="inlineStr"/>
      <c r="I22" s="10" t="inlineStr">
        <is>
          <t>Y</t>
        </is>
      </c>
      <c r="J22" s="10" t="inlineStr"/>
      <c r="K22" s="10" t="inlineStr">
        <is>
          <t>Marks Decreased</t>
        </is>
      </c>
    </row>
    <row r="23" ht="22" customHeight="1">
      <c r="B23" s="14" t="inlineStr">
        <is>
          <t>RV/2025/019</t>
        </is>
      </c>
      <c r="C23" s="15" t="inlineStr"/>
      <c r="D23" s="16" t="inlineStr"/>
      <c r="E23" s="16" t="inlineStr"/>
      <c r="F23" s="16" t="inlineStr">
        <is>
          <t>Challenge Valuation</t>
        </is>
      </c>
      <c r="G23" s="16" t="inlineStr"/>
      <c r="H23" s="16" t="inlineStr"/>
      <c r="I23" s="16" t="inlineStr">
        <is>
          <t>Y</t>
        </is>
      </c>
      <c r="J23" s="16" t="inlineStr"/>
      <c r="K23" s="16" t="inlineStr">
        <is>
          <t>Result Withheld</t>
        </is>
      </c>
    </row>
    <row r="24" ht="22" customHeight="1">
      <c r="B24" s="8" t="inlineStr">
        <is>
          <t>RV/2025/020</t>
        </is>
      </c>
      <c r="C24" s="9" t="inlineStr"/>
      <c r="D24" s="10" t="inlineStr"/>
      <c r="E24" s="10" t="inlineStr"/>
      <c r="F24" s="10" t="inlineStr">
        <is>
          <t>Photocopy of Script</t>
        </is>
      </c>
      <c r="G24" s="10" t="inlineStr"/>
      <c r="H24" s="10" t="inlineStr"/>
      <c r="I24" s="10" t="inlineStr">
        <is>
          <t>Y</t>
        </is>
      </c>
      <c r="J24" s="10" t="inlineStr"/>
      <c r="K24" s="10" t="inlineStr">
        <is>
          <t>Under Process</t>
        </is>
      </c>
    </row>
    <row r="25" ht="22" customHeight="1">
      <c r="B25" s="14" t="inlineStr">
        <is>
          <t>RV/2025/021</t>
        </is>
      </c>
      <c r="C25" s="15" t="inlineStr"/>
      <c r="D25" s="16" t="inlineStr"/>
      <c r="E25" s="16" t="inlineStr"/>
      <c r="F25" s="16" t="inlineStr">
        <is>
          <t>Revaluation</t>
        </is>
      </c>
      <c r="G25" s="16" t="inlineStr"/>
      <c r="H25" s="16" t="inlineStr"/>
      <c r="I25" s="16" t="inlineStr">
        <is>
          <t>Y</t>
        </is>
      </c>
      <c r="J25" s="16" t="inlineStr"/>
      <c r="K25" s="16" t="inlineStr">
        <is>
          <t>Marks Increased</t>
        </is>
      </c>
    </row>
    <row r="26" ht="22" customHeight="1">
      <c r="B26" s="8" t="inlineStr">
        <is>
          <t>RV/2025/022</t>
        </is>
      </c>
      <c r="C26" s="9" t="inlineStr"/>
      <c r="D26" s="10" t="inlineStr"/>
      <c r="E26" s="10" t="inlineStr"/>
      <c r="F26" s="10" t="inlineStr">
        <is>
          <t>Recounting</t>
        </is>
      </c>
      <c r="G26" s="10" t="inlineStr"/>
      <c r="H26" s="10" t="inlineStr"/>
      <c r="I26" s="10" t="inlineStr">
        <is>
          <t>Y</t>
        </is>
      </c>
      <c r="J26" s="10" t="inlineStr"/>
      <c r="K26" s="10" t="inlineStr">
        <is>
          <t>No Change</t>
        </is>
      </c>
    </row>
    <row r="27" ht="22" customHeight="1"/>
    <row r="28" ht="24" customHeight="1">
      <c r="B28" s="34" t="inlineStr">
        <is>
          <t>REVALUATION SUMMARY</t>
        </is>
      </c>
    </row>
    <row r="29" ht="22" customHeight="1">
      <c r="B29" s="35" t="inlineStr">
        <is>
          <t>Total Applications</t>
        </is>
      </c>
      <c r="F29" s="36">
        <f>COUNTA(B5:B26)</f>
        <v/>
      </c>
    </row>
    <row r="30" ht="22" customHeight="1">
      <c r="B30" s="25" t="inlineStr">
        <is>
          <t>Revaluations</t>
        </is>
      </c>
      <c r="F30" s="37">
        <f>COUNTIF(F5:F26,"Revaluation")</f>
        <v/>
      </c>
    </row>
    <row r="31" ht="22" customHeight="1">
      <c r="B31" s="35" t="inlineStr">
        <is>
          <t>Marks Increased</t>
        </is>
      </c>
      <c r="F31" s="36">
        <f>COUNTIF(K5:K26,"Marks Increased")</f>
        <v/>
      </c>
    </row>
    <row r="32" ht="22" customHeight="1">
      <c r="B32" s="25" t="inlineStr">
        <is>
          <t>No Change</t>
        </is>
      </c>
      <c r="F32" s="37">
        <f>COUNTIF(K5:K26,"No Change")</f>
        <v/>
      </c>
    </row>
    <row r="33" ht="22" customHeight="1">
      <c r="B33" s="35" t="inlineStr">
        <is>
          <t>Total Fee Collected (₹)</t>
        </is>
      </c>
      <c r="F33" s="36">
        <f>IFERROR(SUM(H5:H26),"")</f>
        <v/>
      </c>
    </row>
    <row r="34">
      <c r="B34" s="25" t="inlineStr">
        <is>
          <t>% Applications with Mark Change</t>
        </is>
      </c>
      <c r="F34" s="37">
        <f>IFERROR(ROUND(C30/C29*100,1),"")</f>
        <v/>
      </c>
    </row>
  </sheetData>
  <mergeCells count="16">
    <mergeCell ref="B31:E31"/>
    <mergeCell ref="F34:K34"/>
    <mergeCell ref="F33:K33"/>
    <mergeCell ref="B4:K4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EC-25: PRACTICAL EXAMINATION SCHEDULE &amp; REGISTER</t>
        </is>
      </c>
    </row>
    <row r="3" ht="25" customHeight="1">
      <c r="B3" s="2" t="inlineStr">
        <is>
          <t>Semester: _______  A.Y.: _______  CoE: ___________________</t>
        </is>
      </c>
    </row>
    <row r="4" ht="25" customHeight="1">
      <c r="B4" s="13" t="inlineStr">
        <is>
          <t>Sl.</t>
        </is>
      </c>
      <c r="C4" s="13" t="inlineStr">
        <is>
          <t>Course Name</t>
        </is>
      </c>
      <c r="D4" s="13" t="inlineStr">
        <is>
          <t>Course
Code</t>
        </is>
      </c>
      <c r="E4" s="13" t="inlineStr">
        <is>
          <t>Dept.</t>
        </is>
      </c>
      <c r="F4" s="13" t="inlineStr">
        <is>
          <t>Exam Date</t>
        </is>
      </c>
      <c r="G4" s="13" t="inlineStr">
        <is>
          <t>Batch
Size</t>
        </is>
      </c>
      <c r="H4" s="13" t="inlineStr">
        <is>
          <t>External
Examiner</t>
        </is>
      </c>
      <c r="I4" s="13" t="inlineStr">
        <is>
          <t>Internal
Examiner</t>
        </is>
      </c>
      <c r="J4" s="13" t="inlineStr">
        <is>
          <t>Max Marks
(Int+Ext)</t>
        </is>
      </c>
      <c r="K4" s="13" t="inlineStr">
        <is>
          <t>Status</t>
        </is>
      </c>
    </row>
    <row r="5" ht="22" customHeight="1">
      <c r="B5" s="14" t="n">
        <v>1</v>
      </c>
      <c r="C5" s="15" t="inlineStr"/>
      <c r="D5" s="16" t="inlineStr">
        <is>
          <t>LAB001</t>
        </is>
      </c>
      <c r="E5" s="16" t="inlineStr">
        <is>
          <t>CSE</t>
        </is>
      </c>
      <c r="F5" s="16" t="inlineStr"/>
      <c r="G5" s="16" t="inlineStr"/>
      <c r="H5" s="15" t="inlineStr"/>
      <c r="I5" s="15" t="inlineStr"/>
      <c r="J5" s="16" t="inlineStr">
        <is>
          <t>50+50</t>
        </is>
      </c>
      <c r="K5" s="16" t="inlineStr">
        <is>
          <t>Scheduled</t>
        </is>
      </c>
    </row>
    <row r="6" ht="22" customHeight="1">
      <c r="B6" s="8" t="n">
        <v>2</v>
      </c>
      <c r="C6" s="9" t="inlineStr"/>
      <c r="D6" s="10" t="inlineStr">
        <is>
          <t>LAB002</t>
        </is>
      </c>
      <c r="E6" s="10" t="inlineStr">
        <is>
          <t>ECE</t>
        </is>
      </c>
      <c r="F6" s="10" t="inlineStr"/>
      <c r="G6" s="10" t="inlineStr"/>
      <c r="H6" s="9" t="inlineStr"/>
      <c r="I6" s="9" t="inlineStr"/>
      <c r="J6" s="10" t="inlineStr">
        <is>
          <t>50+50</t>
        </is>
      </c>
      <c r="K6" s="10" t="inlineStr">
        <is>
          <t>Scheduled</t>
        </is>
      </c>
    </row>
    <row r="7" ht="22" customHeight="1">
      <c r="B7" s="14" t="n">
        <v>3</v>
      </c>
      <c r="C7" s="15" t="inlineStr"/>
      <c r="D7" s="16" t="inlineStr">
        <is>
          <t>LAB003</t>
        </is>
      </c>
      <c r="E7" s="16" t="inlineStr">
        <is>
          <t>EEE</t>
        </is>
      </c>
      <c r="F7" s="16" t="inlineStr"/>
      <c r="G7" s="16" t="inlineStr"/>
      <c r="H7" s="15" t="inlineStr"/>
      <c r="I7" s="15" t="inlineStr"/>
      <c r="J7" s="16" t="inlineStr">
        <is>
          <t>50+50</t>
        </is>
      </c>
      <c r="K7" s="16" t="inlineStr">
        <is>
          <t>Scheduled</t>
        </is>
      </c>
    </row>
    <row r="8" ht="22" customHeight="1">
      <c r="B8" s="8" t="n">
        <v>4</v>
      </c>
      <c r="C8" s="9" t="inlineStr"/>
      <c r="D8" s="10" t="inlineStr">
        <is>
          <t>LAB004</t>
        </is>
      </c>
      <c r="E8" s="10" t="inlineStr">
        <is>
          <t>MECH</t>
        </is>
      </c>
      <c r="F8" s="10" t="inlineStr"/>
      <c r="G8" s="10" t="inlineStr"/>
      <c r="H8" s="9" t="inlineStr"/>
      <c r="I8" s="9" t="inlineStr"/>
      <c r="J8" s="10" t="inlineStr">
        <is>
          <t>50+50</t>
        </is>
      </c>
      <c r="K8" s="10" t="inlineStr">
        <is>
          <t>Scheduled</t>
        </is>
      </c>
    </row>
    <row r="9" ht="22" customHeight="1">
      <c r="B9" s="14" t="n">
        <v>5</v>
      </c>
      <c r="C9" s="15" t="inlineStr"/>
      <c r="D9" s="16" t="inlineStr">
        <is>
          <t>LAB005</t>
        </is>
      </c>
      <c r="E9" s="16" t="inlineStr">
        <is>
          <t>CIVIL</t>
        </is>
      </c>
      <c r="F9" s="16" t="inlineStr"/>
      <c r="G9" s="16" t="inlineStr"/>
      <c r="H9" s="15" t="inlineStr"/>
      <c r="I9" s="15" t="inlineStr"/>
      <c r="J9" s="16" t="inlineStr">
        <is>
          <t>50+50</t>
        </is>
      </c>
      <c r="K9" s="16" t="inlineStr">
        <is>
          <t>Scheduled</t>
        </is>
      </c>
    </row>
    <row r="10" ht="22" customHeight="1">
      <c r="B10" s="8" t="n">
        <v>6</v>
      </c>
      <c r="C10" s="9" t="inlineStr"/>
      <c r="D10" s="10" t="inlineStr">
        <is>
          <t>LAB006</t>
        </is>
      </c>
      <c r="E10" s="10" t="inlineStr">
        <is>
          <t>S&amp;H</t>
        </is>
      </c>
      <c r="F10" s="10" t="inlineStr"/>
      <c r="G10" s="10" t="inlineStr"/>
      <c r="H10" s="9" t="inlineStr"/>
      <c r="I10" s="9" t="inlineStr"/>
      <c r="J10" s="10" t="inlineStr">
        <is>
          <t>50+50</t>
        </is>
      </c>
      <c r="K10" s="10" t="inlineStr">
        <is>
          <t>Scheduled</t>
        </is>
      </c>
    </row>
    <row r="11" ht="22" customHeight="1">
      <c r="B11" s="14" t="n">
        <v>7</v>
      </c>
      <c r="C11" s="15" t="inlineStr"/>
      <c r="D11" s="16" t="inlineStr">
        <is>
          <t>LAB007</t>
        </is>
      </c>
      <c r="E11" s="16" t="inlineStr">
        <is>
          <t>MBA</t>
        </is>
      </c>
      <c r="F11" s="16" t="inlineStr"/>
      <c r="G11" s="16" t="inlineStr"/>
      <c r="H11" s="15" t="inlineStr"/>
      <c r="I11" s="15" t="inlineStr"/>
      <c r="J11" s="16" t="inlineStr">
        <is>
          <t>50+50</t>
        </is>
      </c>
      <c r="K11" s="16" t="inlineStr">
        <is>
          <t>Scheduled</t>
        </is>
      </c>
    </row>
    <row r="12" ht="22" customHeight="1">
      <c r="B12" s="8" t="n">
        <v>8</v>
      </c>
      <c r="C12" s="9" t="inlineStr"/>
      <c r="D12" s="10" t="inlineStr">
        <is>
          <t>LAB008</t>
        </is>
      </c>
      <c r="E12" s="10" t="inlineStr">
        <is>
          <t>MCA</t>
        </is>
      </c>
      <c r="F12" s="10" t="inlineStr"/>
      <c r="G12" s="10" t="inlineStr"/>
      <c r="H12" s="9" t="inlineStr"/>
      <c r="I12" s="9" t="inlineStr"/>
      <c r="J12" s="10" t="inlineStr">
        <is>
          <t>50+50</t>
        </is>
      </c>
      <c r="K12" s="10" t="inlineStr">
        <is>
          <t>Scheduled</t>
        </is>
      </c>
    </row>
    <row r="13" ht="22" customHeight="1">
      <c r="B13" s="14" t="n">
        <v>9</v>
      </c>
      <c r="C13" s="15" t="inlineStr"/>
      <c r="D13" s="16" t="inlineStr">
        <is>
          <t>LAB009</t>
        </is>
      </c>
      <c r="E13" s="16" t="inlineStr">
        <is>
          <t>CSE</t>
        </is>
      </c>
      <c r="F13" s="16" t="inlineStr"/>
      <c r="G13" s="16" t="inlineStr"/>
      <c r="H13" s="15" t="inlineStr"/>
      <c r="I13" s="15" t="inlineStr"/>
      <c r="J13" s="16" t="inlineStr">
        <is>
          <t>50+50</t>
        </is>
      </c>
      <c r="K13" s="16" t="inlineStr">
        <is>
          <t>Scheduled</t>
        </is>
      </c>
    </row>
    <row r="14" ht="22" customHeight="1">
      <c r="B14" s="8" t="n">
        <v>10</v>
      </c>
      <c r="C14" s="9" t="inlineStr"/>
      <c r="D14" s="10" t="inlineStr">
        <is>
          <t>LAB010</t>
        </is>
      </c>
      <c r="E14" s="10" t="inlineStr">
        <is>
          <t>ECE</t>
        </is>
      </c>
      <c r="F14" s="10" t="inlineStr"/>
      <c r="G14" s="10" t="inlineStr"/>
      <c r="H14" s="9" t="inlineStr"/>
      <c r="I14" s="9" t="inlineStr"/>
      <c r="J14" s="10" t="inlineStr">
        <is>
          <t>50+50</t>
        </is>
      </c>
      <c r="K14" s="10" t="inlineStr">
        <is>
          <t>Scheduled</t>
        </is>
      </c>
    </row>
    <row r="15" ht="22" customHeight="1">
      <c r="B15" s="14" t="n">
        <v>11</v>
      </c>
      <c r="C15" s="15" t="inlineStr"/>
      <c r="D15" s="16" t="inlineStr">
        <is>
          <t>LAB011</t>
        </is>
      </c>
      <c r="E15" s="16" t="inlineStr">
        <is>
          <t>EEE</t>
        </is>
      </c>
      <c r="F15" s="16" t="inlineStr"/>
      <c r="G15" s="16" t="inlineStr"/>
      <c r="H15" s="15" t="inlineStr"/>
      <c r="I15" s="15" t="inlineStr"/>
      <c r="J15" s="16" t="inlineStr">
        <is>
          <t>50+50</t>
        </is>
      </c>
      <c r="K15" s="16" t="inlineStr">
        <is>
          <t>Scheduled</t>
        </is>
      </c>
    </row>
    <row r="16" ht="22" customHeight="1">
      <c r="B16" s="8" t="n">
        <v>12</v>
      </c>
      <c r="C16" s="9" t="inlineStr"/>
      <c r="D16" s="10" t="inlineStr">
        <is>
          <t>LAB012</t>
        </is>
      </c>
      <c r="E16" s="10" t="inlineStr">
        <is>
          <t>MECH</t>
        </is>
      </c>
      <c r="F16" s="10" t="inlineStr"/>
      <c r="G16" s="10" t="inlineStr"/>
      <c r="H16" s="9" t="inlineStr"/>
      <c r="I16" s="9" t="inlineStr"/>
      <c r="J16" s="10" t="inlineStr">
        <is>
          <t>50+50</t>
        </is>
      </c>
      <c r="K16" s="10" t="inlineStr">
        <is>
          <t>Scheduled</t>
        </is>
      </c>
    </row>
    <row r="17" ht="22" customHeight="1">
      <c r="B17" s="14" t="n">
        <v>13</v>
      </c>
      <c r="C17" s="15" t="inlineStr"/>
      <c r="D17" s="16" t="inlineStr">
        <is>
          <t>LAB013</t>
        </is>
      </c>
      <c r="E17" s="16" t="inlineStr">
        <is>
          <t>CIVIL</t>
        </is>
      </c>
      <c r="F17" s="16" t="inlineStr"/>
      <c r="G17" s="16" t="inlineStr"/>
      <c r="H17" s="15" t="inlineStr"/>
      <c r="I17" s="15" t="inlineStr"/>
      <c r="J17" s="16" t="inlineStr">
        <is>
          <t>50+50</t>
        </is>
      </c>
      <c r="K17" s="16" t="inlineStr">
        <is>
          <t>Scheduled</t>
        </is>
      </c>
    </row>
    <row r="18" ht="22" customHeight="1">
      <c r="B18" s="8" t="n">
        <v>14</v>
      </c>
      <c r="C18" s="9" t="inlineStr"/>
      <c r="D18" s="10" t="inlineStr">
        <is>
          <t>LAB014</t>
        </is>
      </c>
      <c r="E18" s="10" t="inlineStr">
        <is>
          <t>S&amp;H</t>
        </is>
      </c>
      <c r="F18" s="10" t="inlineStr"/>
      <c r="G18" s="10" t="inlineStr"/>
      <c r="H18" s="9" t="inlineStr"/>
      <c r="I18" s="9" t="inlineStr"/>
      <c r="J18" s="10" t="inlineStr">
        <is>
          <t>50+50</t>
        </is>
      </c>
      <c r="K18" s="10" t="inlineStr">
        <is>
          <t>Scheduled</t>
        </is>
      </c>
    </row>
    <row r="19" ht="22" customHeight="1">
      <c r="B19" s="14" t="n">
        <v>15</v>
      </c>
      <c r="C19" s="15" t="inlineStr"/>
      <c r="D19" s="16" t="inlineStr">
        <is>
          <t>LAB015</t>
        </is>
      </c>
      <c r="E19" s="16" t="inlineStr">
        <is>
          <t>MBA</t>
        </is>
      </c>
      <c r="F19" s="16" t="inlineStr"/>
      <c r="G19" s="16" t="inlineStr"/>
      <c r="H19" s="15" t="inlineStr"/>
      <c r="I19" s="15" t="inlineStr"/>
      <c r="J19" s="16" t="inlineStr">
        <is>
          <t>50+50</t>
        </is>
      </c>
      <c r="K19" s="16" t="inlineStr">
        <is>
          <t>Scheduled</t>
        </is>
      </c>
    </row>
    <row r="20" ht="22" customHeight="1">
      <c r="B20" s="8" t="n">
        <v>16</v>
      </c>
      <c r="C20" s="9" t="inlineStr"/>
      <c r="D20" s="10" t="inlineStr">
        <is>
          <t>LAB016</t>
        </is>
      </c>
      <c r="E20" s="10" t="inlineStr">
        <is>
          <t>MCA</t>
        </is>
      </c>
      <c r="F20" s="10" t="inlineStr"/>
      <c r="G20" s="10" t="inlineStr"/>
      <c r="H20" s="9" t="inlineStr"/>
      <c r="I20" s="9" t="inlineStr"/>
      <c r="J20" s="10" t="inlineStr">
        <is>
          <t>50+50</t>
        </is>
      </c>
      <c r="K20" s="10" t="inlineStr">
        <is>
          <t>Scheduled</t>
        </is>
      </c>
    </row>
    <row r="21" ht="22" customHeight="1">
      <c r="B21" s="14" t="n">
        <v>17</v>
      </c>
      <c r="C21" s="15" t="inlineStr"/>
      <c r="D21" s="16" t="inlineStr">
        <is>
          <t>LAB017</t>
        </is>
      </c>
      <c r="E21" s="16" t="inlineStr">
        <is>
          <t>CSE</t>
        </is>
      </c>
      <c r="F21" s="16" t="inlineStr"/>
      <c r="G21" s="16" t="inlineStr"/>
      <c r="H21" s="15" t="inlineStr"/>
      <c r="I21" s="15" t="inlineStr"/>
      <c r="J21" s="16" t="inlineStr">
        <is>
          <t>50+50</t>
        </is>
      </c>
      <c r="K21" s="16" t="inlineStr">
        <is>
          <t>Scheduled</t>
        </is>
      </c>
    </row>
    <row r="22" ht="22" customHeight="1">
      <c r="B22" s="8" t="n">
        <v>18</v>
      </c>
      <c r="C22" s="9" t="inlineStr"/>
      <c r="D22" s="10" t="inlineStr">
        <is>
          <t>LAB018</t>
        </is>
      </c>
      <c r="E22" s="10" t="inlineStr">
        <is>
          <t>ECE</t>
        </is>
      </c>
      <c r="F22" s="10" t="inlineStr"/>
      <c r="G22" s="10" t="inlineStr"/>
      <c r="H22" s="9" t="inlineStr"/>
      <c r="I22" s="9" t="inlineStr"/>
      <c r="J22" s="10" t="inlineStr">
        <is>
          <t>50+50</t>
        </is>
      </c>
      <c r="K22" s="10" t="inlineStr">
        <is>
          <t>Scheduled</t>
        </is>
      </c>
    </row>
    <row r="23" ht="22" customHeight="1">
      <c r="B23" s="14" t="n">
        <v>19</v>
      </c>
      <c r="C23" s="15" t="inlineStr"/>
      <c r="D23" s="16" t="inlineStr">
        <is>
          <t>LAB019</t>
        </is>
      </c>
      <c r="E23" s="16" t="inlineStr">
        <is>
          <t>EEE</t>
        </is>
      </c>
      <c r="F23" s="16" t="inlineStr"/>
      <c r="G23" s="16" t="inlineStr"/>
      <c r="H23" s="15" t="inlineStr"/>
      <c r="I23" s="15" t="inlineStr"/>
      <c r="J23" s="16" t="inlineStr">
        <is>
          <t>50+50</t>
        </is>
      </c>
      <c r="K23" s="16" t="inlineStr">
        <is>
          <t>Scheduled</t>
        </is>
      </c>
    </row>
    <row r="24" ht="22" customHeight="1">
      <c r="B24" s="8" t="n">
        <v>20</v>
      </c>
      <c r="C24" s="9" t="inlineStr"/>
      <c r="D24" s="10" t="inlineStr">
        <is>
          <t>LAB020</t>
        </is>
      </c>
      <c r="E24" s="10" t="inlineStr">
        <is>
          <t>MECH</t>
        </is>
      </c>
      <c r="F24" s="10" t="inlineStr"/>
      <c r="G24" s="10" t="inlineStr"/>
      <c r="H24" s="9" t="inlineStr"/>
      <c r="I24" s="9" t="inlineStr"/>
      <c r="J24" s="10" t="inlineStr">
        <is>
          <t>50+50</t>
        </is>
      </c>
      <c r="K24" s="10" t="inlineStr">
        <is>
          <t>Scheduled</t>
        </is>
      </c>
    </row>
    <row r="25" ht="22" customHeight="1">
      <c r="B25" s="14" t="n">
        <v>21</v>
      </c>
      <c r="C25" s="15" t="inlineStr"/>
      <c r="D25" s="16" t="inlineStr">
        <is>
          <t>LAB021</t>
        </is>
      </c>
      <c r="E25" s="16" t="inlineStr">
        <is>
          <t>CIVIL</t>
        </is>
      </c>
      <c r="F25" s="16" t="inlineStr"/>
      <c r="G25" s="16" t="inlineStr"/>
      <c r="H25" s="15" t="inlineStr"/>
      <c r="I25" s="15" t="inlineStr"/>
      <c r="J25" s="16" t="inlineStr">
        <is>
          <t>50+50</t>
        </is>
      </c>
      <c r="K25" s="16" t="inlineStr">
        <is>
          <t>Scheduled</t>
        </is>
      </c>
    </row>
    <row r="26" ht="22" customHeight="1">
      <c r="B26" s="8" t="n">
        <v>22</v>
      </c>
      <c r="C26" s="9" t="inlineStr"/>
      <c r="D26" s="10" t="inlineStr">
        <is>
          <t>LAB022</t>
        </is>
      </c>
      <c r="E26" s="10" t="inlineStr">
        <is>
          <t>S&amp;H</t>
        </is>
      </c>
      <c r="F26" s="10" t="inlineStr"/>
      <c r="G26" s="10" t="inlineStr"/>
      <c r="H26" s="9" t="inlineStr"/>
      <c r="I26" s="9" t="inlineStr"/>
      <c r="J26" s="10" t="inlineStr">
        <is>
          <t>50+50</t>
        </is>
      </c>
      <c r="K26" s="10" t="inlineStr">
        <is>
          <t>Scheduled</t>
        </is>
      </c>
    </row>
    <row r="27" ht="22" customHeight="1"/>
    <row r="28" ht="24" customHeight="1">
      <c r="B28" s="34" t="inlineStr">
        <is>
          <t>DEPT-WISE PRACTICAL EXAM SUMMARY</t>
        </is>
      </c>
    </row>
    <row r="29" ht="22" customHeight="1">
      <c r="B29" s="30" t="inlineStr">
        <is>
          <t>Dept.</t>
        </is>
      </c>
      <c r="C29" s="30" t="inlineStr">
        <is>
          <t>Practical
Courses</t>
        </is>
      </c>
      <c r="D29" s="30" t="inlineStr">
        <is>
          <t>Completed</t>
        </is>
      </c>
      <c r="E29" s="30" t="inlineStr">
        <is>
          <t>Pending</t>
        </is>
      </c>
      <c r="F29" s="30" t="inlineStr">
        <is>
          <t>Marks Uploaded</t>
        </is>
      </c>
      <c r="G29" s="30" t="inlineStr">
        <is>
          <t>External Examiners
Engaged</t>
        </is>
      </c>
    </row>
    <row r="30" ht="22" customHeight="1">
      <c r="B30" s="32" t="inlineStr">
        <is>
          <t>CSE</t>
        </is>
      </c>
      <c r="C30" s="33" t="inlineStr"/>
      <c r="D30" s="33" t="inlineStr"/>
      <c r="E30" s="33">
        <f>IFERROR(C30-D30,"")</f>
        <v/>
      </c>
      <c r="F30" s="33" t="inlineStr"/>
      <c r="G30" s="33" t="inlineStr"/>
      <c r="H30" s="38" t="n"/>
      <c r="I30" s="38" t="n"/>
      <c r="J30" s="38" t="n"/>
      <c r="K30" s="38" t="n"/>
    </row>
    <row r="31" ht="22" customHeight="1">
      <c r="B31" s="9" t="inlineStr">
        <is>
          <t>ECE</t>
        </is>
      </c>
      <c r="C31" s="10" t="inlineStr"/>
      <c r="D31" s="10" t="inlineStr"/>
      <c r="E31" s="10">
        <f>IFERROR(C31-D31,"")</f>
        <v/>
      </c>
      <c r="F31" s="10" t="inlineStr"/>
      <c r="G31" s="10" t="inlineStr"/>
      <c r="H31" s="39" t="n"/>
      <c r="I31" s="39" t="n"/>
      <c r="J31" s="39" t="n"/>
      <c r="K31" s="39" t="n"/>
    </row>
    <row r="32" ht="22" customHeight="1">
      <c r="B32" s="32" t="inlineStr">
        <is>
          <t>EEE</t>
        </is>
      </c>
      <c r="C32" s="33" t="inlineStr"/>
      <c r="D32" s="33" t="inlineStr"/>
      <c r="E32" s="33">
        <f>IFERROR(C32-D32,"")</f>
        <v/>
      </c>
      <c r="F32" s="33" t="inlineStr"/>
      <c r="G32" s="33" t="inlineStr"/>
      <c r="H32" s="38" t="n"/>
      <c r="I32" s="38" t="n"/>
      <c r="J32" s="38" t="n"/>
      <c r="K32" s="38" t="n"/>
    </row>
    <row r="33" ht="22" customHeight="1">
      <c r="B33" s="9" t="inlineStr">
        <is>
          <t>MECH</t>
        </is>
      </c>
      <c r="C33" s="10" t="inlineStr"/>
      <c r="D33" s="10" t="inlineStr"/>
      <c r="E33" s="10">
        <f>IFERROR(C33-D33,"")</f>
        <v/>
      </c>
      <c r="F33" s="10" t="inlineStr"/>
      <c r="G33" s="10" t="inlineStr"/>
      <c r="H33" s="39" t="n"/>
      <c r="I33" s="39" t="n"/>
      <c r="J33" s="39" t="n"/>
      <c r="K33" s="39" t="n"/>
    </row>
    <row r="34" ht="22" customHeight="1">
      <c r="B34" s="32" t="inlineStr">
        <is>
          <t>CIVIL</t>
        </is>
      </c>
      <c r="C34" s="33" t="inlineStr"/>
      <c r="D34" s="33" t="inlineStr"/>
      <c r="E34" s="33">
        <f>IFERROR(C34-D34,"")</f>
        <v/>
      </c>
      <c r="F34" s="33" t="inlineStr"/>
      <c r="G34" s="33" t="inlineStr"/>
      <c r="H34" s="38" t="n"/>
      <c r="I34" s="38" t="n"/>
      <c r="J34" s="38" t="n"/>
      <c r="K34" s="38" t="n"/>
    </row>
    <row r="35" ht="22" customHeight="1">
      <c r="B35" s="9" t="inlineStr">
        <is>
          <t>S&amp;H</t>
        </is>
      </c>
      <c r="C35" s="10" t="inlineStr"/>
      <c r="D35" s="10" t="inlineStr"/>
      <c r="E35" s="10">
        <f>IFERROR(C35-D35,"")</f>
        <v/>
      </c>
      <c r="F35" s="10" t="inlineStr"/>
      <c r="G35" s="10" t="inlineStr"/>
      <c r="H35" s="39" t="n"/>
      <c r="I35" s="39" t="n"/>
      <c r="J35" s="39" t="n"/>
      <c r="K35" s="39" t="n"/>
    </row>
    <row r="36">
      <c r="B36" s="32" t="inlineStr">
        <is>
          <t>MBA</t>
        </is>
      </c>
      <c r="C36" s="33" t="inlineStr"/>
      <c r="D36" s="33" t="inlineStr"/>
      <c r="E36" s="33">
        <f>IFERROR(C36-D36,"")</f>
        <v/>
      </c>
      <c r="F36" s="33" t="inlineStr"/>
      <c r="G36" s="33" t="inlineStr"/>
      <c r="H36" s="38" t="n"/>
      <c r="I36" s="38" t="n"/>
      <c r="J36" s="38" t="n"/>
      <c r="K36" s="38" t="n"/>
    </row>
    <row r="37">
      <c r="B37" s="9" t="inlineStr">
        <is>
          <t>MCA</t>
        </is>
      </c>
      <c r="C37" s="10" t="inlineStr"/>
      <c r="D37" s="10" t="inlineStr"/>
      <c r="E37" s="10">
        <f>IFERROR(C37-D37,"")</f>
        <v/>
      </c>
      <c r="F37" s="10" t="inlineStr"/>
      <c r="G37" s="10" t="inlineStr"/>
      <c r="H37" s="39" t="n"/>
      <c r="I37" s="39" t="n"/>
      <c r="J37" s="39" t="n"/>
      <c r="K37" s="39" t="n"/>
    </row>
    <row r="38">
      <c r="B38" s="23" t="inlineStr">
        <is>
          <t>TOTAL</t>
        </is>
      </c>
      <c r="C38" s="40" t="inlineStr"/>
      <c r="D38" s="40" t="inlineStr"/>
      <c r="E38" s="40">
        <f>IFERROR(C38-D38,"")</f>
        <v/>
      </c>
      <c r="F38" s="40" t="inlineStr"/>
      <c r="G38" s="40" t="inlineStr"/>
      <c r="H38" s="41" t="n"/>
      <c r="I38" s="41" t="n"/>
      <c r="J38" s="41" t="n"/>
      <c r="K38" s="41" t="n"/>
    </row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EC-28: BACKLOG / FAILED STUDENT TRACKING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Semester: _______  A.Y.: _______  CoE: ___________________  Academic Support Coordinator: ___________________</t>
        </is>
      </c>
    </row>
    <row r="5" ht="22" customHeight="1">
      <c r="B5" s="47" t="inlineStr">
        <is>
          <t>BL/001</t>
        </is>
      </c>
      <c r="C5" s="48" t="inlineStr"/>
      <c r="D5" s="49" t="inlineStr"/>
      <c r="E5" s="49" t="inlineStr"/>
      <c r="F5" s="49" t="inlineStr"/>
      <c r="G5" s="48" t="inlineStr"/>
      <c r="H5" s="49" t="inlineStr"/>
      <c r="I5" s="49" t="inlineStr">
        <is>
          <t>Y</t>
        </is>
      </c>
      <c r="J5" s="49" t="inlineStr">
        <is>
          <t>Remedial Classes</t>
        </is>
      </c>
      <c r="K5" s="49" t="inlineStr">
        <is>
          <t>Cleared — All Papers Passed</t>
        </is>
      </c>
    </row>
    <row r="6" ht="22" customHeight="1">
      <c r="B6" s="8" t="inlineStr">
        <is>
          <t>BL/002</t>
        </is>
      </c>
      <c r="C6" s="9" t="inlineStr"/>
      <c r="D6" s="10" t="inlineStr"/>
      <c r="E6" s="10" t="inlineStr"/>
      <c r="F6" s="10" t="inlineStr"/>
      <c r="G6" s="9" t="inlineStr"/>
      <c r="H6" s="10" t="inlineStr"/>
      <c r="I6" s="10" t="inlineStr">
        <is>
          <t>Y</t>
        </is>
      </c>
      <c r="J6" s="10" t="inlineStr">
        <is>
          <t>Remedial Classes</t>
        </is>
      </c>
      <c r="K6" s="10" t="inlineStr">
        <is>
          <t>1–2 Papers Pending</t>
        </is>
      </c>
    </row>
    <row r="7" ht="22" customHeight="1">
      <c r="B7" s="47" t="inlineStr">
        <is>
          <t>BL/003</t>
        </is>
      </c>
      <c r="C7" s="48" t="inlineStr"/>
      <c r="D7" s="49" t="inlineStr"/>
      <c r="E7" s="49" t="inlineStr"/>
      <c r="F7" s="49" t="inlineStr"/>
      <c r="G7" s="48" t="inlineStr"/>
      <c r="H7" s="49" t="inlineStr"/>
      <c r="I7" s="49" t="inlineStr">
        <is>
          <t>Y</t>
        </is>
      </c>
      <c r="J7" s="49" t="inlineStr">
        <is>
          <t>Remedial Classes</t>
        </is>
      </c>
      <c r="K7" s="49" t="inlineStr">
        <is>
          <t>3+ Papers Pending</t>
        </is>
      </c>
    </row>
    <row r="8" ht="22" customHeight="1">
      <c r="B8" s="8" t="inlineStr">
        <is>
          <t>BL/004</t>
        </is>
      </c>
      <c r="C8" s="9" t="inlineStr"/>
      <c r="D8" s="10" t="inlineStr"/>
      <c r="E8" s="10" t="inlineStr"/>
      <c r="F8" s="10" t="inlineStr"/>
      <c r="G8" s="9" t="inlineStr"/>
      <c r="H8" s="10" t="inlineStr"/>
      <c r="I8" s="10" t="inlineStr">
        <is>
          <t>Y</t>
        </is>
      </c>
      <c r="J8" s="10" t="inlineStr">
        <is>
          <t>Remedial Classes</t>
        </is>
      </c>
      <c r="K8" s="10" t="inlineStr">
        <is>
          <t>Appeared — Result Awaited</t>
        </is>
      </c>
    </row>
    <row r="9" ht="22" customHeight="1">
      <c r="B9" s="47" t="inlineStr">
        <is>
          <t>BL/005</t>
        </is>
      </c>
      <c r="C9" s="48" t="inlineStr"/>
      <c r="D9" s="49" t="inlineStr"/>
      <c r="E9" s="49" t="inlineStr"/>
      <c r="F9" s="49" t="inlineStr"/>
      <c r="G9" s="48" t="inlineStr"/>
      <c r="H9" s="49" t="inlineStr"/>
      <c r="I9" s="49" t="inlineStr">
        <is>
          <t>Y</t>
        </is>
      </c>
      <c r="J9" s="49" t="inlineStr">
        <is>
          <t>Remedial Classes</t>
        </is>
      </c>
      <c r="K9" s="49" t="inlineStr">
        <is>
          <t>Dropped Out</t>
        </is>
      </c>
    </row>
    <row r="10" ht="22" customHeight="1">
      <c r="B10" s="8" t="inlineStr">
        <is>
          <t>BL/006</t>
        </is>
      </c>
      <c r="C10" s="9" t="inlineStr"/>
      <c r="D10" s="10" t="inlineStr"/>
      <c r="E10" s="10" t="inlineStr"/>
      <c r="F10" s="10" t="inlineStr"/>
      <c r="G10" s="9" t="inlineStr"/>
      <c r="H10" s="10" t="inlineStr"/>
      <c r="I10" s="10" t="inlineStr">
        <is>
          <t>Y</t>
        </is>
      </c>
      <c r="J10" s="10" t="inlineStr">
        <is>
          <t>Remedial Classes</t>
        </is>
      </c>
      <c r="K10" s="10" t="inlineStr">
        <is>
          <t>Academic Probation</t>
        </is>
      </c>
    </row>
    <row r="11" ht="22" customHeight="1">
      <c r="B11" s="47" t="inlineStr">
        <is>
          <t>BL/007</t>
        </is>
      </c>
      <c r="C11" s="48" t="inlineStr"/>
      <c r="D11" s="49" t="inlineStr"/>
      <c r="E11" s="49" t="inlineStr"/>
      <c r="F11" s="49" t="inlineStr"/>
      <c r="G11" s="48" t="inlineStr"/>
      <c r="H11" s="49" t="inlineStr"/>
      <c r="I11" s="49" t="inlineStr">
        <is>
          <t>Y</t>
        </is>
      </c>
      <c r="J11" s="49" t="inlineStr">
        <is>
          <t>Remedial Classes</t>
        </is>
      </c>
      <c r="K11" s="49" t="inlineStr">
        <is>
          <t>Cleared — All Papers Passed</t>
        </is>
      </c>
    </row>
    <row r="12" ht="22" customHeight="1">
      <c r="B12" s="8" t="inlineStr">
        <is>
          <t>BL/008</t>
        </is>
      </c>
      <c r="C12" s="9" t="inlineStr"/>
      <c r="D12" s="10" t="inlineStr"/>
      <c r="E12" s="10" t="inlineStr"/>
      <c r="F12" s="10" t="inlineStr"/>
      <c r="G12" s="9" t="inlineStr"/>
      <c r="H12" s="10" t="inlineStr"/>
      <c r="I12" s="10" t="inlineStr">
        <is>
          <t>Y</t>
        </is>
      </c>
      <c r="J12" s="10" t="inlineStr">
        <is>
          <t>Remedial Classes</t>
        </is>
      </c>
      <c r="K12" s="10" t="inlineStr">
        <is>
          <t>1–2 Papers Pending</t>
        </is>
      </c>
    </row>
    <row r="13" ht="22" customHeight="1">
      <c r="B13" s="47" t="inlineStr">
        <is>
          <t>BL/009</t>
        </is>
      </c>
      <c r="C13" s="48" t="inlineStr"/>
      <c r="D13" s="49" t="inlineStr"/>
      <c r="E13" s="49" t="inlineStr"/>
      <c r="F13" s="49" t="inlineStr"/>
      <c r="G13" s="48" t="inlineStr"/>
      <c r="H13" s="49" t="inlineStr"/>
      <c r="I13" s="49" t="inlineStr">
        <is>
          <t>Y</t>
        </is>
      </c>
      <c r="J13" s="49" t="inlineStr">
        <is>
          <t>Remedial Classes</t>
        </is>
      </c>
      <c r="K13" s="49" t="inlineStr">
        <is>
          <t>3+ Papers Pending</t>
        </is>
      </c>
    </row>
    <row r="14" ht="22" customHeight="1">
      <c r="B14" s="8" t="inlineStr">
        <is>
          <t>BL/010</t>
        </is>
      </c>
      <c r="C14" s="9" t="inlineStr"/>
      <c r="D14" s="10" t="inlineStr"/>
      <c r="E14" s="10" t="inlineStr"/>
      <c r="F14" s="10" t="inlineStr"/>
      <c r="G14" s="9" t="inlineStr"/>
      <c r="H14" s="10" t="inlineStr"/>
      <c r="I14" s="10" t="inlineStr">
        <is>
          <t>Y</t>
        </is>
      </c>
      <c r="J14" s="10" t="inlineStr">
        <is>
          <t>Remedial Classes</t>
        </is>
      </c>
      <c r="K14" s="10" t="inlineStr">
        <is>
          <t>Appeared — Result Awaited</t>
        </is>
      </c>
    </row>
    <row r="15" ht="22" customHeight="1">
      <c r="B15" s="47" t="inlineStr">
        <is>
          <t>BL/011</t>
        </is>
      </c>
      <c r="C15" s="48" t="inlineStr"/>
      <c r="D15" s="49" t="inlineStr"/>
      <c r="E15" s="49" t="inlineStr"/>
      <c r="F15" s="49" t="inlineStr"/>
      <c r="G15" s="48" t="inlineStr"/>
      <c r="H15" s="49" t="inlineStr"/>
      <c r="I15" s="49" t="inlineStr">
        <is>
          <t>Y</t>
        </is>
      </c>
      <c r="J15" s="49" t="inlineStr">
        <is>
          <t>Remedial Classes</t>
        </is>
      </c>
      <c r="K15" s="49" t="inlineStr">
        <is>
          <t>Dropped Out</t>
        </is>
      </c>
    </row>
    <row r="16" ht="22" customHeight="1">
      <c r="B16" s="8" t="inlineStr">
        <is>
          <t>BL/012</t>
        </is>
      </c>
      <c r="C16" s="9" t="inlineStr"/>
      <c r="D16" s="10" t="inlineStr"/>
      <c r="E16" s="10" t="inlineStr"/>
      <c r="F16" s="10" t="inlineStr"/>
      <c r="G16" s="9" t="inlineStr"/>
      <c r="H16" s="10" t="inlineStr"/>
      <c r="I16" s="10" t="inlineStr">
        <is>
          <t>Y</t>
        </is>
      </c>
      <c r="J16" s="10" t="inlineStr">
        <is>
          <t>Remedial Classes</t>
        </is>
      </c>
      <c r="K16" s="10" t="inlineStr">
        <is>
          <t>Academic Probation</t>
        </is>
      </c>
    </row>
    <row r="17" ht="22" customHeight="1">
      <c r="B17" s="47" t="inlineStr">
        <is>
          <t>BL/013</t>
        </is>
      </c>
      <c r="C17" s="48" t="inlineStr"/>
      <c r="D17" s="49" t="inlineStr"/>
      <c r="E17" s="49" t="inlineStr"/>
      <c r="F17" s="49" t="inlineStr"/>
      <c r="G17" s="48" t="inlineStr"/>
      <c r="H17" s="49" t="inlineStr"/>
      <c r="I17" s="49" t="inlineStr">
        <is>
          <t>Y</t>
        </is>
      </c>
      <c r="J17" s="49" t="inlineStr">
        <is>
          <t>Remedial Classes</t>
        </is>
      </c>
      <c r="K17" s="49" t="inlineStr">
        <is>
          <t>Cleared — All Papers Passed</t>
        </is>
      </c>
    </row>
    <row r="18" ht="22" customHeight="1">
      <c r="B18" s="8" t="inlineStr">
        <is>
          <t>BL/014</t>
        </is>
      </c>
      <c r="C18" s="9" t="inlineStr"/>
      <c r="D18" s="10" t="inlineStr"/>
      <c r="E18" s="10" t="inlineStr"/>
      <c r="F18" s="10" t="inlineStr"/>
      <c r="G18" s="9" t="inlineStr"/>
      <c r="H18" s="10" t="inlineStr"/>
      <c r="I18" s="10" t="inlineStr">
        <is>
          <t>Y</t>
        </is>
      </c>
      <c r="J18" s="10" t="inlineStr">
        <is>
          <t>Remedial Classes</t>
        </is>
      </c>
      <c r="K18" s="10" t="inlineStr">
        <is>
          <t>1–2 Papers Pending</t>
        </is>
      </c>
    </row>
    <row r="19" ht="22" customHeight="1">
      <c r="B19" s="47" t="inlineStr">
        <is>
          <t>BL/015</t>
        </is>
      </c>
      <c r="C19" s="48" t="inlineStr"/>
      <c r="D19" s="49" t="inlineStr"/>
      <c r="E19" s="49" t="inlineStr"/>
      <c r="F19" s="49" t="inlineStr"/>
      <c r="G19" s="48" t="inlineStr"/>
      <c r="H19" s="49" t="inlineStr"/>
      <c r="I19" s="49" t="inlineStr">
        <is>
          <t>Y</t>
        </is>
      </c>
      <c r="J19" s="49" t="inlineStr">
        <is>
          <t>Remedial Classes</t>
        </is>
      </c>
      <c r="K19" s="49" t="inlineStr">
        <is>
          <t>3+ Papers Pending</t>
        </is>
      </c>
    </row>
    <row r="20" ht="22" customHeight="1">
      <c r="B20" s="8" t="inlineStr">
        <is>
          <t>BL/016</t>
        </is>
      </c>
      <c r="C20" s="9" t="inlineStr"/>
      <c r="D20" s="10" t="inlineStr"/>
      <c r="E20" s="10" t="inlineStr"/>
      <c r="F20" s="10" t="inlineStr"/>
      <c r="G20" s="9" t="inlineStr"/>
      <c r="H20" s="10" t="inlineStr"/>
      <c r="I20" s="10" t="inlineStr">
        <is>
          <t>Y</t>
        </is>
      </c>
      <c r="J20" s="10" t="inlineStr">
        <is>
          <t>Remedial Classes</t>
        </is>
      </c>
      <c r="K20" s="10" t="inlineStr">
        <is>
          <t>Appeared — Result Awaited</t>
        </is>
      </c>
    </row>
    <row r="21" ht="22" customHeight="1">
      <c r="B21" s="47" t="inlineStr">
        <is>
          <t>BL/017</t>
        </is>
      </c>
      <c r="C21" s="48" t="inlineStr"/>
      <c r="D21" s="49" t="inlineStr"/>
      <c r="E21" s="49" t="inlineStr"/>
      <c r="F21" s="49" t="inlineStr"/>
      <c r="G21" s="48" t="inlineStr"/>
      <c r="H21" s="49" t="inlineStr"/>
      <c r="I21" s="49" t="inlineStr">
        <is>
          <t>Y</t>
        </is>
      </c>
      <c r="J21" s="49" t="inlineStr">
        <is>
          <t>Remedial Classes</t>
        </is>
      </c>
      <c r="K21" s="49" t="inlineStr">
        <is>
          <t>Dropped Out</t>
        </is>
      </c>
    </row>
    <row r="22" ht="22" customHeight="1">
      <c r="B22" s="8" t="inlineStr">
        <is>
          <t>BL/018</t>
        </is>
      </c>
      <c r="C22" s="9" t="inlineStr"/>
      <c r="D22" s="10" t="inlineStr"/>
      <c r="E22" s="10" t="inlineStr"/>
      <c r="F22" s="10" t="inlineStr"/>
      <c r="G22" s="9" t="inlineStr"/>
      <c r="H22" s="10" t="inlineStr"/>
      <c r="I22" s="10" t="inlineStr">
        <is>
          <t>Y</t>
        </is>
      </c>
      <c r="J22" s="10" t="inlineStr">
        <is>
          <t>Remedial Classes</t>
        </is>
      </c>
      <c r="K22" s="10" t="inlineStr">
        <is>
          <t>Academic Probation</t>
        </is>
      </c>
    </row>
    <row r="23" ht="22" customHeight="1">
      <c r="B23" s="47" t="inlineStr">
        <is>
          <t>BL/019</t>
        </is>
      </c>
      <c r="C23" s="48" t="inlineStr"/>
      <c r="D23" s="49" t="inlineStr"/>
      <c r="E23" s="49" t="inlineStr"/>
      <c r="F23" s="49" t="inlineStr"/>
      <c r="G23" s="48" t="inlineStr"/>
      <c r="H23" s="49" t="inlineStr"/>
      <c r="I23" s="49" t="inlineStr">
        <is>
          <t>Y</t>
        </is>
      </c>
      <c r="J23" s="49" t="inlineStr">
        <is>
          <t>Remedial Classes</t>
        </is>
      </c>
      <c r="K23" s="49" t="inlineStr">
        <is>
          <t>Cleared — All Papers Passed</t>
        </is>
      </c>
    </row>
    <row r="24" ht="22" customHeight="1">
      <c r="B24" s="8" t="inlineStr">
        <is>
          <t>BL/020</t>
        </is>
      </c>
      <c r="C24" s="9" t="inlineStr"/>
      <c r="D24" s="10" t="inlineStr"/>
      <c r="E24" s="10" t="inlineStr"/>
      <c r="F24" s="10" t="inlineStr"/>
      <c r="G24" s="9" t="inlineStr"/>
      <c r="H24" s="10" t="inlineStr"/>
      <c r="I24" s="10" t="inlineStr">
        <is>
          <t>Y</t>
        </is>
      </c>
      <c r="J24" s="10" t="inlineStr">
        <is>
          <t>Remedial Classes</t>
        </is>
      </c>
      <c r="K24" s="10" t="inlineStr">
        <is>
          <t>1–2 Papers Pending</t>
        </is>
      </c>
    </row>
    <row r="25" ht="22" customHeight="1">
      <c r="B25" s="47" t="inlineStr">
        <is>
          <t>BL/021</t>
        </is>
      </c>
      <c r="C25" s="48" t="inlineStr"/>
      <c r="D25" s="49" t="inlineStr"/>
      <c r="E25" s="49" t="inlineStr"/>
      <c r="F25" s="49" t="inlineStr"/>
      <c r="G25" s="48" t="inlineStr"/>
      <c r="H25" s="49" t="inlineStr"/>
      <c r="I25" s="49" t="inlineStr">
        <is>
          <t>Y</t>
        </is>
      </c>
      <c r="J25" s="49" t="inlineStr">
        <is>
          <t>Remedial Classes</t>
        </is>
      </c>
      <c r="K25" s="49" t="inlineStr">
        <is>
          <t>3+ Papers Pending</t>
        </is>
      </c>
    </row>
    <row r="26" ht="22" customHeight="1">
      <c r="B26" s="8" t="inlineStr">
        <is>
          <t>BL/022</t>
        </is>
      </c>
      <c r="C26" s="9" t="inlineStr"/>
      <c r="D26" s="10" t="inlineStr"/>
      <c r="E26" s="10" t="inlineStr"/>
      <c r="F26" s="10" t="inlineStr"/>
      <c r="G26" s="9" t="inlineStr"/>
      <c r="H26" s="10" t="inlineStr"/>
      <c r="I26" s="10" t="inlineStr">
        <is>
          <t>Y</t>
        </is>
      </c>
      <c r="J26" s="10" t="inlineStr">
        <is>
          <t>Remedial Classes</t>
        </is>
      </c>
      <c r="K26" s="10" t="inlineStr">
        <is>
          <t>Appeared — Result Awaited</t>
        </is>
      </c>
    </row>
    <row r="27" ht="22" customHeight="1"/>
    <row r="28" ht="24" customHeight="1">
      <c r="B28" s="50" t="inlineStr">
        <is>
          <t>BACKLOG REDUCTION SUMMARY</t>
        </is>
      </c>
    </row>
    <row r="29" ht="22" customHeight="1">
      <c r="B29" s="51" t="inlineStr">
        <is>
          <t>Total Students with Backlogs</t>
        </is>
      </c>
      <c r="F29" s="36">
        <f>COUNTA(B5:B26)</f>
        <v/>
      </c>
    </row>
    <row r="30" ht="22" customHeight="1">
      <c r="B30" s="25" t="inlineStr">
        <is>
          <t>Cleared All Backlogs</t>
        </is>
      </c>
      <c r="F30" s="37">
        <f>COUNTIF(K5:K26,"Cleared — All Papers Passed")</f>
        <v/>
      </c>
    </row>
    <row r="31" ht="22" customHeight="1">
      <c r="B31" s="51" t="inlineStr">
        <is>
          <t>1–2 Papers Pending</t>
        </is>
      </c>
      <c r="F31" s="36">
        <f>COUNTIF(K5:K26,"1–2 Papers Pending")</f>
        <v/>
      </c>
    </row>
    <row r="32" ht="22" customHeight="1">
      <c r="B32" s="25" t="inlineStr">
        <is>
          <t>3+ Papers Pending</t>
        </is>
      </c>
      <c r="F32" s="37">
        <f>COUNTIF(K5:K26,"3+ Papers Pending")</f>
        <v/>
      </c>
    </row>
    <row r="33" ht="22" customHeight="1">
      <c r="B33" s="51" t="inlineStr">
        <is>
          <t>Back Paper Exams Appeared</t>
        </is>
      </c>
      <c r="F33" s="36">
        <f>COUNTIF(I5:I26,"Y")</f>
        <v/>
      </c>
    </row>
    <row r="34" ht="22" customHeight="1">
      <c r="B34" s="25" t="inlineStr">
        <is>
          <t>Backlog Clearance Rate (%)</t>
        </is>
      </c>
      <c r="F34" s="37">
        <f>IFERROR(ROUND(C30/C29*100,1),"")</f>
        <v/>
      </c>
    </row>
    <row r="35" ht="22" customHeight="1"/>
  </sheetData>
  <mergeCells count="16">
    <mergeCell ref="B31:E31"/>
    <mergeCell ref="F34:K34"/>
    <mergeCell ref="F33:K33"/>
    <mergeCell ref="B4:K4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EC-31: MARK SHEET / TRANSCRIPT &amp; CERTIFICATE ISSUE REGISTER</t>
        </is>
      </c>
    </row>
    <row r="3" ht="18" customHeight="1">
      <c r="B3" s="42" t="inlineStr">
        <is>
          <t>STRICTLY CONFIDENTIAL — Examination records are sensitive documents. Handle as per institutional examination security policy.</t>
        </is>
      </c>
    </row>
    <row r="4" ht="25" customHeight="1">
      <c r="B4" s="2" t="inlineStr">
        <is>
          <t>A.Y.: _______  Section: Examination Records  CoE: ___________________</t>
        </is>
      </c>
    </row>
    <row r="5" ht="22" customHeight="1">
      <c r="B5" s="14" t="inlineStr">
        <is>
          <t>DOC/2024/0001</t>
        </is>
      </c>
      <c r="C5" s="15" t="inlineStr"/>
      <c r="D5" s="16" t="inlineStr"/>
      <c r="E5" s="16" t="inlineStr"/>
      <c r="F5" s="16" t="inlineStr">
        <is>
          <t>Mark Sheet (Single Semester)</t>
        </is>
      </c>
      <c r="G5" s="16" t="inlineStr"/>
      <c r="H5" s="16" t="inlineStr"/>
      <c r="I5" s="16" t="inlineStr"/>
      <c r="J5" s="16" t="inlineStr"/>
      <c r="K5" s="15" t="inlineStr"/>
    </row>
    <row r="6" ht="22" customHeight="1">
      <c r="B6" s="8" t="inlineStr">
        <is>
          <t>DOC/2024/0002</t>
        </is>
      </c>
      <c r="C6" s="9" t="inlineStr"/>
      <c r="D6" s="10" t="inlineStr"/>
      <c r="E6" s="10" t="inlineStr"/>
      <c r="F6" s="10" t="inlineStr">
        <is>
          <t>Consolidated Mark Sheet</t>
        </is>
      </c>
      <c r="G6" s="10" t="inlineStr"/>
      <c r="H6" s="10" t="inlineStr"/>
      <c r="I6" s="10" t="inlineStr"/>
      <c r="J6" s="10" t="inlineStr"/>
      <c r="K6" s="9" t="inlineStr"/>
    </row>
    <row r="7" ht="22" customHeight="1">
      <c r="B7" s="14" t="inlineStr">
        <is>
          <t>DOC/2024/0003</t>
        </is>
      </c>
      <c r="C7" s="15" t="inlineStr"/>
      <c r="D7" s="16" t="inlineStr"/>
      <c r="E7" s="16" t="inlineStr"/>
      <c r="F7" s="16" t="inlineStr">
        <is>
          <t>Provisional Certificate</t>
        </is>
      </c>
      <c r="G7" s="16" t="inlineStr"/>
      <c r="H7" s="16" t="inlineStr"/>
      <c r="I7" s="16" t="inlineStr"/>
      <c r="J7" s="16" t="inlineStr"/>
      <c r="K7" s="15" t="inlineStr"/>
    </row>
    <row r="8" ht="22" customHeight="1">
      <c r="B8" s="8" t="inlineStr">
        <is>
          <t>DOC/2024/0004</t>
        </is>
      </c>
      <c r="C8" s="9" t="inlineStr"/>
      <c r="D8" s="10" t="inlineStr"/>
      <c r="E8" s="10" t="inlineStr"/>
      <c r="F8" s="10" t="inlineStr">
        <is>
          <t>Degree Certificate</t>
        </is>
      </c>
      <c r="G8" s="10" t="inlineStr"/>
      <c r="H8" s="10" t="inlineStr"/>
      <c r="I8" s="10" t="inlineStr"/>
      <c r="J8" s="10" t="inlineStr"/>
      <c r="K8" s="9" t="inlineStr"/>
    </row>
    <row r="9" ht="22" customHeight="1">
      <c r="B9" s="14" t="inlineStr">
        <is>
          <t>DOC/2024/0005</t>
        </is>
      </c>
      <c r="C9" s="15" t="inlineStr"/>
      <c r="D9" s="16" t="inlineStr"/>
      <c r="E9" s="16" t="inlineStr"/>
      <c r="F9" s="16" t="inlineStr">
        <is>
          <t>Migration Certificate</t>
        </is>
      </c>
      <c r="G9" s="16" t="inlineStr"/>
      <c r="H9" s="16" t="inlineStr"/>
      <c r="I9" s="16" t="inlineStr"/>
      <c r="J9" s="16" t="inlineStr"/>
      <c r="K9" s="15" t="inlineStr"/>
    </row>
    <row r="10" ht="22" customHeight="1">
      <c r="B10" s="8" t="inlineStr">
        <is>
          <t>DOC/2024/0006</t>
        </is>
      </c>
      <c r="C10" s="9" t="inlineStr"/>
      <c r="D10" s="10" t="inlineStr"/>
      <c r="E10" s="10" t="inlineStr"/>
      <c r="F10" s="10" t="inlineStr">
        <is>
          <t>Transfer Certificate</t>
        </is>
      </c>
      <c r="G10" s="10" t="inlineStr"/>
      <c r="H10" s="10" t="inlineStr"/>
      <c r="I10" s="10" t="inlineStr"/>
      <c r="J10" s="10" t="inlineStr"/>
      <c r="K10" s="9" t="inlineStr"/>
    </row>
    <row r="11" ht="22" customHeight="1">
      <c r="B11" s="14" t="inlineStr">
        <is>
          <t>DOC/2024/0007</t>
        </is>
      </c>
      <c r="C11" s="15" t="inlineStr"/>
      <c r="D11" s="16" t="inlineStr"/>
      <c r="E11" s="16" t="inlineStr"/>
      <c r="F11" s="16" t="inlineStr">
        <is>
          <t>Medium of Instruction Certificate</t>
        </is>
      </c>
      <c r="G11" s="16" t="inlineStr"/>
      <c r="H11" s="16" t="inlineStr"/>
      <c r="I11" s="16" t="inlineStr"/>
      <c r="J11" s="16" t="inlineStr"/>
      <c r="K11" s="15" t="inlineStr"/>
    </row>
    <row r="12" ht="22" customHeight="1">
      <c r="B12" s="8" t="inlineStr">
        <is>
          <t>DOC/2024/0008</t>
        </is>
      </c>
      <c r="C12" s="9" t="inlineStr"/>
      <c r="D12" s="10" t="inlineStr"/>
      <c r="E12" s="10" t="inlineStr"/>
      <c r="F12" s="10" t="inlineStr">
        <is>
          <t>Character Certificate</t>
        </is>
      </c>
      <c r="G12" s="10" t="inlineStr"/>
      <c r="H12" s="10" t="inlineStr"/>
      <c r="I12" s="10" t="inlineStr"/>
      <c r="J12" s="10" t="inlineStr"/>
      <c r="K12" s="9" t="inlineStr"/>
    </row>
    <row r="13" ht="22" customHeight="1">
      <c r="B13" s="14" t="inlineStr">
        <is>
          <t>DOC/2024/0009</t>
        </is>
      </c>
      <c r="C13" s="15" t="inlineStr"/>
      <c r="D13" s="16" t="inlineStr"/>
      <c r="E13" s="16" t="inlineStr"/>
      <c r="F13" s="16" t="inlineStr">
        <is>
          <t>Bonafide Certificate</t>
        </is>
      </c>
      <c r="G13" s="16" t="inlineStr"/>
      <c r="H13" s="16" t="inlineStr"/>
      <c r="I13" s="16" t="inlineStr"/>
      <c r="J13" s="16" t="inlineStr"/>
      <c r="K13" s="15" t="inlineStr"/>
    </row>
    <row r="14" ht="22" customHeight="1">
      <c r="B14" s="8" t="inlineStr">
        <is>
          <t>DOC/2024/0010</t>
        </is>
      </c>
      <c r="C14" s="9" t="inlineStr"/>
      <c r="D14" s="10" t="inlineStr"/>
      <c r="E14" s="10" t="inlineStr"/>
      <c r="F14" s="10" t="inlineStr">
        <is>
          <t>Transcript (Official)</t>
        </is>
      </c>
      <c r="G14" s="10" t="inlineStr"/>
      <c r="H14" s="10" t="inlineStr"/>
      <c r="I14" s="10" t="inlineStr"/>
      <c r="J14" s="10" t="inlineStr"/>
      <c r="K14" s="9" t="inlineStr"/>
    </row>
    <row r="15" ht="22" customHeight="1">
      <c r="B15" s="14" t="inlineStr">
        <is>
          <t>DOC/2024/0011</t>
        </is>
      </c>
      <c r="C15" s="15" t="inlineStr"/>
      <c r="D15" s="16" t="inlineStr"/>
      <c r="E15" s="16" t="inlineStr"/>
      <c r="F15" s="16" t="inlineStr">
        <is>
          <t>Attestation / Apostille</t>
        </is>
      </c>
      <c r="G15" s="16" t="inlineStr"/>
      <c r="H15" s="16" t="inlineStr"/>
      <c r="I15" s="16" t="inlineStr"/>
      <c r="J15" s="16" t="inlineStr"/>
      <c r="K15" s="15" t="inlineStr"/>
    </row>
    <row r="16" ht="22" customHeight="1">
      <c r="B16" s="8" t="inlineStr">
        <is>
          <t>DOC/2024/0012</t>
        </is>
      </c>
      <c r="C16" s="9" t="inlineStr"/>
      <c r="D16" s="10" t="inlineStr"/>
      <c r="E16" s="10" t="inlineStr"/>
      <c r="F16" s="10" t="inlineStr">
        <is>
          <t>Duplicate Mark Sheet</t>
        </is>
      </c>
      <c r="G16" s="10" t="inlineStr"/>
      <c r="H16" s="10" t="inlineStr"/>
      <c r="I16" s="10" t="inlineStr"/>
      <c r="J16" s="10" t="inlineStr"/>
      <c r="K16" s="9" t="inlineStr"/>
    </row>
    <row r="17" ht="22" customHeight="1">
      <c r="B17" s="14" t="inlineStr">
        <is>
          <t>DOC/2025/0013</t>
        </is>
      </c>
      <c r="C17" s="15" t="inlineStr"/>
      <c r="D17" s="16" t="inlineStr"/>
      <c r="E17" s="16" t="inlineStr"/>
      <c r="F17" s="16" t="inlineStr">
        <is>
          <t>Mark Sheet (Single Semester)</t>
        </is>
      </c>
      <c r="G17" s="16" t="inlineStr"/>
      <c r="H17" s="16" t="inlineStr"/>
      <c r="I17" s="16" t="inlineStr"/>
      <c r="J17" s="16" t="inlineStr"/>
      <c r="K17" s="15" t="inlineStr"/>
    </row>
    <row r="18" ht="22" customHeight="1">
      <c r="B18" s="8" t="inlineStr">
        <is>
          <t>DOC/2025/0014</t>
        </is>
      </c>
      <c r="C18" s="9" t="inlineStr"/>
      <c r="D18" s="10" t="inlineStr"/>
      <c r="E18" s="10" t="inlineStr"/>
      <c r="F18" s="10" t="inlineStr">
        <is>
          <t>Consolidated Mark Sheet</t>
        </is>
      </c>
      <c r="G18" s="10" t="inlineStr"/>
      <c r="H18" s="10" t="inlineStr"/>
      <c r="I18" s="10" t="inlineStr"/>
      <c r="J18" s="10" t="inlineStr"/>
      <c r="K18" s="9" t="inlineStr"/>
    </row>
    <row r="19" ht="22" customHeight="1">
      <c r="B19" s="14" t="inlineStr">
        <is>
          <t>DOC/2025/0015</t>
        </is>
      </c>
      <c r="C19" s="15" t="inlineStr"/>
      <c r="D19" s="16" t="inlineStr"/>
      <c r="E19" s="16" t="inlineStr"/>
      <c r="F19" s="16" t="inlineStr">
        <is>
          <t>Provisional Certificate</t>
        </is>
      </c>
      <c r="G19" s="16" t="inlineStr"/>
      <c r="H19" s="16" t="inlineStr"/>
      <c r="I19" s="16" t="inlineStr"/>
      <c r="J19" s="16" t="inlineStr"/>
      <c r="K19" s="15" t="inlineStr"/>
    </row>
    <row r="20" ht="22" customHeight="1">
      <c r="B20" s="8" t="inlineStr">
        <is>
          <t>DOC/2025/0016</t>
        </is>
      </c>
      <c r="C20" s="9" t="inlineStr"/>
      <c r="D20" s="10" t="inlineStr"/>
      <c r="E20" s="10" t="inlineStr"/>
      <c r="F20" s="10" t="inlineStr">
        <is>
          <t>Degree Certificate</t>
        </is>
      </c>
      <c r="G20" s="10" t="inlineStr"/>
      <c r="H20" s="10" t="inlineStr"/>
      <c r="I20" s="10" t="inlineStr"/>
      <c r="J20" s="10" t="inlineStr"/>
      <c r="K20" s="9" t="inlineStr"/>
    </row>
    <row r="21" ht="22" customHeight="1">
      <c r="B21" s="14" t="inlineStr">
        <is>
          <t>DOC/2025/0017</t>
        </is>
      </c>
      <c r="C21" s="15" t="inlineStr"/>
      <c r="D21" s="16" t="inlineStr"/>
      <c r="E21" s="16" t="inlineStr"/>
      <c r="F21" s="16" t="inlineStr">
        <is>
          <t>Migration Certificate</t>
        </is>
      </c>
      <c r="G21" s="16" t="inlineStr"/>
      <c r="H21" s="16" t="inlineStr"/>
      <c r="I21" s="16" t="inlineStr"/>
      <c r="J21" s="16" t="inlineStr"/>
      <c r="K21" s="15" t="inlineStr"/>
    </row>
    <row r="22" ht="22" customHeight="1">
      <c r="B22" s="8" t="inlineStr">
        <is>
          <t>DOC/2025/0018</t>
        </is>
      </c>
      <c r="C22" s="9" t="inlineStr"/>
      <c r="D22" s="10" t="inlineStr"/>
      <c r="E22" s="10" t="inlineStr"/>
      <c r="F22" s="10" t="inlineStr">
        <is>
          <t>Transfer Certificate</t>
        </is>
      </c>
      <c r="G22" s="10" t="inlineStr"/>
      <c r="H22" s="10" t="inlineStr"/>
      <c r="I22" s="10" t="inlineStr"/>
      <c r="J22" s="10" t="inlineStr"/>
      <c r="K22" s="9" t="inlineStr"/>
    </row>
    <row r="23" ht="22" customHeight="1">
      <c r="B23" s="14" t="inlineStr">
        <is>
          <t>DOC/2025/0019</t>
        </is>
      </c>
      <c r="C23" s="15" t="inlineStr"/>
      <c r="D23" s="16" t="inlineStr"/>
      <c r="E23" s="16" t="inlineStr"/>
      <c r="F23" s="16" t="inlineStr">
        <is>
          <t>Medium of Instruction Certificate</t>
        </is>
      </c>
      <c r="G23" s="16" t="inlineStr"/>
      <c r="H23" s="16" t="inlineStr"/>
      <c r="I23" s="16" t="inlineStr"/>
      <c r="J23" s="16" t="inlineStr"/>
      <c r="K23" s="15" t="inlineStr"/>
    </row>
    <row r="24" ht="22" customHeight="1">
      <c r="B24" s="8" t="inlineStr">
        <is>
          <t>DOC/2025/0020</t>
        </is>
      </c>
      <c r="C24" s="9" t="inlineStr"/>
      <c r="D24" s="10" t="inlineStr"/>
      <c r="E24" s="10" t="inlineStr"/>
      <c r="F24" s="10" t="inlineStr">
        <is>
          <t>Character Certificate</t>
        </is>
      </c>
      <c r="G24" s="10" t="inlineStr"/>
      <c r="H24" s="10" t="inlineStr"/>
      <c r="I24" s="10" t="inlineStr"/>
      <c r="J24" s="10" t="inlineStr"/>
      <c r="K24" s="9" t="inlineStr"/>
    </row>
    <row r="25" ht="22" customHeight="1">
      <c r="B25" s="14" t="inlineStr">
        <is>
          <t>DOC/2025/0021</t>
        </is>
      </c>
      <c r="C25" s="15" t="inlineStr"/>
      <c r="D25" s="16" t="inlineStr"/>
      <c r="E25" s="16" t="inlineStr"/>
      <c r="F25" s="16" t="inlineStr">
        <is>
          <t>Bonafide Certificate</t>
        </is>
      </c>
      <c r="G25" s="16" t="inlineStr"/>
      <c r="H25" s="16" t="inlineStr"/>
      <c r="I25" s="16" t="inlineStr"/>
      <c r="J25" s="16" t="inlineStr"/>
      <c r="K25" s="15" t="inlineStr"/>
    </row>
    <row r="26" ht="22" customHeight="1">
      <c r="B26" s="8" t="inlineStr">
        <is>
          <t>DOC/2025/0022</t>
        </is>
      </c>
      <c r="C26" s="9" t="inlineStr"/>
      <c r="D26" s="10" t="inlineStr"/>
      <c r="E26" s="10" t="inlineStr"/>
      <c r="F26" s="10" t="inlineStr">
        <is>
          <t>Transcript (Official)</t>
        </is>
      </c>
      <c r="G26" s="10" t="inlineStr"/>
      <c r="H26" s="10" t="inlineStr"/>
      <c r="I26" s="10" t="inlineStr"/>
      <c r="J26" s="10" t="inlineStr"/>
      <c r="K26" s="9" t="inlineStr"/>
    </row>
    <row r="27" ht="22" customHeight="1">
      <c r="B27" s="14" t="inlineStr">
        <is>
          <t>DOC/2025/0023</t>
        </is>
      </c>
      <c r="C27" s="15" t="inlineStr"/>
      <c r="D27" s="16" t="inlineStr"/>
      <c r="E27" s="16" t="inlineStr"/>
      <c r="F27" s="16" t="inlineStr">
        <is>
          <t>Attestation / Apostille</t>
        </is>
      </c>
      <c r="G27" s="16" t="inlineStr"/>
      <c r="H27" s="16" t="inlineStr"/>
      <c r="I27" s="16" t="inlineStr"/>
      <c r="J27" s="16" t="inlineStr"/>
      <c r="K27" s="15" t="inlineStr"/>
    </row>
    <row r="28" ht="22" customHeight="1">
      <c r="B28" s="8" t="inlineStr">
        <is>
          <t>DOC/2025/0024</t>
        </is>
      </c>
      <c r="C28" s="9" t="inlineStr"/>
      <c r="D28" s="10" t="inlineStr"/>
      <c r="E28" s="10" t="inlineStr"/>
      <c r="F28" s="10" t="inlineStr">
        <is>
          <t>Duplicate Mark Sheet</t>
        </is>
      </c>
      <c r="G28" s="10" t="inlineStr"/>
      <c r="H28" s="10" t="inlineStr"/>
      <c r="I28" s="10" t="inlineStr"/>
      <c r="J28" s="10" t="inlineStr"/>
      <c r="K28" s="9" t="inlineStr"/>
    </row>
    <row r="29" ht="22" customHeight="1"/>
    <row r="30" ht="24" customHeight="1">
      <c r="B30" s="34" t="inlineStr">
        <is>
          <t>DOCUMENT ISSUANCE SUMMARY</t>
        </is>
      </c>
    </row>
    <row r="31" ht="22" customHeight="1">
      <c r="B31" s="35" t="inlineStr">
        <is>
          <t>Total Documents Issued</t>
        </is>
      </c>
      <c r="F31" s="36">
        <f>COUNTA(B5:B28)</f>
        <v/>
      </c>
    </row>
    <row r="32" ht="22" customHeight="1">
      <c r="B32" s="25" t="inlineStr">
        <is>
          <t>Average Issuance Time (Days)</t>
        </is>
      </c>
      <c r="F32" s="37" t="inlineStr"/>
    </row>
    <row r="33" ht="22" customHeight="1">
      <c r="B33" s="35" t="inlineStr">
        <is>
          <t>Pending Applications</t>
        </is>
      </c>
      <c r="F33" s="36" t="inlineStr"/>
    </row>
    <row r="34">
      <c r="B34" s="25" t="inlineStr">
        <is>
          <t>Revenue from Document Fees (₹)</t>
        </is>
      </c>
      <c r="F34" s="37">
        <f>IFERROR(SUM(J5:J28),"")</f>
        <v/>
      </c>
    </row>
    <row r="35">
      <c r="B35" s="35" t="inlineStr">
        <is>
          <t>Degree Certificates Issued</t>
        </is>
      </c>
      <c r="F35" s="36">
        <f>COUNTIF(F5:F28,"Degree Certificate")</f>
        <v/>
      </c>
    </row>
    <row r="36">
      <c r="B36" s="25" t="inlineStr">
        <is>
          <t>Duplicate / Re-issue</t>
        </is>
      </c>
      <c r="F36" s="37" t="inlineStr"/>
    </row>
  </sheetData>
  <mergeCells count="16">
    <mergeCell ref="B31:E31"/>
    <mergeCell ref="B36:E36"/>
    <mergeCell ref="F34:K34"/>
    <mergeCell ref="F33:K33"/>
    <mergeCell ref="B35:E35"/>
    <mergeCell ref="B4:K4"/>
    <mergeCell ref="F36:K36"/>
    <mergeCell ref="F32:K32"/>
    <mergeCell ref="B34:E34"/>
    <mergeCell ref="F31:K31"/>
    <mergeCell ref="B30:K30"/>
    <mergeCell ref="B33:E33"/>
    <mergeCell ref="F35:K35"/>
    <mergeCell ref="B2:K2"/>
    <mergeCell ref="B3:K3"/>
    <mergeCell ref="B32:E3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EC-34: EXAMINATIONS COMMITTEE KPI DASHBOARD</t>
        </is>
      </c>
    </row>
    <row r="3" ht="25" customHeight="1">
      <c r="B3" s="2" t="inlineStr">
        <is>
          <t>Semester: _______  A.Y.: _______  CoE: ___________________  Date: _______</t>
        </is>
      </c>
    </row>
    <row r="4" ht="24" customHeight="1">
      <c r="B4" s="19" t="inlineStr">
        <is>
          <t>CIE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Sem.
Actual</t>
        </is>
      </c>
      <c r="G5" s="13" t="inlineStr">
        <is>
          <t>Current Sem.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CIE schedule published before semester commencement</t>
        </is>
      </c>
      <c r="D6" s="16" t="inlineStr">
        <is>
          <t>Y/N</t>
        </is>
      </c>
      <c r="E6" s="16" t="inlineStr">
        <is>
          <t>Yes — ≥1 week before</t>
        </is>
      </c>
      <c r="F6" s="16" t="inlineStr"/>
      <c r="G6" s="16" t="inlineStr"/>
      <c r="H6" s="16" t="inlineStr">
        <is>
          <t>Met</t>
        </is>
      </c>
      <c r="I6" s="15" t="inlineStr"/>
    </row>
    <row r="7" ht="22" customHeight="1">
      <c r="B7" s="8" t="n">
        <v>2</v>
      </c>
      <c r="C7" s="9" t="inlineStr">
        <is>
          <t>CIE marks uploaded within 5 days of test</t>
        </is>
      </c>
      <c r="D7" s="10" t="inlineStr">
        <is>
          <t>% of courses</t>
        </is>
      </c>
      <c r="E7" s="10" t="inlineStr">
        <is>
          <t>100%</t>
        </is>
      </c>
      <c r="F7" s="10" t="inlineStr"/>
      <c r="G7" s="10" t="inlineStr"/>
      <c r="H7" s="10" t="inlineStr">
        <is>
          <t>Met</t>
        </is>
      </c>
      <c r="I7" s="9" t="inlineStr"/>
    </row>
    <row r="8" ht="22" customHeight="1">
      <c r="B8" s="14" t="n">
        <v>3</v>
      </c>
      <c r="C8" s="15" t="inlineStr">
        <is>
          <t>CIE marks displayed to students within 5 days</t>
        </is>
      </c>
      <c r="D8" s="16" t="inlineStr">
        <is>
          <t>% of courses</t>
        </is>
      </c>
      <c r="E8" s="16" t="inlineStr">
        <is>
          <t>100%</t>
        </is>
      </c>
      <c r="F8" s="16" t="inlineStr"/>
      <c r="G8" s="16" t="inlineStr"/>
      <c r="H8" s="16" t="inlineStr">
        <is>
          <t>Met</t>
        </is>
      </c>
      <c r="I8" s="15" t="inlineStr"/>
    </row>
    <row r="9" ht="22" customHeight="1">
      <c r="B9" s="8" t="n">
        <v>4</v>
      </c>
      <c r="C9" s="9" t="inlineStr">
        <is>
          <t>CIE grievances resolved within 10 days</t>
        </is>
      </c>
      <c r="D9" s="10" t="inlineStr">
        <is>
          <t>% resolved</t>
        </is>
      </c>
      <c r="E9" s="10" t="inlineStr">
        <is>
          <t>≥90%</t>
        </is>
      </c>
      <c r="F9" s="10" t="inlineStr"/>
      <c r="G9" s="10" t="inlineStr"/>
      <c r="H9" s="10" t="inlineStr">
        <is>
          <t>Met</t>
        </is>
      </c>
      <c r="I9" s="9" t="inlineStr"/>
    </row>
    <row r="10" ht="22" customHeight="1">
      <c r="B10" s="14" t="n">
        <v>5</v>
      </c>
      <c r="C10" s="15" t="inlineStr">
        <is>
          <t>Courses with CO attainment computed from CIE</t>
        </is>
      </c>
      <c r="D10" s="16" t="inlineStr">
        <is>
          <t>% of courses</t>
        </is>
      </c>
      <c r="E10" s="16" t="inlineStr">
        <is>
          <t>100%</t>
        </is>
      </c>
      <c r="F10" s="16" t="inlineStr"/>
      <c r="G10" s="16" t="inlineStr"/>
      <c r="H10" s="16" t="inlineStr">
        <is>
          <t>Met</t>
        </is>
      </c>
      <c r="I10" s="15" t="inlineStr"/>
    </row>
    <row r="11" ht="22" customHeight="1">
      <c r="B11" s="8" t="n">
        <v>6</v>
      </c>
      <c r="C11" s="9" t="inlineStr">
        <is>
          <t>Students detained (% of semester strength)</t>
        </is>
      </c>
      <c r="D11" s="10" t="inlineStr">
        <is>
          <t>% detained</t>
        </is>
      </c>
      <c r="E11" s="10" t="inlineStr">
        <is>
          <t>≤5%</t>
        </is>
      </c>
      <c r="F11" s="10" t="inlineStr"/>
      <c r="G11" s="10" t="inlineStr"/>
      <c r="H11" s="10" t="inlineStr">
        <is>
          <t>Met</t>
        </is>
      </c>
      <c r="I11" s="9" t="inlineStr"/>
    </row>
    <row r="12" ht="22" customHeight="1"/>
    <row r="13" ht="24" customHeight="1">
      <c r="B13" s="53" t="inlineStr">
        <is>
          <t>SEE KPIs</t>
        </is>
      </c>
    </row>
    <row r="14" ht="22" customHeight="1">
      <c r="B14" s="54" t="inlineStr">
        <is>
          <t>Sl.</t>
        </is>
      </c>
      <c r="C14" s="54" t="inlineStr">
        <is>
          <t>Key Performance Indicator</t>
        </is>
      </c>
      <c r="D14" s="54" t="inlineStr">
        <is>
          <t>Unit</t>
        </is>
      </c>
      <c r="E14" s="54" t="inlineStr">
        <is>
          <t>Target</t>
        </is>
      </c>
      <c r="F14" s="54" t="inlineStr">
        <is>
          <t>Prev. Sem.
Actual</t>
        </is>
      </c>
      <c r="G14" s="54" t="inlineStr">
        <is>
          <t>Current Sem.
Actual</t>
        </is>
      </c>
      <c r="H14" s="54" t="inlineStr">
        <is>
          <t>Status</t>
        </is>
      </c>
      <c r="I14" s="54" t="inlineStr">
        <is>
          <t>Action Required</t>
        </is>
      </c>
    </row>
    <row r="15" ht="22" customHeight="1">
      <c r="B15" s="55" t="n">
        <v>1</v>
      </c>
      <c r="C15" s="56" t="inlineStr">
        <is>
          <t>SEE timetable published ≥ 30 days before exam</t>
        </is>
      </c>
      <c r="D15" s="57" t="inlineStr">
        <is>
          <t>Y/N</t>
        </is>
      </c>
      <c r="E15" s="57" t="inlineStr">
        <is>
          <t>Yes</t>
        </is>
      </c>
      <c r="F15" s="57" t="inlineStr"/>
      <c r="G15" s="57" t="inlineStr"/>
      <c r="H15" s="57" t="inlineStr">
        <is>
          <t>Met</t>
        </is>
      </c>
      <c r="I15" s="56" t="inlineStr"/>
    </row>
    <row r="16" ht="22" customHeight="1">
      <c r="B16" s="8" t="n">
        <v>2</v>
      </c>
      <c r="C16" s="9" t="inlineStr">
        <is>
          <t>Hall tickets issued ≥ 7 days before exam</t>
        </is>
      </c>
      <c r="D16" s="10" t="inlineStr">
        <is>
          <t>% eligible students</t>
        </is>
      </c>
      <c r="E16" s="10" t="inlineStr">
        <is>
          <t>100%</t>
        </is>
      </c>
      <c r="F16" s="10" t="inlineStr"/>
      <c r="G16" s="10" t="inlineStr"/>
      <c r="H16" s="10" t="inlineStr">
        <is>
          <t>Met</t>
        </is>
      </c>
      <c r="I16" s="9" t="inlineStr"/>
    </row>
    <row r="17" ht="22" customHeight="1">
      <c r="B17" s="55" t="n">
        <v>3</v>
      </c>
      <c r="C17" s="56" t="inlineStr">
        <is>
          <t>UFM incidents per 1000 students</t>
        </is>
      </c>
      <c r="D17" s="57" t="inlineStr">
        <is>
          <t>No./1000</t>
        </is>
      </c>
      <c r="E17" s="57" t="inlineStr">
        <is>
          <t>≤2</t>
        </is>
      </c>
      <c r="F17" s="57" t="inlineStr"/>
      <c r="G17" s="57" t="inlineStr"/>
      <c r="H17" s="57" t="inlineStr">
        <is>
          <t>Met</t>
        </is>
      </c>
      <c r="I17" s="56" t="inlineStr"/>
    </row>
    <row r="18" ht="22" customHeight="1">
      <c r="B18" s="8" t="n">
        <v>4</v>
      </c>
      <c r="C18" s="9" t="inlineStr">
        <is>
          <t>Answer scripts dispatched to university on time</t>
        </is>
      </c>
      <c r="D18" s="10" t="inlineStr">
        <is>
          <t>% dispatched</t>
        </is>
      </c>
      <c r="E18" s="10" t="inlineStr">
        <is>
          <t>100%</t>
        </is>
      </c>
      <c r="F18" s="10" t="inlineStr"/>
      <c r="G18" s="10" t="inlineStr"/>
      <c r="H18" s="10" t="inlineStr">
        <is>
          <t>Met</t>
        </is>
      </c>
      <c r="I18" s="9" t="inlineStr"/>
    </row>
    <row r="19" ht="22" customHeight="1">
      <c r="B19" s="55" t="n">
        <v>5</v>
      </c>
      <c r="C19" s="56" t="inlineStr">
        <is>
          <t>SEE conducted without disruption</t>
        </is>
      </c>
      <c r="D19" s="57" t="inlineStr">
        <is>
          <t>% sessions undisrupted</t>
        </is>
      </c>
      <c r="E19" s="57" t="inlineStr">
        <is>
          <t>100%</t>
        </is>
      </c>
      <c r="F19" s="57" t="inlineStr"/>
      <c r="G19" s="57" t="inlineStr"/>
      <c r="H19" s="57" t="inlineStr">
        <is>
          <t>Met</t>
        </is>
      </c>
      <c r="I19" s="56" t="inlineStr"/>
    </row>
    <row r="20" ht="22" customHeight="1">
      <c r="B20" s="8" t="n">
        <v>6</v>
      </c>
      <c r="C20" s="9" t="inlineStr">
        <is>
          <t>Results declared within university stipulated period</t>
        </is>
      </c>
      <c r="D20" s="10" t="inlineStr">
        <is>
          <t>Y/N</t>
        </is>
      </c>
      <c r="E20" s="10" t="inlineStr">
        <is>
          <t>Yes</t>
        </is>
      </c>
      <c r="F20" s="10" t="inlineStr"/>
      <c r="G20" s="10" t="inlineStr"/>
      <c r="H20" s="10" t="inlineStr">
        <is>
          <t>Met</t>
        </is>
      </c>
      <c r="I20" s="9" t="inlineStr"/>
    </row>
    <row r="21" ht="22" customHeight="1"/>
    <row r="22" ht="24" customHeight="1">
      <c r="B22" s="34" t="inlineStr">
        <is>
          <t>RESULTS &amp; QUALITY KPIs</t>
        </is>
      </c>
    </row>
    <row r="23" ht="22" customHeight="1">
      <c r="B23" s="30" t="inlineStr">
        <is>
          <t>Sl.</t>
        </is>
      </c>
      <c r="C23" s="30" t="inlineStr">
        <is>
          <t>Key Performance Indicator</t>
        </is>
      </c>
      <c r="D23" s="30" t="inlineStr">
        <is>
          <t>Unit</t>
        </is>
      </c>
      <c r="E23" s="30" t="inlineStr">
        <is>
          <t>Target</t>
        </is>
      </c>
      <c r="F23" s="30" t="inlineStr">
        <is>
          <t>Prev. Sem.
Actual</t>
        </is>
      </c>
      <c r="G23" s="30" t="inlineStr">
        <is>
          <t>Current Sem.
Actual</t>
        </is>
      </c>
      <c r="H23" s="30" t="inlineStr">
        <is>
          <t>Status</t>
        </is>
      </c>
      <c r="I23" s="30" t="inlineStr">
        <is>
          <t>Action Required</t>
        </is>
      </c>
    </row>
    <row r="24" ht="22" customHeight="1">
      <c r="B24" s="31" t="n">
        <v>1</v>
      </c>
      <c r="C24" s="32" t="inlineStr">
        <is>
          <t>Overall pass percentage (institution)</t>
        </is>
      </c>
      <c r="D24" s="33" t="inlineStr">
        <is>
          <t>% pass</t>
        </is>
      </c>
      <c r="E24" s="33" t="inlineStr">
        <is>
          <t>≥75%</t>
        </is>
      </c>
      <c r="F24" s="33" t="inlineStr"/>
      <c r="G24" s="33" t="inlineStr"/>
      <c r="H24" s="33" t="inlineStr">
        <is>
          <t>Met</t>
        </is>
      </c>
      <c r="I24" s="32" t="inlineStr"/>
    </row>
    <row r="25" ht="22" customHeight="1">
      <c r="B25" s="8" t="n">
        <v>2</v>
      </c>
      <c r="C25" s="9" t="inlineStr">
        <is>
          <t>First class and above (% of passed)</t>
        </is>
      </c>
      <c r="D25" s="10" t="inlineStr">
        <is>
          <t>% first class</t>
        </is>
      </c>
      <c r="E25" s="10" t="inlineStr">
        <is>
          <t>≥60%</t>
        </is>
      </c>
      <c r="F25" s="10" t="inlineStr"/>
      <c r="G25" s="10" t="inlineStr"/>
      <c r="H25" s="10" t="inlineStr">
        <is>
          <t>Met</t>
        </is>
      </c>
      <c r="I25" s="9" t="inlineStr"/>
    </row>
    <row r="26" ht="22" customHeight="1">
      <c r="B26" s="31" t="n">
        <v>3</v>
      </c>
      <c r="C26" s="32" t="inlineStr">
        <is>
          <t>Distinction percentage</t>
        </is>
      </c>
      <c r="D26" s="33" t="inlineStr">
        <is>
          <t>% distinction</t>
        </is>
      </c>
      <c r="E26" s="33" t="inlineStr">
        <is>
          <t>≥15%</t>
        </is>
      </c>
      <c r="F26" s="33" t="inlineStr"/>
      <c r="G26" s="33" t="inlineStr"/>
      <c r="H26" s="33" t="inlineStr">
        <is>
          <t>Met</t>
        </is>
      </c>
      <c r="I26" s="32" t="inlineStr"/>
    </row>
    <row r="27" ht="22" customHeight="1">
      <c r="B27" s="8" t="n">
        <v>4</v>
      </c>
      <c r="C27" s="9" t="inlineStr">
        <is>
          <t>Average CGPA — institution</t>
        </is>
      </c>
      <c r="D27" s="10" t="inlineStr">
        <is>
          <t>CGPA</t>
        </is>
      </c>
      <c r="E27" s="10" t="inlineStr">
        <is>
          <t>≥7.0</t>
        </is>
      </c>
      <c r="F27" s="10" t="inlineStr"/>
      <c r="G27" s="10" t="inlineStr"/>
      <c r="H27" s="10" t="inlineStr">
        <is>
          <t>Met</t>
        </is>
      </c>
      <c r="I27" s="9" t="inlineStr"/>
    </row>
    <row r="28" ht="22" customHeight="1">
      <c r="B28" s="31" t="n">
        <v>5</v>
      </c>
      <c r="C28" s="32" t="inlineStr">
        <is>
          <t>Year-on-year improvement in pass %</t>
        </is>
      </c>
      <c r="D28" s="33" t="inlineStr">
        <is>
          <t>% change</t>
        </is>
      </c>
      <c r="E28" s="33" t="inlineStr">
        <is>
          <t>Positive</t>
        </is>
      </c>
      <c r="F28" s="33" t="inlineStr"/>
      <c r="G28" s="33" t="inlineStr"/>
      <c r="H28" s="33" t="inlineStr">
        <is>
          <t>Met</t>
        </is>
      </c>
      <c r="I28" s="32" t="inlineStr"/>
    </row>
    <row r="29" ht="22" customHeight="1">
      <c r="B29" s="8" t="n">
        <v>6</v>
      </c>
      <c r="C29" s="9" t="inlineStr">
        <is>
          <t>Students with backlogs (% of strength)</t>
        </is>
      </c>
      <c r="D29" s="10" t="inlineStr">
        <is>
          <t>% with arrears</t>
        </is>
      </c>
      <c r="E29" s="10" t="inlineStr">
        <is>
          <t>≤20%</t>
        </is>
      </c>
      <c r="F29" s="10" t="inlineStr"/>
      <c r="G29" s="10" t="inlineStr"/>
      <c r="H29" s="10" t="inlineStr">
        <is>
          <t>Met</t>
        </is>
      </c>
      <c r="I29" s="9" t="inlineStr"/>
    </row>
    <row r="30" ht="22" customHeight="1">
      <c r="B30" s="31" t="n">
        <v>7</v>
      </c>
      <c r="C30" s="32" t="inlineStr">
        <is>
          <t>Backlog clearance rate</t>
        </is>
      </c>
      <c r="D30" s="33" t="inlineStr">
        <is>
          <t>% cleared per sem</t>
        </is>
      </c>
      <c r="E30" s="33" t="inlineStr">
        <is>
          <t>≥40%</t>
        </is>
      </c>
      <c r="F30" s="33" t="inlineStr"/>
      <c r="G30" s="33" t="inlineStr"/>
      <c r="H30" s="33" t="inlineStr">
        <is>
          <t>Met</t>
        </is>
      </c>
      <c r="I30" s="32" t="inlineStr"/>
    </row>
    <row r="31" ht="22" customHeight="1"/>
    <row r="32" ht="24" customHeight="1">
      <c r="B32" s="50" t="inlineStr">
        <is>
          <t>REVALUATION &amp; GRIEVANCE KPIs</t>
        </is>
      </c>
    </row>
    <row r="33" ht="22" customHeight="1">
      <c r="B33" s="58" t="inlineStr">
        <is>
          <t>Sl.</t>
        </is>
      </c>
      <c r="C33" s="58" t="inlineStr">
        <is>
          <t>Key Performance Indicator</t>
        </is>
      </c>
      <c r="D33" s="58" t="inlineStr">
        <is>
          <t>Unit</t>
        </is>
      </c>
      <c r="E33" s="58" t="inlineStr">
        <is>
          <t>Target</t>
        </is>
      </c>
      <c r="F33" s="58" t="inlineStr">
        <is>
          <t>Prev. Sem.
Actual</t>
        </is>
      </c>
      <c r="G33" s="58" t="inlineStr">
        <is>
          <t>Current Sem.
Actual</t>
        </is>
      </c>
      <c r="H33" s="58" t="inlineStr">
        <is>
          <t>Status</t>
        </is>
      </c>
      <c r="I33" s="58" t="inlineStr">
        <is>
          <t>Action Required</t>
        </is>
      </c>
    </row>
    <row r="34" ht="22" customHeight="1">
      <c r="B34" s="47" t="n">
        <v>1</v>
      </c>
      <c r="C34" s="48" t="inlineStr">
        <is>
          <t>Revaluation applications (% of appeared)</t>
        </is>
      </c>
      <c r="D34" s="49" t="inlineStr">
        <is>
          <t>% applying</t>
        </is>
      </c>
      <c r="E34" s="49" t="inlineStr">
        <is>
          <t>&lt; 5%</t>
        </is>
      </c>
      <c r="F34" s="49" t="inlineStr"/>
      <c r="G34" s="49" t="inlineStr"/>
      <c r="H34" s="49" t="inlineStr">
        <is>
          <t>Met</t>
        </is>
      </c>
      <c r="I34" s="48" t="inlineStr"/>
    </row>
    <row r="35" ht="22" customHeight="1">
      <c r="B35" s="8" t="n">
        <v>2</v>
      </c>
      <c r="C35" s="9" t="inlineStr">
        <is>
          <t>Revaluation marks change rate</t>
        </is>
      </c>
      <c r="D35" s="10" t="inlineStr">
        <is>
          <t>% with change</t>
        </is>
      </c>
      <c r="E35" s="10" t="inlineStr">
        <is>
          <t>Tracked</t>
        </is>
      </c>
      <c r="F35" s="10" t="inlineStr"/>
      <c r="G35" s="10" t="inlineStr"/>
      <c r="H35" s="10" t="inlineStr">
        <is>
          <t>Met</t>
        </is>
      </c>
      <c r="I35" s="9" t="inlineStr"/>
    </row>
    <row r="36" ht="22" customHeight="1">
      <c r="B36" s="47" t="n">
        <v>3</v>
      </c>
      <c r="C36" s="48" t="inlineStr">
        <is>
          <t>CIE grievances pending beyond 10 days</t>
        </is>
      </c>
      <c r="D36" s="49" t="inlineStr">
        <is>
          <t>No.</t>
        </is>
      </c>
      <c r="E36" s="49" t="inlineStr">
        <is>
          <t>0 target</t>
        </is>
      </c>
      <c r="F36" s="49" t="inlineStr"/>
      <c r="G36" s="49" t="inlineStr"/>
      <c r="H36" s="49" t="inlineStr">
        <is>
          <t>Met</t>
        </is>
      </c>
      <c r="I36" s="48" t="inlineStr"/>
    </row>
    <row r="37" ht="22" customHeight="1">
      <c r="B37" s="8" t="n">
        <v>4</v>
      </c>
      <c r="C37" s="9" t="inlineStr">
        <is>
          <t>SEE-related complaints resolved</t>
        </is>
      </c>
      <c r="D37" s="10" t="inlineStr">
        <is>
          <t>% resolved</t>
        </is>
      </c>
      <c r="E37" s="10" t="inlineStr">
        <is>
          <t>100%</t>
        </is>
      </c>
      <c r="F37" s="10" t="inlineStr"/>
      <c r="G37" s="10" t="inlineStr"/>
      <c r="H37" s="10" t="inlineStr">
        <is>
          <t>Met</t>
        </is>
      </c>
      <c r="I37" s="9" t="inlineStr"/>
    </row>
    <row r="38" ht="22" customHeight="1">
      <c r="B38" s="47" t="n">
        <v>5</v>
      </c>
      <c r="C38" s="48" t="inlineStr">
        <is>
          <t>Malpractice incidents (semester)</t>
        </is>
      </c>
      <c r="D38" s="49" t="inlineStr">
        <is>
          <t>No.</t>
        </is>
      </c>
      <c r="E38" s="49" t="inlineStr">
        <is>
          <t>0 target</t>
        </is>
      </c>
      <c r="F38" s="49" t="inlineStr"/>
      <c r="G38" s="49" t="inlineStr"/>
      <c r="H38" s="49" t="inlineStr">
        <is>
          <t>Met</t>
        </is>
      </c>
      <c r="I38" s="48" t="inlineStr"/>
    </row>
    <row r="39" ht="22" customHeight="1"/>
    <row r="40" ht="24" customHeight="1">
      <c r="B40" s="59" t="inlineStr">
        <is>
          <t>OPERATIONS &amp; COMPLIANCE KPIs</t>
        </is>
      </c>
    </row>
    <row r="41" ht="22" customHeight="1">
      <c r="B41" s="60" t="inlineStr">
        <is>
          <t>Sl.</t>
        </is>
      </c>
      <c r="C41" s="60" t="inlineStr">
        <is>
          <t>Key Performance Indicator</t>
        </is>
      </c>
      <c r="D41" s="60" t="inlineStr">
        <is>
          <t>Unit</t>
        </is>
      </c>
      <c r="E41" s="60" t="inlineStr">
        <is>
          <t>Target</t>
        </is>
      </c>
      <c r="F41" s="60" t="inlineStr">
        <is>
          <t>Prev. Sem.
Actual</t>
        </is>
      </c>
      <c r="G41" s="60" t="inlineStr">
        <is>
          <t>Current Sem.
Actual</t>
        </is>
      </c>
      <c r="H41" s="60" t="inlineStr">
        <is>
          <t>Status</t>
        </is>
      </c>
      <c r="I41" s="60" t="inlineStr">
        <is>
          <t>Action Required</t>
        </is>
      </c>
    </row>
    <row r="42" ht="22" customHeight="1">
      <c r="B42" s="14" t="n">
        <v>1</v>
      </c>
      <c r="C42" s="15" t="inlineStr">
        <is>
          <t>Invigilation duty compliance (% faculty reporting)</t>
        </is>
      </c>
      <c r="D42" s="16" t="inlineStr">
        <is>
          <t>% reporting</t>
        </is>
      </c>
      <c r="E42" s="16" t="inlineStr">
        <is>
          <t>100%</t>
        </is>
      </c>
      <c r="F42" s="16" t="inlineStr"/>
      <c r="G42" s="16" t="inlineStr"/>
      <c r="H42" s="16" t="inlineStr">
        <is>
          <t>Met</t>
        </is>
      </c>
      <c r="I42" s="15" t="inlineStr"/>
    </row>
    <row r="43" ht="22" customHeight="1">
      <c r="B43" s="8" t="n">
        <v>2</v>
      </c>
      <c r="C43" s="9" t="inlineStr">
        <is>
          <t>Mark sheet / transcript issuance within 5 days</t>
        </is>
      </c>
      <c r="D43" s="10" t="inlineStr">
        <is>
          <t>% on time</t>
        </is>
      </c>
      <c r="E43" s="10" t="inlineStr">
        <is>
          <t>≥90%</t>
        </is>
      </c>
      <c r="F43" s="10" t="inlineStr"/>
      <c r="G43" s="10" t="inlineStr"/>
      <c r="H43" s="10" t="inlineStr">
        <is>
          <t>Met</t>
        </is>
      </c>
      <c r="I43" s="9" t="inlineStr"/>
    </row>
    <row r="44" ht="22" customHeight="1">
      <c r="B44" s="14" t="n">
        <v>3</v>
      </c>
      <c r="C44" s="15" t="inlineStr">
        <is>
          <t>Degree certificates issued within 90 days of results</t>
        </is>
      </c>
      <c r="D44" s="16" t="inlineStr">
        <is>
          <t>% on time</t>
        </is>
      </c>
      <c r="E44" s="16" t="inlineStr">
        <is>
          <t>≥95%</t>
        </is>
      </c>
      <c r="F44" s="16" t="inlineStr"/>
      <c r="G44" s="16" t="inlineStr"/>
      <c r="H44" s="16" t="inlineStr">
        <is>
          <t>Met</t>
        </is>
      </c>
      <c r="I44" s="15" t="inlineStr"/>
    </row>
    <row r="45" ht="22" customHeight="1">
      <c r="B45" s="8" t="n">
        <v>4</v>
      </c>
      <c r="C45" s="9" t="inlineStr">
        <is>
          <t>NAAC exam evidence compiled (AQAR)</t>
        </is>
      </c>
      <c r="D45" s="10" t="inlineStr">
        <is>
          <t>Y/N</t>
        </is>
      </c>
      <c r="E45" s="10" t="inlineStr">
        <is>
          <t>Yes by Jul 31</t>
        </is>
      </c>
      <c r="F45" s="10" t="inlineStr"/>
      <c r="G45" s="10" t="inlineStr"/>
      <c r="H45" s="10" t="inlineStr">
        <is>
          <t>Met</t>
        </is>
      </c>
      <c r="I45" s="9" t="inlineStr"/>
    </row>
    <row r="46" ht="22" customHeight="1">
      <c r="B46" s="14" t="n">
        <v>5</v>
      </c>
      <c r="C46" s="15" t="inlineStr">
        <is>
          <t>Examination budget utilisation (%)</t>
        </is>
      </c>
      <c r="D46" s="16" t="inlineStr">
        <is>
          <t>% utilised</t>
        </is>
      </c>
      <c r="E46" s="16" t="inlineStr">
        <is>
          <t>85–100%</t>
        </is>
      </c>
      <c r="F46" s="16" t="inlineStr"/>
      <c r="G46" s="16" t="inlineStr"/>
      <c r="H46" s="16" t="inlineStr">
        <is>
          <t>Met</t>
        </is>
      </c>
      <c r="I46" s="15" t="inlineStr"/>
    </row>
    <row r="47" ht="22" customHeight="1">
      <c r="B47" s="8" t="n">
        <v>6</v>
      </c>
      <c r="C47" s="9" t="inlineStr">
        <is>
          <t>Examination records archive — up to date</t>
        </is>
      </c>
      <c r="D47" s="10" t="inlineStr">
        <is>
          <t>Y/N</t>
        </is>
      </c>
      <c r="E47" s="10" t="inlineStr">
        <is>
          <t>Yes</t>
        </is>
      </c>
      <c r="F47" s="10" t="inlineStr"/>
      <c r="G47" s="10" t="inlineStr"/>
      <c r="H47" s="10" t="inlineStr">
        <is>
          <t>Met</t>
        </is>
      </c>
      <c r="I47" s="9" t="inlineStr"/>
    </row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7">
    <mergeCell ref="B13:I13"/>
    <mergeCell ref="B2:I2"/>
    <mergeCell ref="B3:I3"/>
    <mergeCell ref="B22:I22"/>
    <mergeCell ref="B32:I32"/>
    <mergeCell ref="B4:I4"/>
    <mergeCell ref="B40:I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EC-35: EXAMINATIONS ANNUAL REPORT COMPILATION FORM</t>
        </is>
      </c>
    </row>
    <row r="3" ht="25" customHeight="1">
      <c r="B3" s="2" t="inlineStr">
        <is>
          <t>A.Y.: _______  CoE: ___________________  Submitted to: Management / IQAC / University  Date: _______</t>
        </is>
      </c>
    </row>
    <row r="4" ht="24" customHeight="1">
      <c r="B4" s="19" t="inlineStr">
        <is>
          <t>SECTION 1 — CIE PERFORMANCE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CIE tests conducted per course (avg.)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Courses with CIE marks uploaded</t>
        </is>
      </c>
      <c r="D7" s="10" t="inlineStr">
        <is>
          <t>% of total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CIE grievances received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CIE grievances resolved within 10 days (%)</t>
        </is>
      </c>
      <c r="D9" s="10" t="inlineStr">
        <is>
          <t>% resolved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Students detained</t>
        </is>
      </c>
      <c r="D10" s="16" t="inlineStr">
        <is>
          <t>No. / %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Condonation applications processed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/>
    <row r="13" ht="24" customHeight="1">
      <c r="B13" s="53" t="inlineStr">
        <is>
          <t>SECTION 2 — SEE OPERATIONS</t>
        </is>
      </c>
    </row>
    <row r="14" ht="22" customHeight="1">
      <c r="B14" s="54" t="inlineStr">
        <is>
          <t>Sl.</t>
        </is>
      </c>
      <c r="C14" s="54" t="inlineStr">
        <is>
          <t>Performance Metric</t>
        </is>
      </c>
      <c r="D14" s="54" t="inlineStr">
        <is>
          <t>Unit</t>
        </is>
      </c>
      <c r="E14" s="54" t="inlineStr">
        <is>
          <t>Current A.Y.</t>
        </is>
      </c>
      <c r="F14" s="54" t="inlineStr">
        <is>
          <t>Previous A.Y.</t>
        </is>
      </c>
      <c r="G14" s="54" t="inlineStr">
        <is>
          <t>Growth %</t>
        </is>
      </c>
      <c r="H14" s="54" t="inlineStr">
        <is>
          <t>Target Next Year</t>
        </is>
      </c>
    </row>
    <row r="15" ht="22" customHeight="1">
      <c r="B15" s="55" t="n">
        <v>1</v>
      </c>
      <c r="C15" s="56" t="inlineStr">
        <is>
          <t>SEE sessions conducted</t>
        </is>
      </c>
      <c r="D15" s="57" t="inlineStr">
        <is>
          <t>No.</t>
        </is>
      </c>
      <c r="E15" s="57" t="inlineStr"/>
      <c r="F15" s="57" t="inlineStr"/>
      <c r="G15" s="57">
        <f>IFERROR(ROUND((E15-F15)/F15*100,1),"")</f>
        <v/>
      </c>
      <c r="H15" s="57" t="inlineStr"/>
    </row>
    <row r="16" ht="22" customHeight="1">
      <c r="B16" s="8" t="n">
        <v>2</v>
      </c>
      <c r="C16" s="9" t="inlineStr">
        <is>
          <t>Total students appeared in SEE</t>
        </is>
      </c>
      <c r="D16" s="10" t="inlineStr">
        <is>
          <t>No.</t>
        </is>
      </c>
      <c r="E16" s="10" t="inlineStr"/>
      <c r="F16" s="10" t="inlineStr"/>
      <c r="G16" s="10">
        <f>IFERROR(ROUND((E16-F16)/F16*100,1),"")</f>
        <v/>
      </c>
      <c r="H16" s="10" t="inlineStr"/>
    </row>
    <row r="17" ht="22" customHeight="1">
      <c r="B17" s="55" t="n">
        <v>3</v>
      </c>
      <c r="C17" s="56" t="inlineStr">
        <is>
          <t>Hall tickets issued</t>
        </is>
      </c>
      <c r="D17" s="57" t="inlineStr">
        <is>
          <t>No.</t>
        </is>
      </c>
      <c r="E17" s="57" t="inlineStr"/>
      <c r="F17" s="57" t="inlineStr"/>
      <c r="G17" s="57">
        <f>IFERROR(ROUND((E17-F17)/F17*100,1),"")</f>
        <v/>
      </c>
      <c r="H17" s="57" t="inlineStr"/>
    </row>
    <row r="18" ht="22" customHeight="1">
      <c r="B18" s="8" t="n">
        <v>4</v>
      </c>
      <c r="C18" s="9" t="inlineStr">
        <is>
          <t>UFM incidents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55" t="n">
        <v>5</v>
      </c>
      <c r="C19" s="56" t="inlineStr">
        <is>
          <t>Answer scripts dispatched on time (%)</t>
        </is>
      </c>
      <c r="D19" s="57" t="inlineStr">
        <is>
          <t>% dispatched</t>
        </is>
      </c>
      <c r="E19" s="57" t="inlineStr"/>
      <c r="F19" s="57" t="inlineStr"/>
      <c r="G19" s="57">
        <f>IFERROR(ROUND((E19-F19)/F19*100,1),"")</f>
        <v/>
      </c>
      <c r="H19" s="57" t="inlineStr"/>
    </row>
    <row r="20" ht="22" customHeight="1">
      <c r="B20" s="8" t="n">
        <v>6</v>
      </c>
      <c r="C20" s="9" t="inlineStr">
        <is>
          <t>External examiners engaged (Practicals)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/>
    <row r="22" ht="24" customHeight="1">
      <c r="B22" s="34" t="inlineStr">
        <is>
          <t>SECTION 3 — RESULTS</t>
        </is>
      </c>
    </row>
    <row r="23" ht="22" customHeight="1">
      <c r="B23" s="30" t="inlineStr">
        <is>
          <t>Sl.</t>
        </is>
      </c>
      <c r="C23" s="30" t="inlineStr">
        <is>
          <t>Performance Metric</t>
        </is>
      </c>
      <c r="D23" s="30" t="inlineStr">
        <is>
          <t>Unit</t>
        </is>
      </c>
      <c r="E23" s="30" t="inlineStr">
        <is>
          <t>Current A.Y.</t>
        </is>
      </c>
      <c r="F23" s="30" t="inlineStr">
        <is>
          <t>Previous A.Y.</t>
        </is>
      </c>
      <c r="G23" s="30" t="inlineStr">
        <is>
          <t>Growth %</t>
        </is>
      </c>
      <c r="H23" s="30" t="inlineStr">
        <is>
          <t>Target Next Year</t>
        </is>
      </c>
    </row>
    <row r="24" ht="22" customHeight="1">
      <c r="B24" s="31" t="n">
        <v>1</v>
      </c>
      <c r="C24" s="32" t="inlineStr">
        <is>
          <t>Overall pass percentage</t>
        </is>
      </c>
      <c r="D24" s="33" t="inlineStr">
        <is>
          <t>% pass</t>
        </is>
      </c>
      <c r="E24" s="33" t="inlineStr"/>
      <c r="F24" s="33" t="inlineStr"/>
      <c r="G24" s="33">
        <f>IFERROR(ROUND((E24-F24)/F24*100,1),"")</f>
        <v/>
      </c>
      <c r="H24" s="33" t="inlineStr"/>
    </row>
    <row r="25" ht="22" customHeight="1">
      <c r="B25" s="8" t="n">
        <v>2</v>
      </c>
      <c r="C25" s="9" t="inlineStr">
        <is>
          <t>First class &amp; above (%)</t>
        </is>
      </c>
      <c r="D25" s="10" t="inlineStr">
        <is>
          <t>% first class</t>
        </is>
      </c>
      <c r="E25" s="10" t="inlineStr"/>
      <c r="F25" s="10" t="inlineStr"/>
      <c r="G25" s="10">
        <f>IFERROR(ROUND((E25-F25)/F25*100,1),"")</f>
        <v/>
      </c>
      <c r="H25" s="10" t="inlineStr"/>
    </row>
    <row r="26" ht="22" customHeight="1">
      <c r="B26" s="31" t="n">
        <v>3</v>
      </c>
      <c r="C26" s="32" t="inlineStr">
        <is>
          <t>Distinction (%)</t>
        </is>
      </c>
      <c r="D26" s="33" t="inlineStr">
        <is>
          <t>% distinction</t>
        </is>
      </c>
      <c r="E26" s="33" t="inlineStr"/>
      <c r="F26" s="33" t="inlineStr"/>
      <c r="G26" s="33">
        <f>IFERROR(ROUND((E26-F26)/F26*100,1),"")</f>
        <v/>
      </c>
      <c r="H26" s="33" t="inlineStr"/>
    </row>
    <row r="27" ht="22" customHeight="1">
      <c r="B27" s="8" t="n">
        <v>4</v>
      </c>
      <c r="C27" s="9" t="inlineStr">
        <is>
          <t>Average CGPA</t>
        </is>
      </c>
      <c r="D27" s="10" t="inlineStr">
        <is>
          <t>CGPA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31" t="n">
        <v>5</v>
      </c>
      <c r="C28" s="32" t="inlineStr">
        <is>
          <t>Students with backlogs</t>
        </is>
      </c>
      <c r="D28" s="33" t="inlineStr">
        <is>
          <t>No.</t>
        </is>
      </c>
      <c r="E28" s="33" t="inlineStr"/>
      <c r="F28" s="33" t="inlineStr"/>
      <c r="G28" s="33">
        <f>IFERROR(ROUND((E28-F28)/F28*100,1),"")</f>
        <v/>
      </c>
      <c r="H28" s="33" t="inlineStr"/>
    </row>
    <row r="29" ht="22" customHeight="1">
      <c r="B29" s="8" t="n">
        <v>6</v>
      </c>
      <c r="C29" s="9" t="inlineStr">
        <is>
          <t>Backlog clearance rate (%)</t>
        </is>
      </c>
      <c r="D29" s="10" t="inlineStr">
        <is>
          <t>% cleared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/>
    <row r="31" ht="24" customHeight="1">
      <c r="B31" s="50" t="inlineStr">
        <is>
          <t>SECTION 4 — REVALUATION &amp; RECORDS</t>
        </is>
      </c>
    </row>
    <row r="32" ht="22" customHeight="1">
      <c r="B32" s="58" t="inlineStr">
        <is>
          <t>Sl.</t>
        </is>
      </c>
      <c r="C32" s="58" t="inlineStr">
        <is>
          <t>Performance Metric</t>
        </is>
      </c>
      <c r="D32" s="58" t="inlineStr">
        <is>
          <t>Unit</t>
        </is>
      </c>
      <c r="E32" s="58" t="inlineStr">
        <is>
          <t>Current A.Y.</t>
        </is>
      </c>
      <c r="F32" s="58" t="inlineStr">
        <is>
          <t>Previous A.Y.</t>
        </is>
      </c>
      <c r="G32" s="58" t="inlineStr">
        <is>
          <t>Growth %</t>
        </is>
      </c>
      <c r="H32" s="58" t="inlineStr">
        <is>
          <t>Target Next Year</t>
        </is>
      </c>
    </row>
    <row r="33" ht="22" customHeight="1">
      <c r="B33" s="47" t="n">
        <v>1</v>
      </c>
      <c r="C33" s="48" t="inlineStr">
        <is>
          <t>Revaluation applications</t>
        </is>
      </c>
      <c r="D33" s="49" t="inlineStr">
        <is>
          <t>No.</t>
        </is>
      </c>
      <c r="E33" s="49" t="inlineStr"/>
      <c r="F33" s="49" t="inlineStr"/>
      <c r="G33" s="49">
        <f>IFERROR(ROUND((E33-F33)/F33*100,1),"")</f>
        <v/>
      </c>
      <c r="H33" s="49" t="inlineStr"/>
    </row>
    <row r="34" ht="22" customHeight="1">
      <c r="B34" s="8" t="n">
        <v>2</v>
      </c>
      <c r="C34" s="9" t="inlineStr">
        <is>
          <t>Applications with mark change</t>
        </is>
      </c>
      <c r="D34" s="10" t="inlineStr">
        <is>
          <t>No.</t>
        </is>
      </c>
      <c r="E34" s="10" t="inlineStr"/>
      <c r="F34" s="10" t="inlineStr"/>
      <c r="G34" s="10">
        <f>IFERROR(ROUND((E34-F34)/F34*100,1),"")</f>
        <v/>
      </c>
      <c r="H34" s="10" t="inlineStr"/>
    </row>
    <row r="35" ht="22" customHeight="1">
      <c r="B35" s="47" t="n">
        <v>3</v>
      </c>
      <c r="C35" s="48" t="inlineStr">
        <is>
          <t>Mark sheets issued</t>
        </is>
      </c>
      <c r="D35" s="49" t="inlineStr">
        <is>
          <t>No.</t>
        </is>
      </c>
      <c r="E35" s="49" t="inlineStr"/>
      <c r="F35" s="49" t="inlineStr"/>
      <c r="G35" s="49">
        <f>IFERROR(ROUND((E35-F35)/F35*100,1),"")</f>
        <v/>
      </c>
      <c r="H35" s="49" t="inlineStr"/>
    </row>
    <row r="36" ht="22" customHeight="1">
      <c r="B36" s="8" t="n">
        <v>4</v>
      </c>
      <c r="C36" s="9" t="inlineStr">
        <is>
          <t>Transcripts issued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47" t="n">
        <v>5</v>
      </c>
      <c r="C37" s="48" t="inlineStr">
        <is>
          <t>Degree certificates issued</t>
        </is>
      </c>
      <c r="D37" s="49" t="inlineStr">
        <is>
          <t>No.</t>
        </is>
      </c>
      <c r="E37" s="49" t="inlineStr"/>
      <c r="F37" s="49" t="inlineStr"/>
      <c r="G37" s="49">
        <f>IFERROR(ROUND((E37-F37)/F37*100,1),"")</f>
        <v/>
      </c>
      <c r="H37" s="49" t="inlineStr"/>
    </row>
    <row r="38" ht="22" customHeight="1">
      <c r="B38" s="8" t="n">
        <v>6</v>
      </c>
      <c r="C38" s="9" t="inlineStr">
        <is>
          <t>Revenue from exam fees (₹L)</t>
        </is>
      </c>
      <c r="D38" s="10" t="inlineStr">
        <is>
          <t>₹L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/>
    <row r="40" ht="24" customHeight="1">
      <c r="B40" s="59" t="inlineStr">
        <is>
          <t>SECTION 5 — COMPLIANCE &amp; QUALITY</t>
        </is>
      </c>
    </row>
    <row r="41" ht="22" customHeight="1">
      <c r="B41" s="60" t="inlineStr">
        <is>
          <t>Sl.</t>
        </is>
      </c>
      <c r="C41" s="60" t="inlineStr">
        <is>
          <t>Performance Metric</t>
        </is>
      </c>
      <c r="D41" s="60" t="inlineStr">
        <is>
          <t>Unit</t>
        </is>
      </c>
      <c r="E41" s="60" t="inlineStr">
        <is>
          <t>Current A.Y.</t>
        </is>
      </c>
      <c r="F41" s="60" t="inlineStr">
        <is>
          <t>Previous A.Y.</t>
        </is>
      </c>
      <c r="G41" s="60" t="inlineStr">
        <is>
          <t>Growth %</t>
        </is>
      </c>
      <c r="H41" s="60" t="inlineStr">
        <is>
          <t>Target Next Year</t>
        </is>
      </c>
    </row>
    <row r="42" ht="22" customHeight="1">
      <c r="B42" s="14" t="n">
        <v>1</v>
      </c>
      <c r="C42" s="15" t="inlineStr">
        <is>
          <t>NAAC exam data compiled (AQAR Criterion II.5)</t>
        </is>
      </c>
      <c r="D42" s="16" t="inlineStr">
        <is>
          <t>Y/N</t>
        </is>
      </c>
      <c r="E42" s="16" t="inlineStr"/>
      <c r="F42" s="16" t="inlineStr"/>
      <c r="G42" s="16">
        <f>IFERROR(ROUND((E42-F42)/F42*100,1),"")</f>
        <v/>
      </c>
      <c r="H42" s="16" t="inlineStr"/>
    </row>
    <row r="43" ht="22" customHeight="1">
      <c r="B43" s="8" t="n">
        <v>2</v>
      </c>
      <c r="C43" s="9" t="inlineStr">
        <is>
          <t>NBA assessment evidence ready</t>
        </is>
      </c>
      <c r="D43" s="10" t="inlineStr">
        <is>
          <t>Y/N</t>
        </is>
      </c>
      <c r="E43" s="10" t="inlineStr"/>
      <c r="F43" s="10" t="inlineStr"/>
      <c r="G43" s="10">
        <f>IFERROR(ROUND((E43-F43)/F43*100,1),"")</f>
        <v/>
      </c>
      <c r="H43" s="10" t="inlineStr"/>
    </row>
    <row r="44" ht="22" customHeight="1">
      <c r="B44" s="14" t="n">
        <v>3</v>
      </c>
      <c r="C44" s="15" t="inlineStr">
        <is>
          <t>Exam records archived per norms</t>
        </is>
      </c>
      <c r="D44" s="16" t="inlineStr">
        <is>
          <t>Y/N</t>
        </is>
      </c>
      <c r="E44" s="16" t="inlineStr"/>
      <c r="F44" s="16" t="inlineStr"/>
      <c r="G44" s="16">
        <f>IFERROR(ROUND((E44-F44)/F44*100,1),"")</f>
        <v/>
      </c>
      <c r="H44" s="16" t="inlineStr"/>
    </row>
    <row r="45" ht="22" customHeight="1">
      <c r="B45" s="8" t="n">
        <v>4</v>
      </c>
      <c r="C45" s="9" t="inlineStr">
        <is>
          <t>Exam budget utilisation (%)</t>
        </is>
      </c>
      <c r="D45" s="10" t="inlineStr">
        <is>
          <t>% utilised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14" t="n">
        <v>5</v>
      </c>
      <c r="C46" s="15" t="inlineStr">
        <is>
          <t>Invigilation duty compliance (%)</t>
        </is>
      </c>
      <c r="D46" s="16" t="inlineStr">
        <is>
          <t>% compliance</t>
        </is>
      </c>
      <c r="E46" s="16" t="inlineStr"/>
      <c r="F46" s="16" t="inlineStr"/>
      <c r="G46" s="16">
        <f>IFERROR(ROUND((E46-F46)/F46*100,1),"")</f>
        <v/>
      </c>
      <c r="H46" s="16" t="inlineStr"/>
    </row>
    <row r="47" ht="22" customHeight="1">
      <c r="B47" s="8" t="n">
        <v>6</v>
      </c>
      <c r="C47" s="9" t="inlineStr">
        <is>
          <t>Student satisfaction with exam process (/5)</t>
        </is>
      </c>
      <c r="D47" s="10" t="inlineStr">
        <is>
          <t>Score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(AQAR Criterion II.5 — Evaluation Processes &amp; Reforms), University / Affiliating Authority, NAAC SSR, NBA SAR and Governing Body.</t>
        </is>
      </c>
    </row>
    <row r="50" ht="22" customHeight="1">
      <c r="B50" s="29" t="inlineStr">
        <is>
          <t>CoE: ___________________    EC Chairperson: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2026-04-22T13:23:13Z</dcterms:created>
  <dcterms:modified xmlns:dcterms="http://purl.org/dc/terms/" xmlns:xsi="http://www.w3.org/2001/XMLSchema-instance" xsi:type="dcterms:W3CDTF">2026-04-22T13:23:14Z</dcterms:modified>
</cp:coreProperties>
</file>