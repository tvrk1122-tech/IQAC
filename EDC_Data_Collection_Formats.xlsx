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DC-00 Composition" sheetId="2" state="visible" r:id="rId2"/>
    <sheet xmlns:r="http://schemas.openxmlformats.org/officeDocument/2006/relationships" name="EDC-NA Notice &amp; Agenda" sheetId="3" state="visible" r:id="rId3"/>
    <sheet xmlns:r="http://schemas.openxmlformats.org/officeDocument/2006/relationships" name="EDC-AT Attendance" sheetId="4" state="visible" r:id="rId4"/>
    <sheet xmlns:r="http://schemas.openxmlformats.org/officeDocument/2006/relationships" name="EDC-MM Minutes" sheetId="5" state="visible" r:id="rId5"/>
    <sheet xmlns:r="http://schemas.openxmlformats.org/officeDocument/2006/relationships" name="EDC-ATR Action Report" sheetId="6" state="visible" r:id="rId6"/>
    <sheet xmlns:r="http://schemas.openxmlformats.org/officeDocument/2006/relationships" name="EDC-01 Policy Register" sheetId="7" state="visible" r:id="rId7"/>
    <sheet xmlns:r="http://schemas.openxmlformats.org/officeDocument/2006/relationships" name="EDC-02 Annual Action Plan" sheetId="8" state="visible" r:id="rId8"/>
    <sheet xmlns:r="http://schemas.openxmlformats.org/officeDocument/2006/relationships" name="EDC-03 AEAP Progress Review" sheetId="9" state="visible" r:id="rId9"/>
    <sheet xmlns:r="http://schemas.openxmlformats.org/officeDocument/2006/relationships" name="EDC-04 E-Cell Register" sheetId="10" state="visible" r:id="rId10"/>
    <sheet xmlns:r="http://schemas.openxmlformats.org/officeDocument/2006/relationships" name="EDC-05 Incubation Centre" sheetId="11" state="visible" r:id="rId11"/>
    <sheet xmlns:r="http://schemas.openxmlformats.org/officeDocument/2006/relationships" name="EDC-06 Mentor Panel" sheetId="12" state="visible" r:id="rId12"/>
    <sheet xmlns:r="http://schemas.openxmlformats.org/officeDocument/2006/relationships" name="EDC-08 Events Register" sheetId="13" state="visible" r:id="rId13"/>
    <sheet xmlns:r="http://schemas.openxmlformats.org/officeDocument/2006/relationships" name="EDC-12 Idea Screening" sheetId="14" state="visible" r:id="rId14"/>
    <sheet xmlns:r="http://schemas.openxmlformats.org/officeDocument/2006/relationships" name="EDC-13 Startup Registration" sheetId="15" state="visible" r:id="rId15"/>
    <sheet xmlns:r="http://schemas.openxmlformats.org/officeDocument/2006/relationships" name="EDC-14 Mentorship Log" sheetId="16" state="visible" r:id="rId16"/>
    <sheet xmlns:r="http://schemas.openxmlformats.org/officeDocument/2006/relationships" name="EDC-17 Seed Fund Application" sheetId="17" state="visible" r:id="rId17"/>
    <sheet xmlns:r="http://schemas.openxmlformats.org/officeDocument/2006/relationships" name="EDC-18 Seed Fund Tracker" sheetId="18" state="visible" r:id="rId18"/>
    <sheet xmlns:r="http://schemas.openxmlformats.org/officeDocument/2006/relationships" name="EDC-19 External Funding" sheetId="19" state="visible" r:id="rId19"/>
    <sheet xmlns:r="http://schemas.openxmlformats.org/officeDocument/2006/relationships" name="EDC-20 Startup Financials" sheetId="20" state="visible" r:id="rId20"/>
    <sheet xmlns:r="http://schemas.openxmlformats.org/officeDocument/2006/relationships" name="EDC-21 IPR Support" sheetId="21" state="visible" r:id="rId21"/>
    <sheet xmlns:r="http://schemas.openxmlformats.org/officeDocument/2006/relationships" name="EDC-22 Legal Support" sheetId="22" state="visible" r:id="rId22"/>
    <sheet xmlns:r="http://schemas.openxmlformats.org/officeDocument/2006/relationships" name="EDC-23 Partner Network" sheetId="23" state="visible" r:id="rId23"/>
    <sheet xmlns:r="http://schemas.openxmlformats.org/officeDocument/2006/relationships" name="EDC-26 KPI Dashboard" sheetId="24" state="visible" r:id="rId24"/>
    <sheet xmlns:r="http://schemas.openxmlformats.org/officeDocument/2006/relationships" name="EDC-27 Startup Lifecycle" sheetId="25" state="visible" r:id="rId25"/>
    <sheet xmlns:r="http://schemas.openxmlformats.org/officeDocument/2006/relationships" name="EDC-28 Social Impact &amp; SDG" sheetId="26" state="visible" r:id="rId26"/>
    <sheet xmlns:r="http://schemas.openxmlformats.org/officeDocument/2006/relationships" name="EDC-29 Alumni Entrepreneurs" sheetId="27" state="visible" r:id="rId27"/>
    <sheet xmlns:r="http://schemas.openxmlformats.org/officeDocument/2006/relationships" name="EDC-30 Annual Report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EA580C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EA580C"/>
      <sz val="10"/>
    </font>
    <font>
      <name val="Arial"/>
      <b val="1"/>
      <color rgb="00334155"/>
      <sz val="10"/>
    </font>
    <font>
      <name val="Arial"/>
      <b val="1"/>
      <color rgb="0016A34A"/>
      <sz val="10"/>
    </font>
    <font>
      <name val="Arial"/>
      <color rgb="000F172A"/>
      <sz val="9"/>
    </font>
    <font>
      <name val="Arial"/>
      <b val="1"/>
      <color rgb="007C2D12"/>
      <sz val="10"/>
    </font>
    <font>
      <name val="Arial"/>
      <b val="1"/>
      <color rgb="003F2000"/>
      <sz val="10"/>
    </font>
  </fonts>
  <fills count="21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FFF7ED"/>
      </patternFill>
    </fill>
    <fill>
      <patternFill patternType="solid">
        <fgColor rgb="00EAB308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FEF9C3"/>
      </patternFill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16A34A"/>
      </patternFill>
    </fill>
    <fill>
      <patternFill patternType="solid">
        <fgColor rgb="004338CA"/>
      </patternFill>
    </fill>
    <fill>
      <patternFill patternType="solid">
        <fgColor rgb="00E0E7FF"/>
      </patternFill>
    </fill>
    <fill>
      <patternFill patternType="solid">
        <fgColor rgb="007E22CE"/>
      </patternFill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3" fillId="19" borderId="0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14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4" fillId="8" borderId="1" pivotButton="0" quotePrefix="0" xfId="0"/>
    <xf numFmtId="0" fontId="0" fillId="0" borderId="1" pivotButton="0" quotePrefix="0" xfId="0"/>
    <xf numFmtId="0" fontId="15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16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ENTREPRENEURSHIP DEVELOPMENT COMMITTEE (EDC)
Data Collection Formats — Master Workbook</t>
        </is>
      </c>
    </row>
    <row r="3" ht="28" customHeight="1">
      <c r="B3" s="2" t="inlineStr">
        <is>
          <t>Institution: _________________________  EDC Chairperson: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Stage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EDC-00</t>
        </is>
      </c>
      <c r="C6" s="6" t="inlineStr">
        <is>
          <t>EDC Composition &amp; Members Register</t>
        </is>
      </c>
      <c r="D6" s="6" t="inlineStr">
        <is>
          <t>Record Committee members, roles &amp; expert advisors</t>
        </is>
      </c>
      <c r="E6" s="7" t="inlineStr">
        <is>
          <t>Annual</t>
        </is>
      </c>
    </row>
    <row r="7" ht="20" customHeight="1">
      <c r="B7" s="8" t="inlineStr">
        <is>
          <t>EDC-NA</t>
        </is>
      </c>
      <c r="C7" s="9" t="inlineStr">
        <is>
          <t>EDC Meeting Notice &amp; Agenda</t>
        </is>
      </c>
      <c r="D7" s="9" t="inlineStr">
        <is>
          <t>Formal notice and agenda for EDC meetings</t>
        </is>
      </c>
      <c r="E7" s="10" t="inlineStr">
        <is>
          <t>Each Meeting</t>
        </is>
      </c>
    </row>
    <row r="8" ht="20" customHeight="1">
      <c r="B8" s="5" t="inlineStr">
        <is>
          <t>EDC-AT</t>
        </is>
      </c>
      <c r="C8" s="6" t="inlineStr">
        <is>
          <t>EDC Attendance &amp; Quorum Register</t>
        </is>
      </c>
      <c r="D8" s="6" t="inlineStr">
        <is>
          <t>Confirm attendance and quorum validity</t>
        </is>
      </c>
      <c r="E8" s="7" t="inlineStr">
        <is>
          <t>Each Meeting</t>
        </is>
      </c>
    </row>
    <row r="9" ht="20" customHeight="1">
      <c r="B9" s="8" t="inlineStr">
        <is>
          <t>EDC-MM</t>
        </is>
      </c>
      <c r="C9" s="9" t="inlineStr">
        <is>
          <t>EDC Meeting Minutes &amp; Resolutions</t>
        </is>
      </c>
      <c r="D9" s="9" t="inlineStr">
        <is>
          <t>Record discussions, decisions and directives</t>
        </is>
      </c>
      <c r="E9" s="10" t="inlineStr">
        <is>
          <t>Each Meeting</t>
        </is>
      </c>
    </row>
    <row r="10" ht="20" customHeight="1">
      <c r="B10" s="5" t="inlineStr">
        <is>
          <t>EDC-ATR</t>
        </is>
      </c>
      <c r="C10" s="6" t="inlineStr">
        <is>
          <t>EDC Action Taken Report</t>
        </is>
      </c>
      <c r="D10" s="6" t="inlineStr">
        <is>
          <t>Track implementation of EDC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PLANNING ──</t>
        </is>
      </c>
    </row>
    <row r="12" ht="20" customHeight="1">
      <c r="B12" s="5" t="inlineStr">
        <is>
          <t>EDC-01</t>
        </is>
      </c>
      <c r="C12" s="6" t="inlineStr">
        <is>
          <t>Entrepreneurship Policy &amp; Framework Register</t>
        </is>
      </c>
      <c r="D12" s="6" t="inlineStr">
        <is>
          <t>Document institutional E'ship policy, goals &amp; ecosystem</t>
        </is>
      </c>
      <c r="E12" s="7" t="inlineStr">
        <is>
          <t>Annual</t>
        </is>
      </c>
    </row>
    <row r="13" ht="20" customHeight="1">
      <c r="B13" s="8" t="inlineStr">
        <is>
          <t>EDC-02</t>
        </is>
      </c>
      <c r="C13" s="9" t="inlineStr">
        <is>
          <t>Annual Entrepreneurship Action Plan (AEAP)</t>
        </is>
      </c>
      <c r="D13" s="9" t="inlineStr">
        <is>
          <t>Plan all EDC activities, events &amp; targets for the year</t>
        </is>
      </c>
      <c r="E13" s="10" t="inlineStr">
        <is>
          <t>Annual (Pre-Year)</t>
        </is>
      </c>
    </row>
    <row r="14" ht="20" customHeight="1">
      <c r="B14" s="5" t="inlineStr">
        <is>
          <t>EDC-03</t>
        </is>
      </c>
      <c r="C14" s="6" t="inlineStr">
        <is>
          <t>AEAP Progress Review Form</t>
        </is>
      </c>
      <c r="D14" s="6" t="inlineStr">
        <is>
          <t>Mid-year and year-end review of action plan vs actuals</t>
        </is>
      </c>
      <c r="E14" s="7" t="inlineStr">
        <is>
          <t>Quarterly / Annual</t>
        </is>
      </c>
    </row>
    <row r="15" ht="20" customHeight="1">
      <c r="B15" s="4" t="inlineStr">
        <is>
          <t>── ECOSYSTEM &amp; INFRASTRUCTURE ──</t>
        </is>
      </c>
    </row>
    <row r="16" ht="20" customHeight="1">
      <c r="B16" s="5" t="inlineStr">
        <is>
          <t>EDC-04</t>
        </is>
      </c>
      <c r="C16" s="6" t="inlineStr">
        <is>
          <t>E-Cell / Club Registration &amp; Member Register</t>
        </is>
      </c>
      <c r="D16" s="6" t="inlineStr">
        <is>
          <t>Register student entrepreneurship clubs and members</t>
        </is>
      </c>
      <c r="E16" s="7" t="inlineStr">
        <is>
          <t>Annual</t>
        </is>
      </c>
    </row>
    <row r="17" ht="20" customHeight="1">
      <c r="B17" s="8" t="inlineStr">
        <is>
          <t>EDC-05</t>
        </is>
      </c>
      <c r="C17" s="9" t="inlineStr">
        <is>
          <t>Incubation Centre / Pre-Incubation Register</t>
        </is>
      </c>
      <c r="D17" s="9" t="inlineStr">
        <is>
          <t>Track facility use, resources &amp; incubatee occupancy</t>
        </is>
      </c>
      <c r="E17" s="10" t="inlineStr">
        <is>
          <t>Continuous</t>
        </is>
      </c>
    </row>
    <row r="18" ht="20" customHeight="1">
      <c r="B18" s="5" t="inlineStr">
        <is>
          <t>EDC-06</t>
        </is>
      </c>
      <c r="C18" s="6" t="inlineStr">
        <is>
          <t>Mentor &amp; Expert Panel Register</t>
        </is>
      </c>
      <c r="D18" s="6" t="inlineStr">
        <is>
          <t>Maintain pool of mentors, investors &amp; domain experts</t>
        </is>
      </c>
      <c r="E18" s="7" t="inlineStr">
        <is>
          <t>Annual / Continuous</t>
        </is>
      </c>
    </row>
    <row r="19" ht="20" customHeight="1">
      <c r="B19" s="8" t="inlineStr">
        <is>
          <t>EDC-07</t>
        </is>
      </c>
      <c r="C19" s="9" t="inlineStr">
        <is>
          <t>EDC Resource &amp; Infrastructure Inventory</t>
        </is>
      </c>
      <c r="D19" s="9" t="inlineStr">
        <is>
          <t>Audit equipment, space &amp; digital tools for EDC activities</t>
        </is>
      </c>
      <c r="E19" s="10" t="inlineStr">
        <is>
          <t>Annual</t>
        </is>
      </c>
    </row>
    <row r="20" ht="20" customHeight="1">
      <c r="B20" s="4" t="inlineStr">
        <is>
          <t>── AWARENESS &amp; EDUCATION ──</t>
        </is>
      </c>
    </row>
    <row r="21" ht="20" customHeight="1">
      <c r="B21" s="8" t="inlineStr">
        <is>
          <t>EDC-08</t>
        </is>
      </c>
      <c r="C21" s="9" t="inlineStr">
        <is>
          <t>Entrepreneurship Awareness Event Register</t>
        </is>
      </c>
      <c r="D21" s="9" t="inlineStr">
        <is>
          <t>Log all awareness events, talks, fairs &amp; hackathons</t>
        </is>
      </c>
      <c r="E21" s="10" t="inlineStr">
        <is>
          <t>Continuous</t>
        </is>
      </c>
    </row>
    <row r="22" ht="20" customHeight="1">
      <c r="B22" s="5" t="inlineStr">
        <is>
          <t>EDC-09</t>
        </is>
      </c>
      <c r="C22" s="6" t="inlineStr">
        <is>
          <t>Entrepreneurship Course &amp; FDP Register</t>
        </is>
      </c>
      <c r="D22" s="6" t="inlineStr">
        <is>
          <t>Track e'ship courses, workshops &amp; faculty development</t>
        </is>
      </c>
      <c r="E22" s="7" t="inlineStr">
        <is>
          <t>Semester / Annual</t>
        </is>
      </c>
    </row>
    <row r="23" ht="20" customHeight="1">
      <c r="B23" s="8" t="inlineStr">
        <is>
          <t>EDC-10</t>
        </is>
      </c>
      <c r="C23" s="9" t="inlineStr">
        <is>
          <t>Guest Lecture &amp; Expert Talk Register</t>
        </is>
      </c>
      <c r="D23" s="9" t="inlineStr">
        <is>
          <t>Record expert sessions, investor meets &amp; alumni talks</t>
        </is>
      </c>
      <c r="E23" s="10" t="inlineStr">
        <is>
          <t>Continuous</t>
        </is>
      </c>
    </row>
    <row r="24" ht="20" customHeight="1">
      <c r="B24" s="5" t="inlineStr">
        <is>
          <t>EDC-11</t>
        </is>
      </c>
      <c r="C24" s="6" t="inlineStr">
        <is>
          <t>Field Visit &amp; Industry Exposure Register</t>
        </is>
      </c>
      <c r="D24" s="6" t="inlineStr">
        <is>
          <t>Document visits to startups, industry parks &amp; incubators</t>
        </is>
      </c>
      <c r="E24" s="7" t="inlineStr">
        <is>
          <t>Continuous</t>
        </is>
      </c>
    </row>
    <row r="25" ht="20" customHeight="1">
      <c r="B25" s="4" t="inlineStr">
        <is>
          <t>── STUDENT ENTREPRENEURSHIP SUPPORT ──</t>
        </is>
      </c>
    </row>
    <row r="26" ht="20" customHeight="1">
      <c r="B26" s="5" t="inlineStr">
        <is>
          <t>EDC-12</t>
        </is>
      </c>
      <c r="C26" s="6" t="inlineStr">
        <is>
          <t>Business Idea Submission &amp; Screening Form</t>
        </is>
      </c>
      <c r="D26" s="6" t="inlineStr">
        <is>
          <t>Capture, evaluate and fast-track student business ideas</t>
        </is>
      </c>
      <c r="E26" s="7" t="inlineStr">
        <is>
          <t>Continuous</t>
        </is>
      </c>
    </row>
    <row r="27" ht="20" customHeight="1">
      <c r="B27" s="8" t="inlineStr">
        <is>
          <t>EDC-13</t>
        </is>
      </c>
      <c r="C27" s="9" t="inlineStr">
        <is>
          <t>Student Startup Registration Form</t>
        </is>
      </c>
      <c r="D27" s="9" t="inlineStr">
        <is>
          <t>Formally register student-led startups with EDC</t>
        </is>
      </c>
      <c r="E27" s="10" t="inlineStr">
        <is>
          <t>Per Startup</t>
        </is>
      </c>
    </row>
    <row r="28" ht="20" customHeight="1">
      <c r="B28" s="5" t="inlineStr">
        <is>
          <t>EDC-14</t>
        </is>
      </c>
      <c r="C28" s="6" t="inlineStr">
        <is>
          <t>Startup Mentorship &amp; Guidance Log</t>
        </is>
      </c>
      <c r="D28" s="6" t="inlineStr">
        <is>
          <t>Track mentor-startup sessions, advice &amp; milestones</t>
        </is>
      </c>
      <c r="E28" s="7" t="inlineStr">
        <is>
          <t>Per Startup / Monthly</t>
        </is>
      </c>
    </row>
    <row r="29" ht="20" customHeight="1">
      <c r="B29" s="8" t="inlineStr">
        <is>
          <t>EDC-15</t>
        </is>
      </c>
      <c r="C29" s="9" t="inlineStr">
        <is>
          <t>Student Business Plan Competition Register</t>
        </is>
      </c>
      <c r="D29" s="9" t="inlineStr">
        <is>
          <t>Manage plan competitions — entries, judging &amp; awards</t>
        </is>
      </c>
      <c r="E29" s="10" t="inlineStr">
        <is>
          <t>Annual / Per Event</t>
        </is>
      </c>
    </row>
    <row r="30" ht="20" customHeight="1">
      <c r="B30" s="5" t="inlineStr">
        <is>
          <t>EDC-16</t>
        </is>
      </c>
      <c r="C30" s="6" t="inlineStr">
        <is>
          <t>Prototype / Product Development Support Form</t>
        </is>
      </c>
      <c r="D30" s="6" t="inlineStr">
        <is>
          <t>Track support for prototype development and product demo</t>
        </is>
      </c>
      <c r="E30" s="7" t="inlineStr">
        <is>
          <t>Per Project</t>
        </is>
      </c>
    </row>
    <row r="31" ht="20" customHeight="1">
      <c r="B31" s="4" t="inlineStr">
        <is>
          <t>── FUNDING &amp; FINANCIAL SUPPORT ──</t>
        </is>
      </c>
    </row>
    <row r="32" ht="20" customHeight="1">
      <c r="B32" s="5" t="inlineStr">
        <is>
          <t>EDC-17</t>
        </is>
      </c>
      <c r="C32" s="6" t="inlineStr">
        <is>
          <t>Seed Fund / Internal Grant Application Form</t>
        </is>
      </c>
      <c r="D32" s="6" t="inlineStr">
        <is>
          <t>Students apply for institutional seed funding</t>
        </is>
      </c>
      <c r="E32" s="7" t="inlineStr">
        <is>
          <t>Per Application</t>
        </is>
      </c>
    </row>
    <row r="33" ht="20" customHeight="1">
      <c r="B33" s="8" t="inlineStr">
        <is>
          <t>EDC-18</t>
        </is>
      </c>
      <c r="C33" s="9" t="inlineStr">
        <is>
          <t>Seed Fund Disbursement &amp; Utilisation Register</t>
        </is>
      </c>
      <c r="D33" s="9" t="inlineStr">
        <is>
          <t>Track grant disbursement, utilisation and reporting</t>
        </is>
      </c>
      <c r="E33" s="10" t="inlineStr">
        <is>
          <t>Per Grant / Quarterly</t>
        </is>
      </c>
    </row>
    <row r="34" ht="20" customHeight="1">
      <c r="B34" s="5" t="inlineStr">
        <is>
          <t>EDC-19</t>
        </is>
      </c>
      <c r="C34" s="6" t="inlineStr">
        <is>
          <t>External Funding &amp; Pitch Opportunity Tracker</t>
        </is>
      </c>
      <c r="D34" s="6" t="inlineStr">
        <is>
          <t>Track external grants, competitions &amp; investor pitches</t>
        </is>
      </c>
      <c r="E34" s="7" t="inlineStr">
        <is>
          <t>Continuous</t>
        </is>
      </c>
    </row>
    <row r="35" ht="20" customHeight="1">
      <c r="B35" s="8" t="inlineStr">
        <is>
          <t>EDC-20</t>
        </is>
      </c>
      <c r="C35" s="9" t="inlineStr">
        <is>
          <t>Revenue &amp; Financial Performance of Startups</t>
        </is>
      </c>
      <c r="D35" s="9" t="inlineStr">
        <is>
          <t>Monitor startup revenue, burn rate &amp; sustainability</t>
        </is>
      </c>
      <c r="E35" s="10" t="inlineStr">
        <is>
          <t>Quarterly / Annual</t>
        </is>
      </c>
    </row>
    <row r="36" ht="20" customHeight="1">
      <c r="B36" s="4" t="inlineStr">
        <is>
          <t>── IPR &amp; LEGAL SUPPORT ──</t>
        </is>
      </c>
    </row>
    <row r="37" ht="20" customHeight="1">
      <c r="B37" s="8" t="inlineStr">
        <is>
          <t>EDC-21</t>
        </is>
      </c>
      <c r="C37" s="9" t="inlineStr">
        <is>
          <t>IPR Awareness &amp; Filing Support Register</t>
        </is>
      </c>
      <c r="D37" s="9" t="inlineStr">
        <is>
          <t>Track patent / TM / copyright awareness and filings</t>
        </is>
      </c>
      <c r="E37" s="10" t="inlineStr">
        <is>
          <t>Continuous</t>
        </is>
      </c>
    </row>
    <row r="38" ht="20" customHeight="1">
      <c r="B38" s="5" t="inlineStr">
        <is>
          <t>EDC-22</t>
        </is>
      </c>
      <c r="C38" s="6" t="inlineStr">
        <is>
          <t>Legal &amp; Compliance Support Register</t>
        </is>
      </c>
      <c r="D38" s="6" t="inlineStr">
        <is>
          <t>Track business registration, GST, MSME &amp; legal support</t>
        </is>
      </c>
      <c r="E38" s="7" t="inlineStr">
        <is>
          <t>Per Startup</t>
        </is>
      </c>
    </row>
    <row r="39" ht="20" customHeight="1">
      <c r="B39" s="4" t="inlineStr">
        <is>
          <t>── INDUSTRY LINKAGE &amp; PLACEMENT ──</t>
        </is>
      </c>
    </row>
    <row r="40" ht="20" customHeight="1">
      <c r="B40" s="5" t="inlineStr">
        <is>
          <t>EDC-23</t>
        </is>
      </c>
      <c r="C40" s="6" t="inlineStr">
        <is>
          <t>Industry Partner &amp; Investor Network Register</t>
        </is>
      </c>
      <c r="D40" s="6" t="inlineStr">
        <is>
          <t>Maintain investor, VC, angel &amp; industry partner database</t>
        </is>
      </c>
      <c r="E40" s="7" t="inlineStr">
        <is>
          <t>Annual / Continuous</t>
        </is>
      </c>
    </row>
    <row r="41" ht="20" customHeight="1">
      <c r="B41" s="8" t="inlineStr">
        <is>
          <t>EDC-24</t>
        </is>
      </c>
      <c r="C41" s="9" t="inlineStr">
        <is>
          <t>Startup–Industry Collaboration Register</t>
        </is>
      </c>
      <c r="D41" s="9" t="inlineStr">
        <is>
          <t>Track B2B deals, pilot projects &amp; industry orders</t>
        </is>
      </c>
      <c r="E41" s="10" t="inlineStr">
        <is>
          <t>Continuous</t>
        </is>
      </c>
    </row>
    <row r="42" ht="20" customHeight="1">
      <c r="B42" s="5" t="inlineStr">
        <is>
          <t>EDC-25</t>
        </is>
      </c>
      <c r="C42" s="6" t="inlineStr">
        <is>
          <t>Startup Placement &amp; Career Outcome Tracker</t>
        </is>
      </c>
      <c r="D42" s="6" t="inlineStr">
        <is>
          <t>Track founders who took jobs vs continued startup journey</t>
        </is>
      </c>
      <c r="E42" s="7" t="inlineStr">
        <is>
          <t>Annual</t>
        </is>
      </c>
    </row>
    <row r="43" ht="20" customHeight="1">
      <c r="B43" s="4" t="inlineStr">
        <is>
          <t>── MONITORING, IMPACT &amp; REPORTING ──</t>
        </is>
      </c>
    </row>
    <row r="44" ht="20" customHeight="1">
      <c r="B44" s="5" t="inlineStr">
        <is>
          <t>EDC-26</t>
        </is>
      </c>
      <c r="C44" s="6" t="inlineStr">
        <is>
          <t>EDC KPI Dashboard</t>
        </is>
      </c>
      <c r="D44" s="6" t="inlineStr">
        <is>
          <t>Track all KPIs: startups, events, funding, jobs created</t>
        </is>
      </c>
      <c r="E44" s="7" t="inlineStr">
        <is>
          <t>Monthly / Quarterly</t>
        </is>
      </c>
    </row>
    <row r="45" ht="20" customHeight="1">
      <c r="B45" s="8" t="inlineStr">
        <is>
          <t>EDC-27</t>
        </is>
      </c>
      <c r="C45" s="9" t="inlineStr">
        <is>
          <t>Startup Lifecycle &amp; Graduation Tracker</t>
        </is>
      </c>
      <c r="D45" s="9" t="inlineStr">
        <is>
          <t>Monitor startup stage progression to graduation</t>
        </is>
      </c>
      <c r="E45" s="10" t="inlineStr">
        <is>
          <t>Continuous</t>
        </is>
      </c>
    </row>
    <row r="46" ht="20" customHeight="1">
      <c r="B46" s="5" t="inlineStr">
        <is>
          <t>EDC-28</t>
        </is>
      </c>
      <c r="C46" s="6" t="inlineStr">
        <is>
          <t>Social Impact &amp; SDG Mapping Form</t>
        </is>
      </c>
      <c r="D46" s="6" t="inlineStr">
        <is>
          <t>Document social / environmental impact of startups</t>
        </is>
      </c>
      <c r="E46" s="7" t="inlineStr">
        <is>
          <t>Annual</t>
        </is>
      </c>
    </row>
    <row r="47" ht="20" customHeight="1">
      <c r="B47" s="8" t="inlineStr">
        <is>
          <t>EDC-29</t>
        </is>
      </c>
      <c r="C47" s="9" t="inlineStr">
        <is>
          <t>Alumni Entrepreneur Engagement Register</t>
        </is>
      </c>
      <c r="D47" s="9" t="inlineStr">
        <is>
          <t>Track alumni entrepreneurs — support &amp; mentorship</t>
        </is>
      </c>
      <c r="E47" s="10" t="inlineStr">
        <is>
          <t>Annual</t>
        </is>
      </c>
    </row>
    <row r="48" ht="20" customHeight="1">
      <c r="B48" s="5" t="inlineStr">
        <is>
          <t>EDC-30</t>
        </is>
      </c>
      <c r="C48" s="6" t="inlineStr">
        <is>
          <t>EDC Annual Report Compilation Form</t>
        </is>
      </c>
      <c r="D48" s="6" t="inlineStr">
        <is>
          <t>Compile year-end report for management &amp; accreditation</t>
        </is>
      </c>
      <c r="E48" s="7" t="inlineStr">
        <is>
          <t>Annual</t>
        </is>
      </c>
    </row>
    <row r="100">
      <c r="B100" s="11" t="inlineStr">
        <is>
          <t>• EDC = Entrepreneurship Development Committee — drives the institution's startup and innovation ecosystem.</t>
        </is>
      </c>
    </row>
    <row r="101">
      <c r="B101" s="11" t="inlineStr">
        <is>
          <t>• EDC works in coordination with IQAC (Criterion III), RDC (Innovation/IPR), DPIIT-recognized incubation cell and industry partners.</t>
        </is>
      </c>
    </row>
    <row r="102">
      <c r="B102" s="11" t="inlineStr">
        <is>
          <t>• Data from EDC formats feeds into AQAR Criterion III, NAAC SSR, NIRF (Graduation Outcomes), NBA and annual reports.</t>
        </is>
      </c>
    </row>
    <row r="103">
      <c r="B103" s="11" t="inlineStr">
        <is>
          <t>• DPIIT recognition requires proper documentation of startups, incubation, mentorship and funding support.</t>
        </is>
      </c>
    </row>
    <row r="104">
      <c r="B104" s="11" t="inlineStr">
        <is>
          <t>• Startup data must be reconciled with Finance Committee quarterly; IPR filings with RDC-SC4.</t>
        </is>
      </c>
    </row>
    <row r="105">
      <c r="B105" s="11" t="inlineStr">
        <is>
          <t>• Maintain both digital and physical records; archive startup portfolios for minimum 5 years.</t>
        </is>
      </c>
    </row>
  </sheetData>
  <mergeCells count="17">
    <mergeCell ref="B20:E20"/>
    <mergeCell ref="B31:E31"/>
    <mergeCell ref="B102:E102"/>
    <mergeCell ref="B101:E101"/>
    <mergeCell ref="B105:E105"/>
    <mergeCell ref="B43:E43"/>
    <mergeCell ref="B100:E100"/>
    <mergeCell ref="B15:E15"/>
    <mergeCell ref="B39:E39"/>
    <mergeCell ref="B11:E11"/>
    <mergeCell ref="B25:E25"/>
    <mergeCell ref="B3:E3"/>
    <mergeCell ref="B5:E5"/>
    <mergeCell ref="B2:E2"/>
    <mergeCell ref="B103:E103"/>
    <mergeCell ref="B104:E104"/>
    <mergeCell ref="B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EDC-00: ENTREPRENEURSHIP DEVELOPMENT COMMITTEE — COMPOSITION REGISTER</t>
        </is>
      </c>
    </row>
    <row r="3" ht="25" customHeight="1">
      <c r="B3" s="2" t="inlineStr">
        <is>
          <t>Institution: _________________________  A.Y.: _______  Constituted on: _______  Ref.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 / Organisation</t>
        </is>
      </c>
      <c r="E4" s="13" t="inlineStr">
        <is>
          <t>Role in EDC</t>
        </is>
      </c>
      <c r="F4" s="13" t="inlineStr">
        <is>
          <t>Domain Expertise</t>
        </is>
      </c>
      <c r="G4" s="13" t="inlineStr">
        <is>
          <t>Email / Phone</t>
        </is>
      </c>
      <c r="H4" s="13" t="inlineStr">
        <is>
          <t>Term (From–To)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Dean R&amp;D / Principal / Senior Faculty</t>
        </is>
      </c>
      <c r="E5" s="14" t="inlineStr">
        <is>
          <t>Chairperson / EDC President</t>
        </is>
      </c>
      <c r="F5" s="16" t="inlineStr">
        <is>
          <t>Entrepreneurship Leadership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Faculty In-charge — EDC</t>
        </is>
      </c>
      <c r="E6" s="8" t="inlineStr">
        <is>
          <t>EDC Coordinator</t>
        </is>
      </c>
      <c r="F6" s="10" t="inlineStr">
        <is>
          <t>E'ship Education &amp;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Faculty / Administrative Officer</t>
        </is>
      </c>
      <c r="E7" s="14" t="inlineStr">
        <is>
          <t>Member Secretary</t>
        </is>
      </c>
      <c r="F7" s="16" t="inlineStr">
        <is>
          <t>EDC Administration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Senior Faculty (Engineering / Sciences)</t>
        </is>
      </c>
      <c r="E8" s="8" t="inlineStr">
        <is>
          <t>Faculty Member — Technology</t>
        </is>
      </c>
      <c r="F8" s="10" t="inlineStr">
        <is>
          <t>Tech Startup Support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Faculty (Management / Commerce)</t>
        </is>
      </c>
      <c r="E9" s="14" t="inlineStr">
        <is>
          <t>Faculty Member — Management</t>
        </is>
      </c>
      <c r="F9" s="16" t="inlineStr">
        <is>
          <t>Business Model &amp; Finance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Faculty (Design / Architecture)</t>
        </is>
      </c>
      <c r="E10" s="8" t="inlineStr">
        <is>
          <t>Faculty Member — Design</t>
        </is>
      </c>
      <c r="F10" s="10" t="inlineStr">
        <is>
          <t>Design Thinking &amp; UX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Student Leader — Entrepreneurship Cell</t>
        </is>
      </c>
      <c r="E11" s="14" t="inlineStr">
        <is>
          <t>E-Cell Student President</t>
        </is>
      </c>
      <c r="F11" s="16" t="inlineStr">
        <is>
          <t>Student Ecosystem Lead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Student Member — E-Cell</t>
        </is>
      </c>
      <c r="E12" s="8" t="inlineStr">
        <is>
          <t>E-Cell Secretary</t>
        </is>
      </c>
      <c r="F12" s="10" t="inlineStr">
        <is>
          <t>Events &amp; Coordination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Successful Entrepreneur / Startup Founder</t>
        </is>
      </c>
      <c r="E13" s="14" t="inlineStr">
        <is>
          <t>Industry Expert — 1</t>
        </is>
      </c>
      <c r="F13" s="16" t="inlineStr">
        <is>
          <t>Startup Strategy &amp; Scale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Venture Capitalist / Angel Investor</t>
        </is>
      </c>
      <c r="E14" s="8" t="inlineStr">
        <is>
          <t>Industry Expert — 2</t>
        </is>
      </c>
      <c r="F14" s="10" t="inlineStr">
        <is>
          <t>Funding &amp; Investment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Corporate Innovation Leader</t>
        </is>
      </c>
      <c r="E15" s="14" t="inlineStr">
        <is>
          <t>Industry Expert — 3</t>
        </is>
      </c>
      <c r="F15" s="16" t="inlineStr">
        <is>
          <t>Corporate-Startup Connect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Successful Alumni Entrepreneur</t>
        </is>
      </c>
      <c r="E16" s="8" t="inlineStr">
        <is>
          <t>Alumni Entrepreneur</t>
        </is>
      </c>
      <c r="F16" s="10" t="inlineStr">
        <is>
          <t>Alumni Mentorship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Incubation / TBI Manager</t>
        </is>
      </c>
      <c r="E17" s="14" t="inlineStr">
        <is>
          <t>Incubation Centre Manager</t>
        </is>
      </c>
      <c r="F17" s="16" t="inlineStr">
        <is>
          <t>Incubation &amp; Support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Patent Agent / Startup Lawyer</t>
        </is>
      </c>
      <c r="E18" s="8" t="inlineStr">
        <is>
          <t>IPR / Legal Expert</t>
        </is>
      </c>
      <c r="F18" s="10" t="inlineStr">
        <is>
          <t>IPR &amp; Legal Compliance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IQAC In-charge</t>
        </is>
      </c>
      <c r="E19" s="14" t="inlineStr">
        <is>
          <t>IQAC Coordinator (Ex-officio)</t>
        </is>
      </c>
      <c r="F19" s="16" t="inlineStr">
        <is>
          <t>Quality &amp; Accreditation</t>
        </is>
      </c>
      <c r="G19" s="15" t="inlineStr"/>
      <c r="H19" s="16" t="inlineStr"/>
      <c r="I19" s="16" t="inlineStr"/>
    </row>
    <row r="20" ht="22" customHeight="1">
      <c r="B20" s="8" t="n">
        <v>16</v>
      </c>
      <c r="C20" s="9" t="inlineStr"/>
      <c r="D20" s="9" t="inlineStr">
        <is>
          <t>Finance Officer</t>
        </is>
      </c>
      <c r="E20" s="8" t="inlineStr">
        <is>
          <t>Finance Representative</t>
        </is>
      </c>
      <c r="F20" s="10" t="inlineStr">
        <is>
          <t>Seed Fund &amp; Budget</t>
        </is>
      </c>
      <c r="G20" s="9" t="inlineStr"/>
      <c r="H20" s="10" t="inlineStr"/>
      <c r="I20" s="10" t="inlineStr"/>
    </row>
    <row r="21" ht="22" customHeight="1"/>
    <row r="22" ht="20" customHeight="1">
      <c r="B22" s="17" t="inlineStr">
        <is>
          <t>EDC must include active student members, industry practitioners and investors. Reconstitute annually. Coordinate with RDC for innovation/IPR linkage and IQAC for accreditation data.</t>
        </is>
      </c>
    </row>
    <row r="23" ht="22" customHeight="1"/>
    <row r="24" ht="22" customHeight="1"/>
    <row r="25" ht="22" customHeight="1"/>
    <row r="26" ht="22" customHeight="1"/>
    <row r="27" ht="22" customHeight="1"/>
  </sheetData>
  <mergeCells count="3">
    <mergeCell ref="B3:I3"/>
    <mergeCell ref="B22:I22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EDC: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 / Discussion Topic</t>
        </is>
      </c>
      <c r="D12" s="13" t="inlineStr">
        <is>
          <t>Presenter / 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EDC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EDC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Annual Entrepreneurship Action Plan — progress review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Startup registrations — new entries and status update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Mentorship programme — session logs and milestone review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Seed fund / internal grant — applications, disbursements &amp; utilisation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E-Cell activities — events, membership, competition results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Awareness programmes — upcoming events and past event reports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IPR and legal support — patent filings, registrations update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Industry partner and investor engagement — new MoUs / meetings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External funding opportunities — competitions and grants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Startup graduation / exit — portfolio review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EDC KPI Dashboard — quarterly performance review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DPIIT / NAAC / NIRF data compilation — update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Alumni entrepreneur engagement — mentorship and contributions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Any Other Matter with Permission of Chairperson (AOMPC)</t>
        </is>
      </c>
      <c r="D28" s="10" t="inlineStr"/>
      <c r="E28" s="10" t="inlineStr"/>
    </row>
    <row r="29" ht="24" customHeight="1"/>
    <row r="30" ht="24" customHeight="1">
      <c r="B30" s="20" t="inlineStr">
        <is>
          <t>DISPATCH RECORD</t>
        </is>
      </c>
    </row>
    <row r="31" ht="24" customHeight="1">
      <c r="B31" s="21" t="inlineStr">
        <is>
          <t>Sl.</t>
        </is>
      </c>
      <c r="C31" s="21" t="inlineStr">
        <is>
          <t>Member Name &amp; Role</t>
        </is>
      </c>
      <c r="D31" s="21" t="inlineStr">
        <is>
          <t>Mode of Dispatch</t>
        </is>
      </c>
      <c r="E31" s="21" t="inlineStr">
        <is>
          <t>Date &amp; Acknowledgement</t>
        </is>
      </c>
    </row>
    <row r="32" ht="22" customHeight="1">
      <c r="B32" s="22" t="n"/>
      <c r="C32" s="22" t="n"/>
      <c r="D32" s="22" t="n"/>
      <c r="E32" s="22" t="n"/>
    </row>
    <row r="33" ht="22" customHeight="1">
      <c r="B33" s="10" t="n"/>
      <c r="C33" s="10" t="n"/>
      <c r="D33" s="10" t="n"/>
      <c r="E33" s="10" t="n"/>
    </row>
    <row r="34" ht="22" customHeight="1">
      <c r="B34" s="22" t="n"/>
      <c r="C34" s="22" t="n"/>
      <c r="D34" s="22" t="n"/>
      <c r="E34" s="22" t="n"/>
    </row>
    <row r="35" ht="22" customHeight="1">
      <c r="B35" s="10" t="n"/>
      <c r="C35" s="10" t="n"/>
      <c r="D35" s="10" t="n"/>
      <c r="E35" s="10" t="n"/>
    </row>
    <row r="36" ht="24" customHeight="1"/>
    <row r="37" ht="24" customHeight="1"/>
    <row r="38" ht="24" customHeight="1"/>
    <row r="39" ht="24" customHeight="1"/>
  </sheetData>
  <mergeCells count="11">
    <mergeCell ref="C5:E5"/>
    <mergeCell ref="B30:E30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EDC: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 / Designation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>
      <c r="B22" s="8" t="n">
        <v>18</v>
      </c>
      <c r="C22" s="9" t="inlineStr"/>
      <c r="D22" s="9" t="inlineStr"/>
      <c r="E22" s="10" t="inlineStr">
        <is>
          <t>Physical</t>
        </is>
      </c>
      <c r="F22" s="10" t="inlineStr"/>
      <c r="G22" s="10" t="inlineStr">
        <is>
          <t>N</t>
        </is>
      </c>
      <c r="H22" s="10" t="inlineStr"/>
      <c r="I22" s="10" t="inlineStr"/>
    </row>
    <row r="23" ht="22" customHeight="1"/>
    <row r="24" ht="24" customHeight="1">
      <c r="B24" s="20" t="inlineStr">
        <is>
          <t>QUORUM VERIFICATION</t>
        </is>
      </c>
    </row>
    <row r="25" ht="22" customHeight="1">
      <c r="B25" s="23" t="inlineStr">
        <is>
          <t>Total EDC Members</t>
        </is>
      </c>
      <c r="G25" s="24" t="inlineStr"/>
    </row>
    <row r="26" ht="22" customHeight="1">
      <c r="B26" s="25" t="inlineStr">
        <is>
          <t>Present (Physical)</t>
        </is>
      </c>
      <c r="G26" s="24">
        <f>COUNTIF(F5:F22,"P")</f>
        <v/>
      </c>
    </row>
    <row r="27" ht="22" customHeight="1">
      <c r="B27" s="23" t="inlineStr">
        <is>
          <t>Present (VC)</t>
        </is>
      </c>
      <c r="G27" s="24" t="inlineStr"/>
    </row>
    <row r="28" ht="22" customHeight="1">
      <c r="B28" s="25" t="inlineStr">
        <is>
          <t>Total Effective</t>
        </is>
      </c>
      <c r="G28" s="24">
        <f>IFERROR(C26+C27,"")</f>
        <v/>
      </c>
    </row>
    <row r="29" ht="22" customHeight="1">
      <c r="B29" s="23" t="inlineStr">
        <is>
          <t>Quorum Required (50%)</t>
        </is>
      </c>
      <c r="G29" s="24" t="inlineStr"/>
    </row>
    <row r="30">
      <c r="B30" s="25" t="inlineStr">
        <is>
          <t>Quorum Achieved?</t>
        </is>
      </c>
      <c r="G30" s="26">
        <f>IFERROR(IF(C28&gt;=C29,"YES — Meeting Valid","NO — Adjourned"),"")</f>
        <v/>
      </c>
    </row>
  </sheetData>
  <mergeCells count="15">
    <mergeCell ref="B30:F30"/>
    <mergeCell ref="B29:F29"/>
    <mergeCell ref="G28:I28"/>
    <mergeCell ref="G27:I27"/>
    <mergeCell ref="B24:I24"/>
    <mergeCell ref="B2:I2"/>
    <mergeCell ref="B25:F25"/>
    <mergeCell ref="B28:F28"/>
    <mergeCell ref="B3:I3"/>
    <mergeCell ref="G26:I26"/>
    <mergeCell ref="G29:I29"/>
    <mergeCell ref="G30:I30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EDC: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Summary &amp; Resolution</t>
        </is>
      </c>
      <c r="D5" s="28" t="inlineStr">
        <is>
          <t>Responsible
Person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2" customHeight="1">
      <c r="B6" s="14" t="inlineStr">
        <is>
          <t>EDC/RES/001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2" customHeight="1">
      <c r="B7" s="8" t="inlineStr">
        <is>
          <t>EDC/RES/002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2" customHeight="1">
      <c r="B8" s="14" t="inlineStr">
        <is>
          <t>EDC/RES/003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2" customHeight="1">
      <c r="B9" s="8" t="inlineStr">
        <is>
          <t>EDC/RES/004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2" customHeight="1">
      <c r="B10" s="14" t="inlineStr">
        <is>
          <t>EDC/RES/005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2" customHeight="1">
      <c r="B11" s="8" t="inlineStr">
        <is>
          <t>EDC/RES/006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2" customHeight="1">
      <c r="B12" s="14" t="inlineStr">
        <is>
          <t>EDC/RES/007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2" customHeight="1">
      <c r="B13" s="8" t="inlineStr">
        <is>
          <t>EDC/RES/008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2" customHeight="1">
      <c r="B14" s="14" t="inlineStr">
        <is>
          <t>EDC/RES/009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2" customHeight="1">
      <c r="B15" s="8" t="inlineStr">
        <is>
          <t>EDC/RES/010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2" customHeight="1">
      <c r="B16" s="14" t="inlineStr">
        <is>
          <t>EDC/RES/011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2" customHeight="1">
      <c r="B17" s="8" t="inlineStr">
        <is>
          <t>EDC/RES/012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2" customHeight="1">
      <c r="B18" s="14" t="inlineStr">
        <is>
          <t>EDC/RES/013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2" customHeight="1">
      <c r="B19" s="8" t="inlineStr">
        <is>
          <t>EDC/RES/014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 on: _______    Chairperson: ___________________    Coordinator: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EDC: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 (Previous)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 &amp; Evidence</t>
        </is>
      </c>
    </row>
    <row r="5" ht="26" customHeight="1">
      <c r="B5" s="31" t="inlineStr">
        <is>
          <t>EDC/RES/001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EDC/RES/002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EDC/RES/003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EDC/RES/004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EDC/RES/005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EDC/RES/006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EDC/RES/007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EDC/RES/008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EDC/RES/009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EDC/RES/010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EDC/RES/011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EDC/RES/012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EDC/RES/013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In Progress</t>
        </is>
      </c>
    </row>
    <row r="18" ht="26" customHeight="1">
      <c r="B18" s="8" t="inlineStr">
        <is>
          <t>EDC/RES/014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1" t="inlineStr">
        <is>
          <t>EDC/RES/015</t>
        </is>
      </c>
      <c r="C19" s="32" t="inlineStr"/>
      <c r="D19" s="32" t="inlineStr"/>
      <c r="E19" s="33" t="inlineStr"/>
      <c r="F19" s="33" t="inlineStr"/>
      <c r="G19" s="33" t="inlineStr"/>
      <c r="H19" s="32" t="inlineStr">
        <is>
          <t>In Progress</t>
        </is>
      </c>
    </row>
    <row r="20" ht="26" customHeight="1"/>
    <row r="21" ht="24" customHeight="1">
      <c r="B21" s="34" t="inlineStr">
        <is>
          <t>ATR SUMMARY</t>
        </is>
      </c>
    </row>
    <row r="22" ht="26" customHeight="1">
      <c r="B22" s="35" t="inlineStr">
        <is>
          <t>Total Resolutions Under Review</t>
        </is>
      </c>
      <c r="F22" s="36">
        <f>COUNTA(B5:B19)</f>
        <v/>
      </c>
    </row>
    <row r="23" ht="26" customHeight="1">
      <c r="B23" s="25" t="inlineStr">
        <is>
          <t>Implemented</t>
        </is>
      </c>
      <c r="F23" s="37">
        <f>COUNTIF(H5:H19,"Implemented")</f>
        <v/>
      </c>
    </row>
    <row r="24" ht="26" customHeight="1">
      <c r="B24" s="35" t="inlineStr">
        <is>
          <t>In Progress</t>
        </is>
      </c>
      <c r="F24" s="36">
        <f>COUNTIF(H5:H19,"In Progress")</f>
        <v/>
      </c>
    </row>
    <row r="25" ht="26" customHeight="1">
      <c r="B25" s="25" t="inlineStr">
        <is>
          <t>Pending</t>
        </is>
      </c>
      <c r="F25" s="37">
        <f>COUNTIF(H5:H19,"Pending")</f>
        <v/>
      </c>
    </row>
    <row r="26" ht="26" customHeight="1">
      <c r="B26" s="35" t="inlineStr">
        <is>
          <t>Deferred</t>
        </is>
      </c>
      <c r="F26" s="36">
        <f>COUNTIF(H5:H19,"Deferred")</f>
        <v/>
      </c>
    </row>
    <row r="27" ht="26" customHeight="1">
      <c r="B27" s="25" t="inlineStr">
        <is>
          <t>Implementation Rate (%)</t>
        </is>
      </c>
      <c r="F27" s="37">
        <f>IFERROR(ROUND(C23/C22*100,1),"")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EDC-01: ENTREPRENEURSHIP POLICY &amp; FRAMEWORK REGISTER</t>
        </is>
      </c>
    </row>
    <row r="3" ht="25" customHeight="1">
      <c r="B3" s="2" t="inlineStr">
        <is>
          <t>A.Y.: _______  EDC Chairperson: ___________________  Aligned to: NEP 2020 / DPIIT / NAAC Criterion III</t>
        </is>
      </c>
    </row>
    <row r="4" ht="25" customHeight="1">
      <c r="B4" s="13" t="inlineStr">
        <is>
          <t>Policy
Ref.</t>
        </is>
      </c>
      <c r="C4" s="13" t="inlineStr">
        <is>
          <t>Policy / Framework Document Title</t>
        </is>
      </c>
      <c r="D4" s="13" t="inlineStr">
        <is>
          <t>Category</t>
        </is>
      </c>
      <c r="E4" s="13" t="inlineStr">
        <is>
          <t>Version</t>
        </is>
      </c>
      <c r="F4" s="13" t="inlineStr">
        <is>
          <t>Effective Date</t>
        </is>
      </c>
      <c r="G4" s="13" t="inlineStr">
        <is>
          <t>Review Due</t>
        </is>
      </c>
      <c r="H4" s="13" t="inlineStr">
        <is>
          <t>EDC Approved
Date</t>
        </is>
      </c>
      <c r="I4" s="13" t="inlineStr">
        <is>
          <t>Status</t>
        </is>
      </c>
    </row>
    <row r="5" ht="22" customHeight="1">
      <c r="B5" s="14" t="inlineStr">
        <is>
          <t>POL-EDC-01</t>
        </is>
      </c>
      <c r="C5" s="15" t="inlineStr">
        <is>
          <t>Institutional Entrepreneurship Development Policy</t>
        </is>
      </c>
      <c r="D5" s="16" t="inlineStr">
        <is>
          <t>Governance</t>
        </is>
      </c>
      <c r="E5" s="16" t="inlineStr">
        <is>
          <t>v1.0</t>
        </is>
      </c>
      <c r="F5" s="16" t="inlineStr"/>
      <c r="G5" s="16" t="inlineStr"/>
      <c r="H5" s="16" t="inlineStr"/>
      <c r="I5" s="16" t="inlineStr">
        <is>
          <t>Active</t>
        </is>
      </c>
    </row>
    <row r="6" ht="22" customHeight="1">
      <c r="B6" s="8" t="inlineStr">
        <is>
          <t>POL-EDC-02</t>
        </is>
      </c>
      <c r="C6" s="9" t="inlineStr">
        <is>
          <t>Student Startup Registration &amp; Support Policy</t>
        </is>
      </c>
      <c r="D6" s="10" t="inlineStr">
        <is>
          <t>Startup Support</t>
        </is>
      </c>
      <c r="E6" s="10" t="inlineStr">
        <is>
          <t>v1.0</t>
        </is>
      </c>
      <c r="F6" s="10" t="inlineStr"/>
      <c r="G6" s="10" t="inlineStr"/>
      <c r="H6" s="10" t="inlineStr"/>
      <c r="I6" s="10" t="inlineStr">
        <is>
          <t>Active</t>
        </is>
      </c>
    </row>
    <row r="7" ht="22" customHeight="1">
      <c r="B7" s="14" t="inlineStr">
        <is>
          <t>POL-EDC-03</t>
        </is>
      </c>
      <c r="C7" s="15" t="inlineStr">
        <is>
          <t>Seed Fund / Internal Grant Policy</t>
        </is>
      </c>
      <c r="D7" s="16" t="inlineStr">
        <is>
          <t>Financial Support</t>
        </is>
      </c>
      <c r="E7" s="16" t="inlineStr">
        <is>
          <t>v1.0</t>
        </is>
      </c>
      <c r="F7" s="16" t="inlineStr"/>
      <c r="G7" s="16" t="inlineStr"/>
      <c r="H7" s="16" t="inlineStr"/>
      <c r="I7" s="16" t="inlineStr">
        <is>
          <t>Active</t>
        </is>
      </c>
    </row>
    <row r="8" ht="22" customHeight="1">
      <c r="B8" s="8" t="inlineStr">
        <is>
          <t>POL-EDC-04</t>
        </is>
      </c>
      <c r="C8" s="9" t="inlineStr">
        <is>
          <t>Incubation Centre Usage Policy</t>
        </is>
      </c>
      <c r="D8" s="10" t="inlineStr">
        <is>
          <t>Infrastructure</t>
        </is>
      </c>
      <c r="E8" s="10" t="inlineStr">
        <is>
          <t>v1.0</t>
        </is>
      </c>
      <c r="F8" s="10" t="inlineStr"/>
      <c r="G8" s="10" t="inlineStr"/>
      <c r="H8" s="10" t="inlineStr"/>
      <c r="I8" s="10" t="inlineStr">
        <is>
          <t>Active</t>
        </is>
      </c>
    </row>
    <row r="9" ht="22" customHeight="1">
      <c r="B9" s="14" t="inlineStr">
        <is>
          <t>POL-EDC-05</t>
        </is>
      </c>
      <c r="C9" s="15" t="inlineStr">
        <is>
          <t>E-Cell / Student Club Governance Policy</t>
        </is>
      </c>
      <c r="D9" s="16" t="inlineStr">
        <is>
          <t>Student Engagement</t>
        </is>
      </c>
      <c r="E9" s="16" t="inlineStr">
        <is>
          <t>v1.0</t>
        </is>
      </c>
      <c r="F9" s="16" t="inlineStr"/>
      <c r="G9" s="16" t="inlineStr"/>
      <c r="H9" s="16" t="inlineStr"/>
      <c r="I9" s="16" t="inlineStr">
        <is>
          <t>Active</t>
        </is>
      </c>
    </row>
    <row r="10" ht="22" customHeight="1">
      <c r="B10" s="8" t="inlineStr">
        <is>
          <t>POL-EDC-06</t>
        </is>
      </c>
      <c r="C10" s="9" t="inlineStr">
        <is>
          <t>Mentor Engagement &amp; Confidentiality Policy</t>
        </is>
      </c>
      <c r="D10" s="10" t="inlineStr">
        <is>
          <t>Mentorship</t>
        </is>
      </c>
      <c r="E10" s="10" t="inlineStr">
        <is>
          <t>v1.0</t>
        </is>
      </c>
      <c r="F10" s="10" t="inlineStr"/>
      <c r="G10" s="10" t="inlineStr"/>
      <c r="H10" s="10" t="inlineStr"/>
      <c r="I10" s="10" t="inlineStr">
        <is>
          <t>Active</t>
        </is>
      </c>
    </row>
    <row r="11" ht="22" customHeight="1">
      <c r="B11" s="14" t="inlineStr">
        <is>
          <t>POL-EDC-07</t>
        </is>
      </c>
      <c r="C11" s="15" t="inlineStr">
        <is>
          <t>IPR Ownership &amp; Revenue Sharing Policy (Student Startups)</t>
        </is>
      </c>
      <c r="D11" s="16" t="inlineStr">
        <is>
          <t>IPR</t>
        </is>
      </c>
      <c r="E11" s="16" t="inlineStr">
        <is>
          <t>v1.0</t>
        </is>
      </c>
      <c r="F11" s="16" t="inlineStr"/>
      <c r="G11" s="16" t="inlineStr"/>
      <c r="H11" s="16" t="inlineStr"/>
      <c r="I11" s="16" t="inlineStr">
        <is>
          <t>Active</t>
        </is>
      </c>
    </row>
    <row r="12" ht="22" customHeight="1">
      <c r="B12" s="8" t="inlineStr">
        <is>
          <t>POL-EDC-08</t>
        </is>
      </c>
      <c r="C12" s="9" t="inlineStr">
        <is>
          <t>Faculty Entrepreneurship Leave / Support Policy</t>
        </is>
      </c>
      <c r="D12" s="10" t="inlineStr">
        <is>
          <t>Faculty</t>
        </is>
      </c>
      <c r="E12" s="10" t="inlineStr">
        <is>
          <t>v1.0</t>
        </is>
      </c>
      <c r="F12" s="10" t="inlineStr"/>
      <c r="G12" s="10" t="inlineStr"/>
      <c r="H12" s="10" t="inlineStr"/>
      <c r="I12" s="10" t="inlineStr">
        <is>
          <t>Active</t>
        </is>
      </c>
    </row>
    <row r="13" ht="22" customHeight="1">
      <c r="B13" s="14" t="inlineStr">
        <is>
          <t>POL-EDC-09</t>
        </is>
      </c>
      <c r="C13" s="15" t="inlineStr">
        <is>
          <t>Startup Graduation / Exit Policy</t>
        </is>
      </c>
      <c r="D13" s="16" t="inlineStr">
        <is>
          <t>Ecosystem</t>
        </is>
      </c>
      <c r="E13" s="16" t="inlineStr">
        <is>
          <t>v1.0</t>
        </is>
      </c>
      <c r="F13" s="16" t="inlineStr"/>
      <c r="G13" s="16" t="inlineStr"/>
      <c r="H13" s="16" t="inlineStr"/>
      <c r="I13" s="16" t="inlineStr">
        <is>
          <t>Active</t>
        </is>
      </c>
    </row>
    <row r="14" ht="22" customHeight="1">
      <c r="B14" s="8" t="inlineStr">
        <is>
          <t>POL-EDC-10</t>
        </is>
      </c>
      <c r="C14" s="9" t="inlineStr">
        <is>
          <t>Industry Partnership &amp; MoU Policy (EDC)</t>
        </is>
      </c>
      <c r="D14" s="10" t="inlineStr">
        <is>
          <t>Industry Linkage</t>
        </is>
      </c>
      <c r="E14" s="10" t="inlineStr">
        <is>
          <t>v1.0</t>
        </is>
      </c>
      <c r="F14" s="10" t="inlineStr"/>
      <c r="G14" s="10" t="inlineStr"/>
      <c r="H14" s="10" t="inlineStr"/>
      <c r="I14" s="10" t="inlineStr">
        <is>
          <t>Active</t>
        </is>
      </c>
    </row>
    <row r="15" ht="22" customHeight="1">
      <c r="B15" s="14" t="inlineStr">
        <is>
          <t>POL-EDC-11</t>
        </is>
      </c>
      <c r="C15" s="15" t="inlineStr">
        <is>
          <t>Equity Participation Policy (if applicable)</t>
        </is>
      </c>
      <c r="D15" s="16" t="inlineStr">
        <is>
          <t>Investment</t>
        </is>
      </c>
      <c r="E15" s="16" t="inlineStr">
        <is>
          <t>v1.0</t>
        </is>
      </c>
      <c r="F15" s="16" t="inlineStr"/>
      <c r="G15" s="16" t="inlineStr"/>
      <c r="H15" s="16" t="inlineStr"/>
      <c r="I15" s="16" t="inlineStr">
        <is>
          <t>Active</t>
        </is>
      </c>
    </row>
    <row r="16" ht="22" customHeight="1">
      <c r="B16" s="8" t="inlineStr">
        <is>
          <t>POL-EDC-12</t>
        </is>
      </c>
      <c r="C16" s="9" t="inlineStr">
        <is>
          <t>Social Entrepreneurship &amp; SDG Alignment Policy</t>
        </is>
      </c>
      <c r="D16" s="10" t="inlineStr">
        <is>
          <t>Impact</t>
        </is>
      </c>
      <c r="E16" s="10" t="inlineStr">
        <is>
          <t>v1.0</t>
        </is>
      </c>
      <c r="F16" s="10" t="inlineStr"/>
      <c r="G16" s="10" t="inlineStr"/>
      <c r="H16" s="10" t="inlineStr"/>
      <c r="I16" s="10" t="inlineStr">
        <is>
          <t>Active</t>
        </is>
      </c>
    </row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2">
    <mergeCell ref="B3:I3"/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EDC-02: ANNUAL ENTREPRENEURSHIP ACTION PLAN (AEAP)</t>
        </is>
      </c>
    </row>
    <row r="3" ht="25" customHeight="1">
      <c r="B3" s="2" t="inlineStr">
        <is>
          <t>A.Y.: _______  EDC Coordinator: ___________________  Submitted to Management: _______  Approved on: _______</t>
        </is>
      </c>
    </row>
    <row r="4" ht="25" customHeight="1">
      <c r="B4" s="28" t="inlineStr">
        <is>
          <t>Sl.</t>
        </is>
      </c>
      <c r="C4" s="28" t="inlineStr">
        <is>
          <t>Planned Activity / Initiative</t>
        </is>
      </c>
      <c r="D4" s="28" t="inlineStr">
        <is>
          <t>Section</t>
        </is>
      </c>
      <c r="E4" s="28" t="inlineStr">
        <is>
          <t>Target
(Quantified)</t>
        </is>
      </c>
      <c r="F4" s="28" t="inlineStr">
        <is>
          <t>Q1</t>
        </is>
      </c>
      <c r="G4" s="28" t="inlineStr">
        <is>
          <t>Q2</t>
        </is>
      </c>
      <c r="H4" s="28" t="inlineStr">
        <is>
          <t>Q3</t>
        </is>
      </c>
      <c r="I4" s="28" t="inlineStr">
        <is>
          <t>Q4</t>
        </is>
      </c>
      <c r="J4" s="28" t="inlineStr">
        <is>
          <t>Budget
Est. (₹L)</t>
        </is>
      </c>
    </row>
    <row r="5" ht="24" customHeight="1">
      <c r="B5" s="19" t="inlineStr">
        <is>
          <t>A. ECOSYSTEM BUILDING</t>
        </is>
      </c>
    </row>
    <row r="6" ht="22" customHeight="1">
      <c r="B6" s="16" t="n">
        <v>1</v>
      </c>
      <c r="C6" s="15" t="inlineStr">
        <is>
          <t>E-Cell launch / recharter event</t>
        </is>
      </c>
      <c r="D6" s="16" t="inlineStr">
        <is>
          <t>A</t>
        </is>
      </c>
      <c r="E6" s="16" t="inlineStr"/>
      <c r="F6" s="16" t="inlineStr"/>
      <c r="G6" s="16" t="inlineStr"/>
      <c r="H6" s="16" t="inlineStr"/>
      <c r="I6" s="16" t="inlineStr"/>
      <c r="J6" s="16" t="inlineStr"/>
    </row>
    <row r="7" ht="22" customHeight="1">
      <c r="B7" s="10" t="n">
        <v>2</v>
      </c>
      <c r="C7" s="9" t="inlineStr">
        <is>
          <t>Annual EDC strategic planning workshop</t>
        </is>
      </c>
      <c r="D7" s="10" t="inlineStr">
        <is>
          <t>A</t>
        </is>
      </c>
      <c r="E7" s="10" t="inlineStr"/>
      <c r="F7" s="10" t="inlineStr"/>
      <c r="G7" s="10" t="inlineStr"/>
      <c r="H7" s="10" t="inlineStr"/>
      <c r="I7" s="10" t="inlineStr"/>
      <c r="J7" s="10" t="inlineStr"/>
    </row>
    <row r="8" ht="22" customHeight="1">
      <c r="B8" s="16" t="n">
        <v>3</v>
      </c>
      <c r="C8" s="15" t="inlineStr">
        <is>
          <t>Industry/investor advisory board meeting</t>
        </is>
      </c>
      <c r="D8" s="16" t="inlineStr">
        <is>
          <t>A</t>
        </is>
      </c>
      <c r="E8" s="16" t="inlineStr"/>
      <c r="F8" s="16" t="inlineStr"/>
      <c r="G8" s="16" t="inlineStr"/>
      <c r="H8" s="16" t="inlineStr"/>
      <c r="I8" s="16" t="inlineStr"/>
      <c r="J8" s="16" t="inlineStr"/>
    </row>
    <row r="9" ht="22" customHeight="1">
      <c r="B9" s="10" t="n">
        <v>4</v>
      </c>
      <c r="C9" s="9" t="inlineStr">
        <is>
          <t>Partnership MoU signing events</t>
        </is>
      </c>
      <c r="D9" s="10" t="inlineStr">
        <is>
          <t>A</t>
        </is>
      </c>
      <c r="E9" s="10" t="inlineStr"/>
      <c r="F9" s="10" t="inlineStr"/>
      <c r="G9" s="10" t="inlineStr"/>
      <c r="H9" s="10" t="inlineStr"/>
      <c r="I9" s="10" t="inlineStr"/>
      <c r="J9" s="10" t="inlineStr"/>
    </row>
    <row r="10" ht="22" customHeight="1">
      <c r="B10" s="16" t="n">
        <v>5</v>
      </c>
      <c r="C10" s="15" t="inlineStr">
        <is>
          <t>DPIIT recognition renewal</t>
        </is>
      </c>
      <c r="D10" s="16" t="inlineStr">
        <is>
          <t>A</t>
        </is>
      </c>
      <c r="E10" s="16" t="inlineStr"/>
      <c r="F10" s="16" t="inlineStr"/>
      <c r="G10" s="16" t="inlineStr"/>
      <c r="H10" s="16" t="inlineStr"/>
      <c r="I10" s="16" t="inlineStr"/>
      <c r="J10" s="16" t="inlineStr"/>
    </row>
    <row r="11" ht="22" customHeight="1">
      <c r="B11" s="10" t="n">
        <v>6</v>
      </c>
      <c r="C11" s="9" t="inlineStr">
        <is>
          <t>Incubation centre audit &amp; upgrade</t>
        </is>
      </c>
      <c r="D11" s="10" t="inlineStr">
        <is>
          <t>A</t>
        </is>
      </c>
      <c r="E11" s="10" t="inlineStr"/>
      <c r="F11" s="10" t="inlineStr"/>
      <c r="G11" s="10" t="inlineStr"/>
      <c r="H11" s="10" t="inlineStr"/>
      <c r="I11" s="10" t="inlineStr"/>
      <c r="J11" s="10" t="inlineStr"/>
    </row>
    <row r="12" ht="22" customHeight="1"/>
    <row r="13" ht="24" customHeight="1">
      <c r="B13" s="34" t="inlineStr">
        <is>
          <t>B. AWARENESS &amp; EDUCATION</t>
        </is>
      </c>
    </row>
    <row r="14" ht="22" customHeight="1">
      <c r="B14" s="33" t="n">
        <v>9</v>
      </c>
      <c r="C14" s="32" t="inlineStr">
        <is>
          <t>National Entrepreneurship Week event</t>
        </is>
      </c>
      <c r="D14" s="33" t="inlineStr">
        <is>
          <t>B</t>
        </is>
      </c>
      <c r="E14" s="33" t="inlineStr"/>
      <c r="F14" s="33" t="inlineStr"/>
      <c r="G14" s="33" t="inlineStr"/>
      <c r="H14" s="33" t="inlineStr"/>
      <c r="I14" s="33" t="inlineStr"/>
      <c r="J14" s="33" t="inlineStr"/>
    </row>
    <row r="15" ht="22" customHeight="1">
      <c r="B15" s="10" t="n">
        <v>10</v>
      </c>
      <c r="C15" s="9" t="inlineStr">
        <is>
          <t>Guest lecture series (entrepreneurs / investors)</t>
        </is>
      </c>
      <c r="D15" s="10" t="inlineStr">
        <is>
          <t>B</t>
        </is>
      </c>
      <c r="E15" s="10" t="inlineStr"/>
      <c r="F15" s="10" t="inlineStr"/>
      <c r="G15" s="10" t="inlineStr"/>
      <c r="H15" s="10" t="inlineStr"/>
      <c r="I15" s="10" t="inlineStr"/>
      <c r="J15" s="10" t="inlineStr"/>
    </row>
    <row r="16" ht="22" customHeight="1">
      <c r="B16" s="33" t="n">
        <v>11</v>
      </c>
      <c r="C16" s="32" t="inlineStr">
        <is>
          <t>Business plan workshops (dept.-wise)</t>
        </is>
      </c>
      <c r="D16" s="33" t="inlineStr">
        <is>
          <t>B</t>
        </is>
      </c>
      <c r="E16" s="33" t="inlineStr"/>
      <c r="F16" s="33" t="inlineStr"/>
      <c r="G16" s="33" t="inlineStr"/>
      <c r="H16" s="33" t="inlineStr"/>
      <c r="I16" s="33" t="inlineStr"/>
      <c r="J16" s="33" t="inlineStr"/>
    </row>
    <row r="17" ht="22" customHeight="1">
      <c r="B17" s="10" t="n">
        <v>12</v>
      </c>
      <c r="C17" s="9" t="inlineStr">
        <is>
          <t>Design thinking / lean startup workshops</t>
        </is>
      </c>
      <c r="D17" s="10" t="inlineStr">
        <is>
          <t>B</t>
        </is>
      </c>
      <c r="E17" s="10" t="inlineStr"/>
      <c r="F17" s="10" t="inlineStr"/>
      <c r="G17" s="10" t="inlineStr"/>
      <c r="H17" s="10" t="inlineStr"/>
      <c r="I17" s="10" t="inlineStr"/>
      <c r="J17" s="10" t="inlineStr"/>
    </row>
    <row r="18" ht="22" customHeight="1">
      <c r="B18" s="33" t="n">
        <v>13</v>
      </c>
      <c r="C18" s="32" t="inlineStr">
        <is>
          <t>Entrepreneurship-integrated courses launch</t>
        </is>
      </c>
      <c r="D18" s="33" t="inlineStr">
        <is>
          <t>B</t>
        </is>
      </c>
      <c r="E18" s="33" t="inlineStr"/>
      <c r="F18" s="33" t="inlineStr"/>
      <c r="G18" s="33" t="inlineStr"/>
      <c r="H18" s="33" t="inlineStr"/>
      <c r="I18" s="33" t="inlineStr"/>
      <c r="J18" s="33" t="inlineStr"/>
    </row>
    <row r="19" ht="22" customHeight="1">
      <c r="B19" s="10" t="n">
        <v>14</v>
      </c>
      <c r="C19" s="9" t="inlineStr">
        <is>
          <t>Faculty development — E'ship pedagogy</t>
        </is>
      </c>
      <c r="D19" s="10" t="inlineStr">
        <is>
          <t>B</t>
        </is>
      </c>
      <c r="E19" s="10" t="inlineStr"/>
      <c r="F19" s="10" t="inlineStr"/>
      <c r="G19" s="10" t="inlineStr"/>
      <c r="H19" s="10" t="inlineStr"/>
      <c r="I19" s="10" t="inlineStr"/>
      <c r="J19" s="10" t="inlineStr"/>
    </row>
    <row r="20" ht="22" customHeight="1"/>
    <row r="21" ht="24" customHeight="1">
      <c r="B21" s="38" t="inlineStr">
        <is>
          <t>C. STARTUP SUPPORT</t>
        </is>
      </c>
    </row>
    <row r="22" ht="22" customHeight="1">
      <c r="B22" s="39" t="n">
        <v>17</v>
      </c>
      <c r="C22" s="40" t="inlineStr">
        <is>
          <t>Business idea screening rounds</t>
        </is>
      </c>
      <c r="D22" s="39" t="inlineStr">
        <is>
          <t>C</t>
        </is>
      </c>
      <c r="E22" s="39" t="inlineStr"/>
      <c r="F22" s="39" t="inlineStr"/>
      <c r="G22" s="39" t="inlineStr"/>
      <c r="H22" s="39" t="inlineStr"/>
      <c r="I22" s="39" t="inlineStr"/>
      <c r="J22" s="39" t="inlineStr"/>
    </row>
    <row r="23" ht="22" customHeight="1">
      <c r="B23" s="10" t="n">
        <v>18</v>
      </c>
      <c r="C23" s="9" t="inlineStr">
        <is>
          <t>Seed fund application window</t>
        </is>
      </c>
      <c r="D23" s="10" t="inlineStr">
        <is>
          <t>C</t>
        </is>
      </c>
      <c r="E23" s="10" t="inlineStr"/>
      <c r="F23" s="10" t="inlineStr"/>
      <c r="G23" s="10" t="inlineStr"/>
      <c r="H23" s="10" t="inlineStr"/>
      <c r="I23" s="10" t="inlineStr"/>
      <c r="J23" s="10" t="inlineStr"/>
    </row>
    <row r="24" ht="22" customHeight="1">
      <c r="B24" s="39" t="n">
        <v>19</v>
      </c>
      <c r="C24" s="40" t="inlineStr">
        <is>
          <t>Startup registration drive</t>
        </is>
      </c>
      <c r="D24" s="39" t="inlineStr">
        <is>
          <t>C</t>
        </is>
      </c>
      <c r="E24" s="39" t="inlineStr"/>
      <c r="F24" s="39" t="inlineStr"/>
      <c r="G24" s="39" t="inlineStr"/>
      <c r="H24" s="39" t="inlineStr"/>
      <c r="I24" s="39" t="inlineStr"/>
      <c r="J24" s="39" t="inlineStr"/>
    </row>
    <row r="25" ht="22" customHeight="1">
      <c r="B25" s="10" t="n">
        <v>20</v>
      </c>
      <c r="C25" s="9" t="inlineStr">
        <is>
          <t>Mentor-startup matching programme</t>
        </is>
      </c>
      <c r="D25" s="10" t="inlineStr">
        <is>
          <t>C</t>
        </is>
      </c>
      <c r="E25" s="10" t="inlineStr"/>
      <c r="F25" s="10" t="inlineStr"/>
      <c r="G25" s="10" t="inlineStr"/>
      <c r="H25" s="10" t="inlineStr"/>
      <c r="I25" s="10" t="inlineStr"/>
      <c r="J25" s="10" t="inlineStr"/>
    </row>
    <row r="26" ht="22" customHeight="1">
      <c r="B26" s="39" t="n">
        <v>21</v>
      </c>
      <c r="C26" s="40" t="inlineStr">
        <is>
          <t>Prototype lab access / maker-space events</t>
        </is>
      </c>
      <c r="D26" s="39" t="inlineStr">
        <is>
          <t>C</t>
        </is>
      </c>
      <c r="E26" s="39" t="inlineStr"/>
      <c r="F26" s="39" t="inlineStr"/>
      <c r="G26" s="39" t="inlineStr"/>
      <c r="H26" s="39" t="inlineStr"/>
      <c r="I26" s="39" t="inlineStr"/>
      <c r="J26" s="39" t="inlineStr"/>
    </row>
    <row r="27" ht="22" customHeight="1">
      <c r="B27" s="10" t="n">
        <v>22</v>
      </c>
      <c r="C27" s="9" t="inlineStr">
        <is>
          <t>Legal &amp; IPR awareness for startups</t>
        </is>
      </c>
      <c r="D27" s="10" t="inlineStr">
        <is>
          <t>C</t>
        </is>
      </c>
      <c r="E27" s="10" t="inlineStr"/>
      <c r="F27" s="10" t="inlineStr"/>
      <c r="G27" s="10" t="inlineStr"/>
      <c r="H27" s="10" t="inlineStr"/>
      <c r="I27" s="10" t="inlineStr"/>
      <c r="J27" s="10" t="inlineStr"/>
    </row>
    <row r="28" ht="22" customHeight="1"/>
    <row r="29" ht="24" customHeight="1">
      <c r="B29" s="41" t="inlineStr">
        <is>
          <t>D. COMPETITIONS &amp; EVENTS</t>
        </is>
      </c>
    </row>
    <row r="30" ht="22" customHeight="1">
      <c r="B30" s="42" t="n">
        <v>25</v>
      </c>
      <c r="C30" s="43" t="inlineStr">
        <is>
          <t>Internal business plan competition</t>
        </is>
      </c>
      <c r="D30" s="42" t="inlineStr">
        <is>
          <t>D</t>
        </is>
      </c>
      <c r="E30" s="42" t="inlineStr"/>
      <c r="F30" s="42" t="inlineStr"/>
      <c r="G30" s="42" t="inlineStr"/>
      <c r="H30" s="42" t="inlineStr"/>
      <c r="I30" s="42" t="inlineStr"/>
      <c r="J30" s="42" t="inlineStr"/>
    </row>
    <row r="31" ht="22" customHeight="1">
      <c r="B31" s="10" t="n">
        <v>26</v>
      </c>
      <c r="C31" s="9" t="inlineStr">
        <is>
          <t>Startup pitch day / demo day</t>
        </is>
      </c>
      <c r="D31" s="10" t="inlineStr">
        <is>
          <t>D</t>
        </is>
      </c>
      <c r="E31" s="10" t="inlineStr"/>
      <c r="F31" s="10" t="inlineStr"/>
      <c r="G31" s="10" t="inlineStr"/>
      <c r="H31" s="10" t="inlineStr"/>
      <c r="I31" s="10" t="inlineStr"/>
      <c r="J31" s="10" t="inlineStr"/>
    </row>
    <row r="32" ht="22" customHeight="1">
      <c r="B32" s="42" t="n">
        <v>27</v>
      </c>
      <c r="C32" s="43" t="inlineStr">
        <is>
          <t>Hackathon / innovation challenge</t>
        </is>
      </c>
      <c r="D32" s="42" t="inlineStr">
        <is>
          <t>D</t>
        </is>
      </c>
      <c r="E32" s="42" t="inlineStr"/>
      <c r="F32" s="42" t="inlineStr"/>
      <c r="G32" s="42" t="inlineStr"/>
      <c r="H32" s="42" t="inlineStr"/>
      <c r="I32" s="42" t="inlineStr"/>
      <c r="J32" s="42" t="inlineStr"/>
    </row>
    <row r="33" ht="22" customHeight="1">
      <c r="B33" s="10" t="n">
        <v>28</v>
      </c>
      <c r="C33" s="9" t="inlineStr">
        <is>
          <t>Social entrepreneurship challenge</t>
        </is>
      </c>
      <c r="D33" s="10" t="inlineStr">
        <is>
          <t>D</t>
        </is>
      </c>
      <c r="E33" s="10" t="inlineStr"/>
      <c r="F33" s="10" t="inlineStr"/>
      <c r="G33" s="10" t="inlineStr"/>
      <c r="H33" s="10" t="inlineStr"/>
      <c r="I33" s="10" t="inlineStr"/>
      <c r="J33" s="10" t="inlineStr"/>
    </row>
    <row r="34" ht="22" customHeight="1">
      <c r="B34" s="42" t="n">
        <v>29</v>
      </c>
      <c r="C34" s="43" t="inlineStr">
        <is>
          <t>National-level competition participation</t>
        </is>
      </c>
      <c r="D34" s="42" t="inlineStr">
        <is>
          <t>D</t>
        </is>
      </c>
      <c r="E34" s="42" t="inlineStr"/>
      <c r="F34" s="42" t="inlineStr"/>
      <c r="G34" s="42" t="inlineStr"/>
      <c r="H34" s="42" t="inlineStr"/>
      <c r="I34" s="42" t="inlineStr"/>
      <c r="J34" s="42" t="inlineStr"/>
    </row>
    <row r="35" ht="22" customHeight="1">
      <c r="B35" s="10" t="n">
        <v>30</v>
      </c>
      <c r="C35" s="9" t="inlineStr">
        <is>
          <t>Inter-college entrepreneurship fest</t>
        </is>
      </c>
      <c r="D35" s="10" t="inlineStr">
        <is>
          <t>D</t>
        </is>
      </c>
      <c r="E35" s="10" t="inlineStr"/>
      <c r="F35" s="10" t="inlineStr"/>
      <c r="G35" s="10" t="inlineStr"/>
      <c r="H35" s="10" t="inlineStr"/>
      <c r="I35" s="10" t="inlineStr"/>
      <c r="J35" s="10" t="inlineStr"/>
    </row>
    <row r="36" ht="22" customHeight="1"/>
    <row r="37" ht="24" customHeight="1">
      <c r="B37" s="44" t="inlineStr">
        <is>
          <t>E. FUNDING &amp; MARKET LINKAGE</t>
        </is>
      </c>
    </row>
    <row r="38" ht="22" customHeight="1">
      <c r="B38" s="45" t="n">
        <v>33</v>
      </c>
      <c r="C38" s="46" t="inlineStr">
        <is>
          <t>Investor meet / pitch preparation workshop</t>
        </is>
      </c>
      <c r="D38" s="45" t="inlineStr">
        <is>
          <t>E</t>
        </is>
      </c>
      <c r="E38" s="45" t="inlineStr"/>
      <c r="F38" s="45" t="inlineStr"/>
      <c r="G38" s="45" t="inlineStr"/>
      <c r="H38" s="45" t="inlineStr"/>
      <c r="I38" s="45" t="inlineStr"/>
      <c r="J38" s="45" t="inlineStr"/>
    </row>
    <row r="39" ht="22" customHeight="1">
      <c r="B39" s="10" t="n">
        <v>34</v>
      </c>
      <c r="C39" s="9" t="inlineStr">
        <is>
          <t>External grant application support</t>
        </is>
      </c>
      <c r="D39" s="10" t="inlineStr">
        <is>
          <t>E</t>
        </is>
      </c>
      <c r="E39" s="10" t="inlineStr"/>
      <c r="F39" s="10" t="inlineStr"/>
      <c r="G39" s="10" t="inlineStr"/>
      <c r="H39" s="10" t="inlineStr"/>
      <c r="I39" s="10" t="inlineStr"/>
      <c r="J39" s="10" t="inlineStr"/>
    </row>
    <row r="40" ht="22" customHeight="1">
      <c r="B40" s="45" t="n">
        <v>35</v>
      </c>
      <c r="C40" s="46" t="inlineStr">
        <is>
          <t>Market access &amp; pilot programme facilitation</t>
        </is>
      </c>
      <c r="D40" s="45" t="inlineStr">
        <is>
          <t>E</t>
        </is>
      </c>
      <c r="E40" s="45" t="inlineStr"/>
      <c r="F40" s="45" t="inlineStr"/>
      <c r="G40" s="45" t="inlineStr"/>
      <c r="H40" s="45" t="inlineStr"/>
      <c r="I40" s="45" t="inlineStr"/>
      <c r="J40" s="45" t="inlineStr"/>
    </row>
    <row r="41" ht="22" customHeight="1">
      <c r="B41" s="10" t="n">
        <v>36</v>
      </c>
      <c r="C41" s="9" t="inlineStr">
        <is>
          <t>B2B networking events with industry</t>
        </is>
      </c>
      <c r="D41" s="10" t="inlineStr">
        <is>
          <t>E</t>
        </is>
      </c>
      <c r="E41" s="10" t="inlineStr"/>
      <c r="F41" s="10" t="inlineStr"/>
      <c r="G41" s="10" t="inlineStr"/>
      <c r="H41" s="10" t="inlineStr"/>
      <c r="I41" s="10" t="inlineStr"/>
      <c r="J41" s="10" t="inlineStr"/>
    </row>
    <row r="42" ht="22" customHeight="1">
      <c r="B42" s="45" t="n">
        <v>37</v>
      </c>
      <c r="C42" s="46" t="inlineStr">
        <is>
          <t>Alumni investor outreach</t>
        </is>
      </c>
      <c r="D42" s="45" t="inlineStr">
        <is>
          <t>E</t>
        </is>
      </c>
      <c r="E42" s="45" t="inlineStr"/>
      <c r="F42" s="45" t="inlineStr"/>
      <c r="G42" s="45" t="inlineStr"/>
      <c r="H42" s="45" t="inlineStr"/>
      <c r="I42" s="45" t="inlineStr"/>
      <c r="J42" s="45" t="inlineStr"/>
    </row>
    <row r="43" ht="22" customHeight="1">
      <c r="B43" s="10" t="n">
        <v>38</v>
      </c>
      <c r="C43" s="9" t="inlineStr">
        <is>
          <t>Crowdfunding awareness session</t>
        </is>
      </c>
      <c r="D43" s="10" t="inlineStr">
        <is>
          <t>E</t>
        </is>
      </c>
      <c r="E43" s="10" t="inlineStr"/>
      <c r="F43" s="10" t="inlineStr"/>
      <c r="G43" s="10" t="inlineStr"/>
      <c r="H43" s="10" t="inlineStr"/>
      <c r="I43" s="10" t="inlineStr"/>
      <c r="J43" s="10" t="inlineStr"/>
    </row>
    <row r="44" ht="22" customHeight="1"/>
    <row r="45" ht="24" customHeight="1">
      <c r="B45" s="20" t="inlineStr">
        <is>
          <t>F. MONITORING &amp; REPORTING</t>
        </is>
      </c>
    </row>
    <row r="46" ht="22" customHeight="1">
      <c r="B46" s="22" t="n">
        <v>41</v>
      </c>
      <c r="C46" s="47" t="inlineStr">
        <is>
          <t>Quarterly KPI review meetings</t>
        </is>
      </c>
      <c r="D46" s="22" t="inlineStr">
        <is>
          <t>F</t>
        </is>
      </c>
      <c r="E46" s="22" t="inlineStr"/>
      <c r="F46" s="22" t="inlineStr"/>
      <c r="G46" s="22" t="inlineStr"/>
      <c r="H46" s="22" t="inlineStr"/>
      <c r="I46" s="22" t="inlineStr"/>
      <c r="J46" s="22" t="inlineStr"/>
    </row>
    <row r="47" ht="22" customHeight="1">
      <c r="B47" s="10" t="n">
        <v>42</v>
      </c>
      <c r="C47" s="9" t="inlineStr">
        <is>
          <t>AQAR / NAAC data compilation</t>
        </is>
      </c>
      <c r="D47" s="10" t="inlineStr">
        <is>
          <t>F</t>
        </is>
      </c>
      <c r="E47" s="10" t="inlineStr"/>
      <c r="F47" s="10" t="inlineStr"/>
      <c r="G47" s="10" t="inlineStr"/>
      <c r="H47" s="10" t="inlineStr"/>
      <c r="I47" s="10" t="inlineStr"/>
      <c r="J47" s="10" t="inlineStr"/>
    </row>
    <row r="48" ht="22" customHeight="1">
      <c r="B48" s="22" t="n">
        <v>43</v>
      </c>
      <c r="C48" s="47" t="inlineStr">
        <is>
          <t>NIRF data submission</t>
        </is>
      </c>
      <c r="D48" s="22" t="inlineStr">
        <is>
          <t>F</t>
        </is>
      </c>
      <c r="E48" s="22" t="inlineStr"/>
      <c r="F48" s="22" t="inlineStr"/>
      <c r="G48" s="22" t="inlineStr"/>
      <c r="H48" s="22" t="inlineStr"/>
      <c r="I48" s="22" t="inlineStr"/>
      <c r="J48" s="22" t="inlineStr"/>
    </row>
    <row r="49" ht="22" customHeight="1">
      <c r="B49" s="10" t="n">
        <v>44</v>
      </c>
      <c r="C49" s="9" t="inlineStr">
        <is>
          <t>DPIIT annual data update</t>
        </is>
      </c>
      <c r="D49" s="10" t="inlineStr">
        <is>
          <t>F</t>
        </is>
      </c>
      <c r="E49" s="10" t="inlineStr"/>
      <c r="F49" s="10" t="inlineStr"/>
      <c r="G49" s="10" t="inlineStr"/>
      <c r="H49" s="10" t="inlineStr"/>
      <c r="I49" s="10" t="inlineStr"/>
      <c r="J49" s="10" t="inlineStr"/>
    </row>
    <row r="50" ht="22" customHeight="1">
      <c r="B50" s="22" t="n">
        <v>45</v>
      </c>
      <c r="C50" s="47" t="inlineStr">
        <is>
          <t>Annual EDC impact report</t>
        </is>
      </c>
      <c r="D50" s="22" t="inlineStr">
        <is>
          <t>F</t>
        </is>
      </c>
      <c r="E50" s="22" t="inlineStr"/>
      <c r="F50" s="22" t="inlineStr"/>
      <c r="G50" s="22" t="inlineStr"/>
      <c r="H50" s="22" t="inlineStr"/>
      <c r="I50" s="22" t="inlineStr"/>
      <c r="J50" s="22" t="inlineStr"/>
    </row>
    <row r="51" ht="22" customHeight="1">
      <c r="B51" s="10" t="n">
        <v>46</v>
      </c>
      <c r="C51" s="9" t="inlineStr">
        <is>
          <t>Annual Report to Governing Body</t>
        </is>
      </c>
      <c r="D51" s="10" t="inlineStr">
        <is>
          <t>F</t>
        </is>
      </c>
      <c r="E51" s="10" t="inlineStr"/>
      <c r="F51" s="10" t="inlineStr"/>
      <c r="G51" s="10" t="inlineStr"/>
      <c r="H51" s="10" t="inlineStr"/>
      <c r="I51" s="10" t="inlineStr"/>
      <c r="J51" s="10" t="inlineStr"/>
    </row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8">
    <mergeCell ref="B29:J29"/>
    <mergeCell ref="B3:J3"/>
    <mergeCell ref="B5:J5"/>
    <mergeCell ref="B37:J37"/>
    <mergeCell ref="B45:J45"/>
    <mergeCell ref="B13:J13"/>
    <mergeCell ref="B21:J21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EDC-03: ANNUAL ACTION PLAN — PROGRESS REVIEW</t>
        </is>
      </c>
    </row>
    <row r="3" ht="25" customHeight="1">
      <c r="B3" s="2" t="inlineStr">
        <is>
          <t>A.Y.: _______  Review Period: Q1 / Q2 / Q3 / Annual  EDC Coordinator: ___________________  Date: _______</t>
        </is>
      </c>
    </row>
    <row r="4" ht="25" customHeight="1">
      <c r="B4" s="13" t="inlineStr">
        <is>
          <t>Sl.</t>
        </is>
      </c>
      <c r="C4" s="13" t="inlineStr">
        <is>
          <t>Activity / Initiative</t>
        </is>
      </c>
      <c r="D4" s="13" t="inlineStr">
        <is>
          <t>Section</t>
        </is>
      </c>
      <c r="E4" s="13" t="inlineStr">
        <is>
          <t>Annual
Target</t>
        </is>
      </c>
      <c r="F4" s="13" t="inlineStr">
        <is>
          <t>Target
to Date</t>
        </is>
      </c>
      <c r="G4" s="13" t="inlineStr">
        <is>
          <t>Achieved
to Date</t>
        </is>
      </c>
      <c r="H4" s="13" t="inlineStr">
        <is>
          <t>% Achievement</t>
        </is>
      </c>
      <c r="I4" s="13" t="inlineStr">
        <is>
          <t>Status</t>
        </is>
      </c>
      <c r="J4" s="13" t="inlineStr">
        <is>
          <t>Corrective Action / Remarks</t>
        </is>
      </c>
    </row>
    <row r="5" ht="22" customHeight="1">
      <c r="B5" s="14" t="n">
        <v>1</v>
      </c>
      <c r="C5" s="15" t="inlineStr"/>
      <c r="D5" s="16" t="inlineStr">
        <is>
          <t>A</t>
        </is>
      </c>
      <c r="E5" s="16" t="inlineStr"/>
      <c r="F5" s="16" t="inlineStr"/>
      <c r="G5" s="16" t="inlineStr"/>
      <c r="H5" s="48">
        <f>IFERROR(ROUND(G5/F5*100,1),"")</f>
        <v/>
      </c>
      <c r="I5" s="16" t="inlineStr">
        <is>
          <t>On Track</t>
        </is>
      </c>
      <c r="J5" s="15" t="inlineStr"/>
    </row>
    <row r="6" ht="22" customHeight="1">
      <c r="B6" s="8" t="n">
        <v>2</v>
      </c>
      <c r="C6" s="9" t="inlineStr"/>
      <c r="D6" s="10" t="inlineStr">
        <is>
          <t>B</t>
        </is>
      </c>
      <c r="E6" s="10" t="inlineStr"/>
      <c r="F6" s="10" t="inlineStr"/>
      <c r="G6" s="10" t="inlineStr"/>
      <c r="H6" s="37">
        <f>IFERROR(ROUND(G6/F6*100,1),"")</f>
        <v/>
      </c>
      <c r="I6" s="10" t="inlineStr">
        <is>
          <t>Ahead</t>
        </is>
      </c>
      <c r="J6" s="9" t="inlineStr"/>
    </row>
    <row r="7" ht="22" customHeight="1">
      <c r="B7" s="14" t="n">
        <v>3</v>
      </c>
      <c r="C7" s="15" t="inlineStr"/>
      <c r="D7" s="16" t="inlineStr">
        <is>
          <t>C</t>
        </is>
      </c>
      <c r="E7" s="16" t="inlineStr"/>
      <c r="F7" s="16" t="inlineStr"/>
      <c r="G7" s="16" t="inlineStr"/>
      <c r="H7" s="48">
        <f>IFERROR(ROUND(G7/F7*100,1),"")</f>
        <v/>
      </c>
      <c r="I7" s="16" t="inlineStr">
        <is>
          <t>Delayed</t>
        </is>
      </c>
      <c r="J7" s="15" t="inlineStr"/>
    </row>
    <row r="8" ht="22" customHeight="1">
      <c r="B8" s="8" t="n">
        <v>4</v>
      </c>
      <c r="C8" s="9" t="inlineStr"/>
      <c r="D8" s="10" t="inlineStr">
        <is>
          <t>D</t>
        </is>
      </c>
      <c r="E8" s="10" t="inlineStr"/>
      <c r="F8" s="10" t="inlineStr"/>
      <c r="G8" s="10" t="inlineStr"/>
      <c r="H8" s="37">
        <f>IFERROR(ROUND(G8/F8*100,1),"")</f>
        <v/>
      </c>
      <c r="I8" s="10" t="inlineStr">
        <is>
          <t>At Risk</t>
        </is>
      </c>
      <c r="J8" s="9" t="inlineStr"/>
    </row>
    <row r="9" ht="22" customHeight="1">
      <c r="B9" s="14" t="n">
        <v>5</v>
      </c>
      <c r="C9" s="15" t="inlineStr"/>
      <c r="D9" s="16" t="inlineStr">
        <is>
          <t>E</t>
        </is>
      </c>
      <c r="E9" s="16" t="inlineStr"/>
      <c r="F9" s="16" t="inlineStr"/>
      <c r="G9" s="16" t="inlineStr"/>
      <c r="H9" s="48">
        <f>IFERROR(ROUND(G9/F9*100,1),"")</f>
        <v/>
      </c>
      <c r="I9" s="16" t="inlineStr">
        <is>
          <t>Completed</t>
        </is>
      </c>
      <c r="J9" s="15" t="inlineStr"/>
    </row>
    <row r="10" ht="22" customHeight="1">
      <c r="B10" s="8" t="n">
        <v>6</v>
      </c>
      <c r="C10" s="9" t="inlineStr"/>
      <c r="D10" s="10" t="inlineStr">
        <is>
          <t>F</t>
        </is>
      </c>
      <c r="E10" s="10" t="inlineStr"/>
      <c r="F10" s="10" t="inlineStr"/>
      <c r="G10" s="10" t="inlineStr"/>
      <c r="H10" s="37">
        <f>IFERROR(ROUND(G10/F10*100,1),"")</f>
        <v/>
      </c>
      <c r="I10" s="10" t="inlineStr">
        <is>
          <t>On Track</t>
        </is>
      </c>
      <c r="J10" s="9" t="inlineStr"/>
    </row>
    <row r="11" ht="22" customHeight="1">
      <c r="B11" s="14" t="n">
        <v>7</v>
      </c>
      <c r="C11" s="15" t="inlineStr"/>
      <c r="D11" s="16" t="inlineStr">
        <is>
          <t>A</t>
        </is>
      </c>
      <c r="E11" s="16" t="inlineStr"/>
      <c r="F11" s="16" t="inlineStr"/>
      <c r="G11" s="16" t="inlineStr"/>
      <c r="H11" s="48">
        <f>IFERROR(ROUND(G11/F11*100,1),"")</f>
        <v/>
      </c>
      <c r="I11" s="16" t="inlineStr">
        <is>
          <t>Ahead</t>
        </is>
      </c>
      <c r="J11" s="15" t="inlineStr"/>
    </row>
    <row r="12" ht="22" customHeight="1">
      <c r="B12" s="8" t="n">
        <v>8</v>
      </c>
      <c r="C12" s="9" t="inlineStr"/>
      <c r="D12" s="10" t="inlineStr">
        <is>
          <t>B</t>
        </is>
      </c>
      <c r="E12" s="10" t="inlineStr"/>
      <c r="F12" s="10" t="inlineStr"/>
      <c r="G12" s="10" t="inlineStr"/>
      <c r="H12" s="37">
        <f>IFERROR(ROUND(G12/F12*100,1),"")</f>
        <v/>
      </c>
      <c r="I12" s="10" t="inlineStr">
        <is>
          <t>Delayed</t>
        </is>
      </c>
      <c r="J12" s="9" t="inlineStr"/>
    </row>
    <row r="13" ht="22" customHeight="1">
      <c r="B13" s="14" t="n">
        <v>9</v>
      </c>
      <c r="C13" s="15" t="inlineStr"/>
      <c r="D13" s="16" t="inlineStr">
        <is>
          <t>C</t>
        </is>
      </c>
      <c r="E13" s="16" t="inlineStr"/>
      <c r="F13" s="16" t="inlineStr"/>
      <c r="G13" s="16" t="inlineStr"/>
      <c r="H13" s="48">
        <f>IFERROR(ROUND(G13/F13*100,1),"")</f>
        <v/>
      </c>
      <c r="I13" s="16" t="inlineStr">
        <is>
          <t>At Risk</t>
        </is>
      </c>
      <c r="J13" s="15" t="inlineStr"/>
    </row>
    <row r="14" ht="22" customHeight="1">
      <c r="B14" s="8" t="n">
        <v>10</v>
      </c>
      <c r="C14" s="9" t="inlineStr"/>
      <c r="D14" s="10" t="inlineStr">
        <is>
          <t>D</t>
        </is>
      </c>
      <c r="E14" s="10" t="inlineStr"/>
      <c r="F14" s="10" t="inlineStr"/>
      <c r="G14" s="10" t="inlineStr"/>
      <c r="H14" s="37">
        <f>IFERROR(ROUND(G14/F14*100,1),"")</f>
        <v/>
      </c>
      <c r="I14" s="10" t="inlineStr">
        <is>
          <t>Completed</t>
        </is>
      </c>
      <c r="J14" s="9" t="inlineStr"/>
    </row>
    <row r="15" ht="22" customHeight="1">
      <c r="B15" s="14" t="n">
        <v>11</v>
      </c>
      <c r="C15" s="15" t="inlineStr"/>
      <c r="D15" s="16" t="inlineStr">
        <is>
          <t>E</t>
        </is>
      </c>
      <c r="E15" s="16" t="inlineStr"/>
      <c r="F15" s="16" t="inlineStr"/>
      <c r="G15" s="16" t="inlineStr"/>
      <c r="H15" s="48">
        <f>IFERROR(ROUND(G15/F15*100,1),"")</f>
        <v/>
      </c>
      <c r="I15" s="16" t="inlineStr">
        <is>
          <t>On Track</t>
        </is>
      </c>
      <c r="J15" s="15" t="inlineStr"/>
    </row>
    <row r="16" ht="22" customHeight="1">
      <c r="B16" s="8" t="n">
        <v>12</v>
      </c>
      <c r="C16" s="9" t="inlineStr"/>
      <c r="D16" s="10" t="inlineStr">
        <is>
          <t>F</t>
        </is>
      </c>
      <c r="E16" s="10" t="inlineStr"/>
      <c r="F16" s="10" t="inlineStr"/>
      <c r="G16" s="10" t="inlineStr"/>
      <c r="H16" s="37">
        <f>IFERROR(ROUND(G16/F16*100,1),"")</f>
        <v/>
      </c>
      <c r="I16" s="10" t="inlineStr">
        <is>
          <t>Ahead</t>
        </is>
      </c>
      <c r="J16" s="9" t="inlineStr"/>
    </row>
    <row r="17" ht="22" customHeight="1">
      <c r="B17" s="14" t="n">
        <v>13</v>
      </c>
      <c r="C17" s="15" t="inlineStr"/>
      <c r="D17" s="16" t="inlineStr">
        <is>
          <t>A</t>
        </is>
      </c>
      <c r="E17" s="16" t="inlineStr"/>
      <c r="F17" s="16" t="inlineStr"/>
      <c r="G17" s="16" t="inlineStr"/>
      <c r="H17" s="48">
        <f>IFERROR(ROUND(G17/F17*100,1),"")</f>
        <v/>
      </c>
      <c r="I17" s="16" t="inlineStr">
        <is>
          <t>Delayed</t>
        </is>
      </c>
      <c r="J17" s="15" t="inlineStr"/>
    </row>
    <row r="18" ht="22" customHeight="1">
      <c r="B18" s="8" t="n">
        <v>14</v>
      </c>
      <c r="C18" s="9" t="inlineStr"/>
      <c r="D18" s="10" t="inlineStr">
        <is>
          <t>B</t>
        </is>
      </c>
      <c r="E18" s="10" t="inlineStr"/>
      <c r="F18" s="10" t="inlineStr"/>
      <c r="G18" s="10" t="inlineStr"/>
      <c r="H18" s="37">
        <f>IFERROR(ROUND(G18/F18*100,1),"")</f>
        <v/>
      </c>
      <c r="I18" s="10" t="inlineStr">
        <is>
          <t>At Risk</t>
        </is>
      </c>
      <c r="J18" s="9" t="inlineStr"/>
    </row>
    <row r="19" ht="22" customHeight="1">
      <c r="B19" s="14" t="n">
        <v>15</v>
      </c>
      <c r="C19" s="15" t="inlineStr"/>
      <c r="D19" s="16" t="inlineStr">
        <is>
          <t>C</t>
        </is>
      </c>
      <c r="E19" s="16" t="inlineStr"/>
      <c r="F19" s="16" t="inlineStr"/>
      <c r="G19" s="16" t="inlineStr"/>
      <c r="H19" s="48">
        <f>IFERROR(ROUND(G19/F19*100,1),"")</f>
        <v/>
      </c>
      <c r="I19" s="16" t="inlineStr">
        <is>
          <t>Completed</t>
        </is>
      </c>
      <c r="J19" s="15" t="inlineStr"/>
    </row>
    <row r="20" ht="22" customHeight="1">
      <c r="B20" s="8" t="n">
        <v>16</v>
      </c>
      <c r="C20" s="9" t="inlineStr"/>
      <c r="D20" s="10" t="inlineStr">
        <is>
          <t>D</t>
        </is>
      </c>
      <c r="E20" s="10" t="inlineStr"/>
      <c r="F20" s="10" t="inlineStr"/>
      <c r="G20" s="10" t="inlineStr"/>
      <c r="H20" s="37">
        <f>IFERROR(ROUND(G20/F20*100,1),"")</f>
        <v/>
      </c>
      <c r="I20" s="10" t="inlineStr">
        <is>
          <t>On Track</t>
        </is>
      </c>
      <c r="J20" s="9" t="inlineStr"/>
    </row>
    <row r="21" ht="22" customHeight="1">
      <c r="B21" s="14" t="n">
        <v>17</v>
      </c>
      <c r="C21" s="15" t="inlineStr"/>
      <c r="D21" s="16" t="inlineStr">
        <is>
          <t>E</t>
        </is>
      </c>
      <c r="E21" s="16" t="inlineStr"/>
      <c r="F21" s="16" t="inlineStr"/>
      <c r="G21" s="16" t="inlineStr"/>
      <c r="H21" s="48">
        <f>IFERROR(ROUND(G21/F21*100,1),"")</f>
        <v/>
      </c>
      <c r="I21" s="16" t="inlineStr">
        <is>
          <t>Ahead</t>
        </is>
      </c>
      <c r="J21" s="15" t="inlineStr"/>
    </row>
    <row r="22" ht="22" customHeight="1">
      <c r="B22" s="8" t="n">
        <v>18</v>
      </c>
      <c r="C22" s="9" t="inlineStr"/>
      <c r="D22" s="10" t="inlineStr">
        <is>
          <t>F</t>
        </is>
      </c>
      <c r="E22" s="10" t="inlineStr"/>
      <c r="F22" s="10" t="inlineStr"/>
      <c r="G22" s="10" t="inlineStr"/>
      <c r="H22" s="37">
        <f>IFERROR(ROUND(G22/F22*100,1),"")</f>
        <v/>
      </c>
      <c r="I22" s="10" t="inlineStr">
        <is>
          <t>Delayed</t>
        </is>
      </c>
      <c r="J22" s="9" t="inlineStr"/>
    </row>
    <row r="23" ht="22" customHeight="1">
      <c r="B23" s="14" t="n">
        <v>19</v>
      </c>
      <c r="C23" s="15" t="inlineStr"/>
      <c r="D23" s="16" t="inlineStr">
        <is>
          <t>A</t>
        </is>
      </c>
      <c r="E23" s="16" t="inlineStr"/>
      <c r="F23" s="16" t="inlineStr"/>
      <c r="G23" s="16" t="inlineStr"/>
      <c r="H23" s="48">
        <f>IFERROR(ROUND(G23/F23*100,1),"")</f>
        <v/>
      </c>
      <c r="I23" s="16" t="inlineStr">
        <is>
          <t>At Risk</t>
        </is>
      </c>
      <c r="J23" s="15" t="inlineStr"/>
    </row>
    <row r="24" ht="22" customHeight="1">
      <c r="B24" s="8" t="n">
        <v>20</v>
      </c>
      <c r="C24" s="9" t="inlineStr"/>
      <c r="D24" s="10" t="inlineStr">
        <is>
          <t>B</t>
        </is>
      </c>
      <c r="E24" s="10" t="inlineStr"/>
      <c r="F24" s="10" t="inlineStr"/>
      <c r="G24" s="10" t="inlineStr"/>
      <c r="H24" s="37">
        <f>IFERROR(ROUND(G24/F24*100,1),"")</f>
        <v/>
      </c>
      <c r="I24" s="10" t="inlineStr">
        <is>
          <t>Completed</t>
        </is>
      </c>
      <c r="J24" s="9" t="inlineStr"/>
    </row>
    <row r="25" ht="22" customHeight="1">
      <c r="B25" s="14" t="n">
        <v>21</v>
      </c>
      <c r="C25" s="15" t="inlineStr"/>
      <c r="D25" s="16" t="inlineStr">
        <is>
          <t>C</t>
        </is>
      </c>
      <c r="E25" s="16" t="inlineStr"/>
      <c r="F25" s="16" t="inlineStr"/>
      <c r="G25" s="16" t="inlineStr"/>
      <c r="H25" s="48">
        <f>IFERROR(ROUND(G25/F25*100,1),"")</f>
        <v/>
      </c>
      <c r="I25" s="16" t="inlineStr">
        <is>
          <t>On Track</t>
        </is>
      </c>
      <c r="J25" s="15" t="inlineStr"/>
    </row>
    <row r="26" ht="22" customHeight="1">
      <c r="B26" s="8" t="n">
        <v>22</v>
      </c>
      <c r="C26" s="9" t="inlineStr"/>
      <c r="D26" s="10" t="inlineStr">
        <is>
          <t>D</t>
        </is>
      </c>
      <c r="E26" s="10" t="inlineStr"/>
      <c r="F26" s="10" t="inlineStr"/>
      <c r="G26" s="10" t="inlineStr"/>
      <c r="H26" s="37">
        <f>IFERROR(ROUND(G26/F26*100,1),"")</f>
        <v/>
      </c>
      <c r="I26" s="10" t="inlineStr">
        <is>
          <t>Ahead</t>
        </is>
      </c>
      <c r="J26" s="9" t="inlineStr"/>
    </row>
    <row r="27" ht="22" customHeight="1">
      <c r="B27" s="14" t="n">
        <v>23</v>
      </c>
      <c r="C27" s="15" t="inlineStr"/>
      <c r="D27" s="16" t="inlineStr">
        <is>
          <t>E</t>
        </is>
      </c>
      <c r="E27" s="16" t="inlineStr"/>
      <c r="F27" s="16" t="inlineStr"/>
      <c r="G27" s="16" t="inlineStr"/>
      <c r="H27" s="48">
        <f>IFERROR(ROUND(G27/F27*100,1),"")</f>
        <v/>
      </c>
      <c r="I27" s="16" t="inlineStr">
        <is>
          <t>Delayed</t>
        </is>
      </c>
      <c r="J27" s="15" t="inlineStr"/>
    </row>
    <row r="28" ht="22" customHeight="1">
      <c r="B28" s="8" t="n">
        <v>24</v>
      </c>
      <c r="C28" s="9" t="inlineStr"/>
      <c r="D28" s="10" t="inlineStr">
        <is>
          <t>F</t>
        </is>
      </c>
      <c r="E28" s="10" t="inlineStr"/>
      <c r="F28" s="10" t="inlineStr"/>
      <c r="G28" s="10" t="inlineStr"/>
      <c r="H28" s="37">
        <f>IFERROR(ROUND(G28/F28*100,1),"")</f>
        <v/>
      </c>
      <c r="I28" s="10" t="inlineStr">
        <is>
          <t>At Risk</t>
        </is>
      </c>
      <c r="J28" s="9" t="inlineStr"/>
    </row>
    <row r="29" ht="22" customHeight="1">
      <c r="B29" s="14" t="n">
        <v>25</v>
      </c>
      <c r="C29" s="15" t="inlineStr"/>
      <c r="D29" s="16" t="inlineStr">
        <is>
          <t>A</t>
        </is>
      </c>
      <c r="E29" s="16" t="inlineStr"/>
      <c r="F29" s="16" t="inlineStr"/>
      <c r="G29" s="16" t="inlineStr"/>
      <c r="H29" s="48">
        <f>IFERROR(ROUND(G29/F29*100,1),"")</f>
        <v/>
      </c>
      <c r="I29" s="16" t="inlineStr">
        <is>
          <t>Completed</t>
        </is>
      </c>
      <c r="J29" s="15" t="inlineStr"/>
    </row>
    <row r="30" ht="22" customHeight="1">
      <c r="B30" s="8" t="n">
        <v>26</v>
      </c>
      <c r="C30" s="9" t="inlineStr"/>
      <c r="D30" s="10" t="inlineStr">
        <is>
          <t>B</t>
        </is>
      </c>
      <c r="E30" s="10" t="inlineStr"/>
      <c r="F30" s="10" t="inlineStr"/>
      <c r="G30" s="10" t="inlineStr"/>
      <c r="H30" s="37">
        <f>IFERROR(ROUND(G30/F30*100,1),"")</f>
        <v/>
      </c>
      <c r="I30" s="10" t="inlineStr">
        <is>
          <t>On Track</t>
        </is>
      </c>
      <c r="J30" s="9" t="inlineStr"/>
    </row>
    <row r="31" ht="22" customHeight="1">
      <c r="B31" s="14" t="n">
        <v>27</v>
      </c>
      <c r="C31" s="15" t="inlineStr"/>
      <c r="D31" s="16" t="inlineStr">
        <is>
          <t>C</t>
        </is>
      </c>
      <c r="E31" s="16" t="inlineStr"/>
      <c r="F31" s="16" t="inlineStr"/>
      <c r="G31" s="16" t="inlineStr"/>
      <c r="H31" s="48">
        <f>IFERROR(ROUND(G31/F31*100,1),"")</f>
        <v/>
      </c>
      <c r="I31" s="16" t="inlineStr">
        <is>
          <t>Ahead</t>
        </is>
      </c>
      <c r="J31" s="15" t="inlineStr"/>
    </row>
    <row r="32" ht="22" customHeight="1">
      <c r="B32" s="8" t="n">
        <v>28</v>
      </c>
      <c r="C32" s="9" t="inlineStr"/>
      <c r="D32" s="10" t="inlineStr">
        <is>
          <t>D</t>
        </is>
      </c>
      <c r="E32" s="10" t="inlineStr"/>
      <c r="F32" s="10" t="inlineStr"/>
      <c r="G32" s="10" t="inlineStr"/>
      <c r="H32" s="37">
        <f>IFERROR(ROUND(G32/F32*100,1),"")</f>
        <v/>
      </c>
      <c r="I32" s="10" t="inlineStr">
        <is>
          <t>Delayed</t>
        </is>
      </c>
      <c r="J32" s="9" t="inlineStr"/>
    </row>
    <row r="33" ht="22" customHeight="1">
      <c r="B33" s="14" t="n">
        <v>29</v>
      </c>
      <c r="C33" s="15" t="inlineStr"/>
      <c r="D33" s="16" t="inlineStr">
        <is>
          <t>E</t>
        </is>
      </c>
      <c r="E33" s="16" t="inlineStr"/>
      <c r="F33" s="16" t="inlineStr"/>
      <c r="G33" s="16" t="inlineStr"/>
      <c r="H33" s="48">
        <f>IFERROR(ROUND(G33/F33*100,1),"")</f>
        <v/>
      </c>
      <c r="I33" s="16" t="inlineStr">
        <is>
          <t>At Risk</t>
        </is>
      </c>
      <c r="J33" s="15" t="inlineStr"/>
    </row>
    <row r="34" ht="22" customHeight="1">
      <c r="B34" s="8" t="n">
        <v>30</v>
      </c>
      <c r="C34" s="9" t="inlineStr"/>
      <c r="D34" s="10" t="inlineStr">
        <is>
          <t>F</t>
        </is>
      </c>
      <c r="E34" s="10" t="inlineStr"/>
      <c r="F34" s="10" t="inlineStr"/>
      <c r="G34" s="10" t="inlineStr"/>
      <c r="H34" s="37">
        <f>IFERROR(ROUND(G34/F34*100,1),"")</f>
        <v/>
      </c>
      <c r="I34" s="10" t="inlineStr">
        <is>
          <t>Completed</t>
        </is>
      </c>
      <c r="J34" s="9" t="inlineStr"/>
    </row>
    <row r="35" ht="22" customHeight="1">
      <c r="B35" s="14" t="n">
        <v>31</v>
      </c>
      <c r="C35" s="15" t="inlineStr"/>
      <c r="D35" s="16" t="inlineStr">
        <is>
          <t>A</t>
        </is>
      </c>
      <c r="E35" s="16" t="inlineStr"/>
      <c r="F35" s="16" t="inlineStr"/>
      <c r="G35" s="16" t="inlineStr"/>
      <c r="H35" s="48">
        <f>IFERROR(ROUND(G35/F35*100,1),"")</f>
        <v/>
      </c>
      <c r="I35" s="16" t="inlineStr">
        <is>
          <t>On Track</t>
        </is>
      </c>
      <c r="J35" s="15" t="inlineStr"/>
    </row>
    <row r="36" ht="22" customHeight="1">
      <c r="B36" s="8" t="n">
        <v>32</v>
      </c>
      <c r="C36" s="9" t="inlineStr"/>
      <c r="D36" s="10" t="inlineStr">
        <is>
          <t>B</t>
        </is>
      </c>
      <c r="E36" s="10" t="inlineStr"/>
      <c r="F36" s="10" t="inlineStr"/>
      <c r="G36" s="10" t="inlineStr"/>
      <c r="H36" s="37">
        <f>IFERROR(ROUND(G36/F36*100,1),"")</f>
        <v/>
      </c>
      <c r="I36" s="10" t="inlineStr">
        <is>
          <t>Ahead</t>
        </is>
      </c>
      <c r="J36" s="9" t="inlineStr"/>
    </row>
    <row r="37" ht="22" customHeight="1">
      <c r="B37" s="14" t="n">
        <v>33</v>
      </c>
      <c r="C37" s="15" t="inlineStr"/>
      <c r="D37" s="16" t="inlineStr">
        <is>
          <t>C</t>
        </is>
      </c>
      <c r="E37" s="16" t="inlineStr"/>
      <c r="F37" s="16" t="inlineStr"/>
      <c r="G37" s="16" t="inlineStr"/>
      <c r="H37" s="48">
        <f>IFERROR(ROUND(G37/F37*100,1),"")</f>
        <v/>
      </c>
      <c r="I37" s="16" t="inlineStr">
        <is>
          <t>Delayed</t>
        </is>
      </c>
      <c r="J37" s="15" t="inlineStr"/>
    </row>
    <row r="38" ht="22" customHeight="1">
      <c r="B38" s="8" t="n">
        <v>34</v>
      </c>
      <c r="C38" s="9" t="inlineStr"/>
      <c r="D38" s="10" t="inlineStr">
        <is>
          <t>D</t>
        </is>
      </c>
      <c r="E38" s="10" t="inlineStr"/>
      <c r="F38" s="10" t="inlineStr"/>
      <c r="G38" s="10" t="inlineStr"/>
      <c r="H38" s="37">
        <f>IFERROR(ROUND(G38/F38*100,1),"")</f>
        <v/>
      </c>
      <c r="I38" s="10" t="inlineStr">
        <is>
          <t>At Risk</t>
        </is>
      </c>
      <c r="J38" s="9" t="inlineStr"/>
    </row>
    <row r="39" ht="22" customHeight="1">
      <c r="B39" s="14" t="n">
        <v>35</v>
      </c>
      <c r="C39" s="15" t="inlineStr"/>
      <c r="D39" s="16" t="inlineStr">
        <is>
          <t>E</t>
        </is>
      </c>
      <c r="E39" s="16" t="inlineStr"/>
      <c r="F39" s="16" t="inlineStr"/>
      <c r="G39" s="16" t="inlineStr"/>
      <c r="H39" s="48">
        <f>IFERROR(ROUND(G39/F39*100,1),"")</f>
        <v/>
      </c>
      <c r="I39" s="16" t="inlineStr">
        <is>
          <t>Completed</t>
        </is>
      </c>
      <c r="J39" s="15" t="inlineStr"/>
    </row>
    <row r="40" ht="22" customHeight="1"/>
    <row r="41" ht="24" customHeight="1">
      <c r="B41" s="34" t="inlineStr">
        <is>
          <t>SECTION-WISE REVIEW SUMMARY</t>
        </is>
      </c>
    </row>
    <row r="42" ht="22" customHeight="1">
      <c r="B42" s="30" t="inlineStr">
        <is>
          <t>Section</t>
        </is>
      </c>
      <c r="C42" s="30" t="inlineStr">
        <is>
          <t>Total Activities</t>
        </is>
      </c>
      <c r="D42" s="30" t="inlineStr">
        <is>
          <t>Completed</t>
        </is>
      </c>
      <c r="E42" s="30" t="inlineStr">
        <is>
          <t>On Track</t>
        </is>
      </c>
      <c r="F42" s="30" t="inlineStr">
        <is>
          <t>Delayed</t>
        </is>
      </c>
      <c r="G42" s="30" t="inlineStr">
        <is>
          <t>At Risk</t>
        </is>
      </c>
      <c r="H42" s="30" t="inlineStr">
        <is>
          <t>Overall %
Achievement</t>
        </is>
      </c>
      <c r="I42" s="30" t="inlineStr">
        <is>
          <t>EDC Rating
(1–5)</t>
        </is>
      </c>
      <c r="J42" s="30" t="inlineStr">
        <is>
          <t>Action Required</t>
        </is>
      </c>
    </row>
    <row r="43" ht="22" customHeight="1">
      <c r="B43" s="35" t="inlineStr">
        <is>
          <t>A: Ecosystem</t>
        </is>
      </c>
      <c r="C43" s="33" t="inlineStr"/>
      <c r="D43" s="33" t="inlineStr"/>
      <c r="E43" s="33" t="inlineStr"/>
      <c r="F43" s="33" t="inlineStr"/>
      <c r="G43" s="33" t="inlineStr"/>
      <c r="H43" s="33" t="inlineStr"/>
      <c r="I43" s="33" t="inlineStr"/>
      <c r="J43" s="32" t="inlineStr"/>
    </row>
    <row r="44" ht="22" customHeight="1">
      <c r="B44" s="25" t="inlineStr">
        <is>
          <t>B: Awareness</t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9" t="inlineStr"/>
    </row>
    <row r="45" ht="22" customHeight="1">
      <c r="B45" s="35" t="inlineStr">
        <is>
          <t>C: Startup Support</t>
        </is>
      </c>
      <c r="C45" s="33" t="inlineStr"/>
      <c r="D45" s="33" t="inlineStr"/>
      <c r="E45" s="33" t="inlineStr"/>
      <c r="F45" s="33" t="inlineStr"/>
      <c r="G45" s="33" t="inlineStr"/>
      <c r="H45" s="33" t="inlineStr"/>
      <c r="I45" s="33" t="inlineStr"/>
      <c r="J45" s="32" t="inlineStr"/>
    </row>
    <row r="46" ht="22" customHeight="1">
      <c r="B46" s="25" t="inlineStr">
        <is>
          <t>D: Competitions</t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9" t="inlineStr"/>
    </row>
    <row r="47" ht="22" customHeight="1">
      <c r="B47" s="35" t="inlineStr">
        <is>
          <t>E: Funding</t>
        </is>
      </c>
      <c r="C47" s="33" t="inlineStr"/>
      <c r="D47" s="33" t="inlineStr"/>
      <c r="E47" s="33" t="inlineStr"/>
      <c r="F47" s="33" t="inlineStr"/>
      <c r="G47" s="33" t="inlineStr"/>
      <c r="H47" s="33" t="inlineStr"/>
      <c r="I47" s="33" t="inlineStr"/>
      <c r="J47" s="32" t="inlineStr"/>
    </row>
    <row r="48" ht="22" customHeight="1">
      <c r="B48" s="25" t="inlineStr">
        <is>
          <t>F: Monitoring</t>
        </is>
      </c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9" t="inlineStr"/>
    </row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3">
    <mergeCell ref="B41:J41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0" customHeight="1"/>
    <row r="2" ht="48" customHeight="1">
      <c r="B2" s="12" t="inlineStr">
        <is>
          <t>EDC-04: E-CELL / ENTREPRENEURSHIP CLUB REGISTRATION &amp; MEMBER REGISTER</t>
        </is>
      </c>
    </row>
    <row r="3" ht="25" customHeight="1">
      <c r="B3" s="2" t="inlineStr">
        <is>
          <t>A.Y.: _______  Faculty Advisor: ___________________  Student President: ___________________</t>
        </is>
      </c>
    </row>
    <row r="4" ht="24" customHeight="1">
      <c r="B4" s="19" t="inlineStr">
        <is>
          <t>E-CELL CORE TEAM</t>
        </is>
      </c>
    </row>
    <row r="5" ht="22" customHeight="1">
      <c r="B5" s="13" t="inlineStr">
        <is>
          <t>Sl.</t>
        </is>
      </c>
      <c r="C5" s="13" t="inlineStr">
        <is>
          <t>Student Name</t>
        </is>
      </c>
      <c r="D5" s="13" t="inlineStr">
        <is>
          <t>Roll No.</t>
        </is>
      </c>
      <c r="E5" s="13" t="inlineStr">
        <is>
          <t>Programme
&amp; Year</t>
        </is>
      </c>
      <c r="F5" s="13" t="inlineStr">
        <is>
          <t>Department</t>
        </is>
      </c>
      <c r="G5" s="13" t="inlineStr">
        <is>
          <t>Role in E-Cell</t>
        </is>
      </c>
      <c r="H5" s="13" t="inlineStr">
        <is>
          <t>Contact</t>
        </is>
      </c>
      <c r="I5" s="13" t="inlineStr">
        <is>
          <t>Email</t>
        </is>
      </c>
      <c r="J5" s="13" t="inlineStr">
        <is>
          <t>Membership
Validity</t>
        </is>
      </c>
    </row>
    <row r="6" ht="22" customHeight="1">
      <c r="B6" s="14" t="n">
        <v>1</v>
      </c>
      <c r="C6" s="15" t="inlineStr"/>
      <c r="D6" s="16" t="inlineStr"/>
      <c r="E6" s="16" t="inlineStr"/>
      <c r="F6" s="16" t="inlineStr"/>
      <c r="G6" s="14" t="inlineStr">
        <is>
          <t>President</t>
        </is>
      </c>
      <c r="H6" s="16" t="inlineStr"/>
      <c r="I6" s="15" t="inlineStr"/>
      <c r="J6" s="16" t="inlineStr"/>
    </row>
    <row r="7" ht="22" customHeight="1">
      <c r="B7" s="8" t="n">
        <v>2</v>
      </c>
      <c r="C7" s="9" t="inlineStr"/>
      <c r="D7" s="10" t="inlineStr"/>
      <c r="E7" s="10" t="inlineStr"/>
      <c r="F7" s="10" t="inlineStr"/>
      <c r="G7" s="8" t="inlineStr">
        <is>
          <t>Vice-President</t>
        </is>
      </c>
      <c r="H7" s="10" t="inlineStr"/>
      <c r="I7" s="9" t="inlineStr"/>
      <c r="J7" s="10" t="inlineStr"/>
    </row>
    <row r="8" ht="22" customHeight="1">
      <c r="B8" s="14" t="n">
        <v>3</v>
      </c>
      <c r="C8" s="15" t="inlineStr"/>
      <c r="D8" s="16" t="inlineStr"/>
      <c r="E8" s="16" t="inlineStr"/>
      <c r="F8" s="16" t="inlineStr"/>
      <c r="G8" s="14" t="inlineStr">
        <is>
          <t>Secretary</t>
        </is>
      </c>
      <c r="H8" s="16" t="inlineStr"/>
      <c r="I8" s="15" t="inlineStr"/>
      <c r="J8" s="16" t="inlineStr"/>
    </row>
    <row r="9" ht="22" customHeight="1">
      <c r="B9" s="8" t="n">
        <v>4</v>
      </c>
      <c r="C9" s="9" t="inlineStr"/>
      <c r="D9" s="10" t="inlineStr"/>
      <c r="E9" s="10" t="inlineStr"/>
      <c r="F9" s="10" t="inlineStr"/>
      <c r="G9" s="8" t="inlineStr">
        <is>
          <t>Treasurer</t>
        </is>
      </c>
      <c r="H9" s="10" t="inlineStr"/>
      <c r="I9" s="9" t="inlineStr"/>
      <c r="J9" s="10" t="inlineStr"/>
    </row>
    <row r="10" ht="22" customHeight="1">
      <c r="B10" s="14" t="n">
        <v>5</v>
      </c>
      <c r="C10" s="15" t="inlineStr"/>
      <c r="D10" s="16" t="inlineStr"/>
      <c r="E10" s="16" t="inlineStr"/>
      <c r="F10" s="16" t="inlineStr"/>
      <c r="G10" s="14" t="inlineStr">
        <is>
          <t>Event Head</t>
        </is>
      </c>
      <c r="H10" s="16" t="inlineStr"/>
      <c r="I10" s="15" t="inlineStr"/>
      <c r="J10" s="16" t="inlineStr"/>
    </row>
    <row r="11" ht="22" customHeight="1">
      <c r="B11" s="8" t="n">
        <v>6</v>
      </c>
      <c r="C11" s="9" t="inlineStr"/>
      <c r="D11" s="10" t="inlineStr"/>
      <c r="E11" s="10" t="inlineStr"/>
      <c r="F11" s="10" t="inlineStr"/>
      <c r="G11" s="8" t="inlineStr">
        <is>
          <t>Media &amp; PR Head</t>
        </is>
      </c>
      <c r="H11" s="10" t="inlineStr"/>
      <c r="I11" s="9" t="inlineStr"/>
      <c r="J11" s="10" t="inlineStr"/>
    </row>
    <row r="12" ht="22" customHeight="1">
      <c r="B12" s="14" t="n">
        <v>7</v>
      </c>
      <c r="C12" s="15" t="inlineStr"/>
      <c r="D12" s="16" t="inlineStr"/>
      <c r="E12" s="16" t="inlineStr"/>
      <c r="F12" s="16" t="inlineStr"/>
      <c r="G12" s="14" t="inlineStr">
        <is>
          <t>Technology Head</t>
        </is>
      </c>
      <c r="H12" s="16" t="inlineStr"/>
      <c r="I12" s="15" t="inlineStr"/>
      <c r="J12" s="16" t="inlineStr"/>
    </row>
    <row r="13" ht="22" customHeight="1">
      <c r="B13" s="8" t="n">
        <v>8</v>
      </c>
      <c r="C13" s="9" t="inlineStr"/>
      <c r="D13" s="10" t="inlineStr"/>
      <c r="E13" s="10" t="inlineStr"/>
      <c r="F13" s="10" t="inlineStr"/>
      <c r="G13" s="8" t="inlineStr">
        <is>
          <t>Finance &amp; Funding Head</t>
        </is>
      </c>
      <c r="H13" s="10" t="inlineStr"/>
      <c r="I13" s="9" t="inlineStr"/>
      <c r="J13" s="10" t="inlineStr"/>
    </row>
    <row r="14" ht="22" customHeight="1">
      <c r="B14" s="14" t="n">
        <v>9</v>
      </c>
      <c r="C14" s="15" t="inlineStr"/>
      <c r="D14" s="16" t="inlineStr"/>
      <c r="E14" s="16" t="inlineStr"/>
      <c r="F14" s="16" t="inlineStr"/>
      <c r="G14" s="14" t="inlineStr">
        <is>
          <t>Design Head</t>
        </is>
      </c>
      <c r="H14" s="16" t="inlineStr"/>
      <c r="I14" s="15" t="inlineStr"/>
      <c r="J14" s="16" t="inlineStr"/>
    </row>
    <row r="15" ht="22" customHeight="1">
      <c r="B15" s="8" t="n">
        <v>10</v>
      </c>
      <c r="C15" s="9" t="inlineStr"/>
      <c r="D15" s="10" t="inlineStr"/>
      <c r="E15" s="10" t="inlineStr"/>
      <c r="F15" s="10" t="inlineStr"/>
      <c r="G15" s="8" t="inlineStr">
        <is>
          <t>Community Manager</t>
        </is>
      </c>
      <c r="H15" s="10" t="inlineStr"/>
      <c r="I15" s="9" t="inlineStr"/>
      <c r="J15" s="10" t="inlineStr"/>
    </row>
    <row r="16" ht="22" customHeight="1">
      <c r="B16" s="14" t="n">
        <v>11</v>
      </c>
      <c r="C16" s="15" t="inlineStr"/>
      <c r="D16" s="16" t="inlineStr"/>
      <c r="E16" s="16" t="inlineStr"/>
      <c r="F16" s="16" t="inlineStr"/>
      <c r="G16" s="14" t="inlineStr">
        <is>
          <t>President</t>
        </is>
      </c>
      <c r="H16" s="16" t="inlineStr"/>
      <c r="I16" s="15" t="inlineStr"/>
      <c r="J16" s="16" t="inlineStr"/>
    </row>
    <row r="17" ht="22" customHeight="1">
      <c r="B17" s="8" t="n">
        <v>12</v>
      </c>
      <c r="C17" s="9" t="inlineStr"/>
      <c r="D17" s="10" t="inlineStr"/>
      <c r="E17" s="10" t="inlineStr"/>
      <c r="F17" s="10" t="inlineStr"/>
      <c r="G17" s="8" t="inlineStr">
        <is>
          <t>Vice-President</t>
        </is>
      </c>
      <c r="H17" s="10" t="inlineStr"/>
      <c r="I17" s="9" t="inlineStr"/>
      <c r="J17" s="10" t="inlineStr"/>
    </row>
    <row r="18" ht="22" customHeight="1"/>
    <row r="19" ht="24" customHeight="1">
      <c r="B19" s="34" t="inlineStr">
        <is>
          <t>GENERAL MEMBERSHIP REGISTER</t>
        </is>
      </c>
    </row>
    <row r="20" ht="22" customHeight="1">
      <c r="B20" s="30" t="inlineStr">
        <is>
          <t>Sl.</t>
        </is>
      </c>
      <c r="C20" s="30" t="inlineStr">
        <is>
          <t>Student Name</t>
        </is>
      </c>
      <c r="D20" s="30" t="inlineStr">
        <is>
          <t>Roll No.</t>
        </is>
      </c>
      <c r="E20" s="30" t="inlineStr">
        <is>
          <t>Programme</t>
        </is>
      </c>
      <c r="F20" s="30" t="inlineStr">
        <is>
          <t>Year</t>
        </is>
      </c>
      <c r="G20" s="30" t="inlineStr">
        <is>
          <t>Department</t>
        </is>
      </c>
      <c r="H20" s="30" t="inlineStr">
        <is>
          <t>Date of
Joining</t>
        </is>
      </c>
      <c r="I20" s="30" t="inlineStr">
        <is>
          <t>Membership
Type</t>
        </is>
      </c>
      <c r="J20" s="30" t="inlineStr">
        <is>
          <t>Status</t>
        </is>
      </c>
    </row>
    <row r="21" ht="22" customHeight="1"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</row>
    <row r="22" ht="22" customHeight="1"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 ht="22" customHeight="1"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</row>
    <row r="24" ht="22" customHeight="1"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22" customHeight="1"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</row>
    <row r="26" ht="22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 ht="22" customHeight="1"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</row>
    <row r="28" ht="22" customHeight="1"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22" customHeight="1"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</row>
    <row r="30" ht="22" customHeight="1"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 ht="22" customHeight="1"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</row>
    <row r="32" ht="22" customHeight="1"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22" customHeight="1"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</row>
    <row r="34" ht="22" customHeight="1"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 ht="22" customHeight="1"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</row>
    <row r="36" ht="22" customHeight="1"/>
    <row r="37" ht="24" customHeight="1">
      <c r="B37" s="20" t="inlineStr">
        <is>
          <t>E-CELL MEMBERSHIP SUMMARY</t>
        </is>
      </c>
    </row>
    <row r="38" ht="22" customHeight="1">
      <c r="B38" s="21" t="inlineStr">
        <is>
          <t>Dept.</t>
        </is>
      </c>
      <c r="C38" s="21" t="inlineStr">
        <is>
          <t>Total Members</t>
        </is>
      </c>
      <c r="D38" s="21" t="inlineStr">
        <is>
          <t>Core Team</t>
        </is>
      </c>
      <c r="E38" s="21" t="inlineStr">
        <is>
          <t>General Members</t>
        </is>
      </c>
      <c r="F38" s="21" t="inlineStr">
        <is>
          <t>Active Members</t>
        </is>
      </c>
      <c r="G38" s="21" t="inlineStr">
        <is>
          <t>New Joiners
This Year</t>
        </is>
      </c>
      <c r="H38" s="21" t="inlineStr">
        <is>
          <t>Renewals</t>
        </is>
      </c>
      <c r="I38" s="21" t="inlineStr">
        <is>
          <t>Membership %
of Total Students</t>
        </is>
      </c>
      <c r="J38" s="21" t="inlineStr">
        <is>
          <t>Faculty Advisor</t>
        </is>
      </c>
    </row>
    <row r="39" ht="22" customHeight="1">
      <c r="B39" s="47" t="inlineStr">
        <is>
          <t>CSE</t>
        </is>
      </c>
      <c r="C39" s="22" t="inlineStr"/>
      <c r="D39" s="22" t="inlineStr"/>
      <c r="E39" s="22" t="inlineStr"/>
      <c r="F39" s="22" t="inlineStr"/>
      <c r="G39" s="22" t="inlineStr"/>
      <c r="H39" s="22" t="inlineStr"/>
      <c r="I39" s="22" t="inlineStr"/>
      <c r="J39" s="22" t="inlineStr"/>
    </row>
    <row r="40" ht="22" customHeight="1">
      <c r="B40" s="9" t="inlineStr">
        <is>
          <t>ECE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</row>
    <row r="41" ht="22" customHeight="1">
      <c r="B41" s="47" t="inlineStr">
        <is>
          <t>EEE</t>
        </is>
      </c>
      <c r="C41" s="22" t="inlineStr"/>
      <c r="D41" s="22" t="inlineStr"/>
      <c r="E41" s="22" t="inlineStr"/>
      <c r="F41" s="22" t="inlineStr"/>
      <c r="G41" s="22" t="inlineStr"/>
      <c r="H41" s="22" t="inlineStr"/>
      <c r="I41" s="22" t="inlineStr"/>
      <c r="J41" s="22" t="inlineStr"/>
    </row>
    <row r="42">
      <c r="B42" s="9" t="inlineStr">
        <is>
          <t>MECH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</row>
    <row r="43">
      <c r="B43" s="47" t="inlineStr">
        <is>
          <t>CIVIL</t>
        </is>
      </c>
      <c r="C43" s="22" t="inlineStr"/>
      <c r="D43" s="22" t="inlineStr"/>
      <c r="E43" s="22" t="inlineStr"/>
      <c r="F43" s="22" t="inlineStr"/>
      <c r="G43" s="22" t="inlineStr"/>
      <c r="H43" s="22" t="inlineStr"/>
      <c r="I43" s="22" t="inlineStr"/>
      <c r="J43" s="22" t="inlineStr"/>
    </row>
    <row r="44">
      <c r="B44" s="9" t="inlineStr">
        <is>
          <t>S&amp;H</t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</row>
    <row r="45">
      <c r="B45" s="47" t="inlineStr">
        <is>
          <t>MBA</t>
        </is>
      </c>
      <c r="C45" s="22" t="inlineStr"/>
      <c r="D45" s="22" t="inlineStr"/>
      <c r="E45" s="22" t="inlineStr"/>
      <c r="F45" s="22" t="inlineStr"/>
      <c r="G45" s="22" t="inlineStr"/>
      <c r="H45" s="22" t="inlineStr"/>
      <c r="I45" s="22" t="inlineStr"/>
      <c r="J45" s="22" t="inlineStr"/>
    </row>
    <row r="46">
      <c r="B46" s="9" t="inlineStr">
        <is>
          <t>MCA</t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</row>
    <row r="47">
      <c r="B47" s="49" t="inlineStr">
        <is>
          <t>TOTAL</t>
        </is>
      </c>
      <c r="C47" s="50" t="inlineStr"/>
      <c r="D47" s="50" t="inlineStr"/>
      <c r="E47" s="50" t="inlineStr"/>
      <c r="F47" s="50" t="inlineStr"/>
      <c r="G47" s="50" t="inlineStr"/>
      <c r="H47" s="50" t="inlineStr"/>
      <c r="I47" s="50" t="inlineStr"/>
      <c r="J47" s="50" t="inlineStr"/>
    </row>
  </sheetData>
  <mergeCells count="5">
    <mergeCell ref="B3:J3"/>
    <mergeCell ref="B19:J19"/>
    <mergeCell ref="B37:J37"/>
    <mergeCell ref="B4:J4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EDC-05: INCUBATION CENTRE / PRE-INCUBATION FACILITY REGISTER</t>
        </is>
      </c>
    </row>
    <row r="3" ht="25" customHeight="1">
      <c r="B3" s="2" t="inlineStr">
        <is>
          <t>Institution: _________________________  TBI Name (if any): _______  DPIIT Ref.: _______  A.Y.: _______</t>
        </is>
      </c>
    </row>
    <row r="4" ht="24" customHeight="1">
      <c r="B4" s="19" t="inlineStr">
        <is>
          <t>INCUBATEE REGISTER</t>
        </is>
      </c>
    </row>
    <row r="5" ht="22" customHeight="1">
      <c r="B5" s="13" t="inlineStr">
        <is>
          <t>Incubatee
Ref.</t>
        </is>
      </c>
      <c r="C5" s="13" t="inlineStr">
        <is>
          <t>Startup / Venture Name</t>
        </is>
      </c>
      <c r="D5" s="13" t="inlineStr">
        <is>
          <t>Founders
(Student/Faculty/Alumni)</t>
        </is>
      </c>
      <c r="E5" s="13" t="inlineStr">
        <is>
          <t>Sector</t>
        </is>
      </c>
      <c r="F5" s="13" t="inlineStr">
        <is>
          <t>Incubation
Start Date</t>
        </is>
      </c>
      <c r="G5" s="13" t="inlineStr">
        <is>
          <t>Seat /
Workstation</t>
        </is>
      </c>
      <c r="H5" s="13" t="inlineStr">
        <is>
          <t>Monthly Fee
(₹)</t>
        </is>
      </c>
      <c r="I5" s="13" t="inlineStr">
        <is>
          <t>Current Stage</t>
        </is>
      </c>
      <c r="J5" s="13" t="inlineStr">
        <is>
          <t>Next Review</t>
        </is>
      </c>
    </row>
    <row r="6" ht="22" customHeight="1">
      <c r="B6" s="14" t="inlineStr">
        <is>
          <t>INC/2024/001</t>
        </is>
      </c>
      <c r="C6" s="15" t="inlineStr"/>
      <c r="D6" s="15" t="inlineStr"/>
      <c r="E6" s="16" t="inlineStr">
        <is>
          <t>AgriTech</t>
        </is>
      </c>
      <c r="F6" s="16" t="inlineStr"/>
      <c r="G6" s="16" t="inlineStr"/>
      <c r="H6" s="16" t="inlineStr"/>
      <c r="I6" s="16" t="inlineStr">
        <is>
          <t>Pre-seed</t>
        </is>
      </c>
      <c r="J6" s="16" t="inlineStr"/>
    </row>
    <row r="7" ht="22" customHeight="1">
      <c r="B7" s="8" t="inlineStr">
        <is>
          <t>INC/2024/002</t>
        </is>
      </c>
      <c r="C7" s="9" t="inlineStr"/>
      <c r="D7" s="9" t="inlineStr"/>
      <c r="E7" s="10" t="inlineStr">
        <is>
          <t>EdTech</t>
        </is>
      </c>
      <c r="F7" s="10" t="inlineStr"/>
      <c r="G7" s="10" t="inlineStr"/>
      <c r="H7" s="10" t="inlineStr"/>
      <c r="I7" s="10" t="inlineStr">
        <is>
          <t>Seed</t>
        </is>
      </c>
      <c r="J7" s="10" t="inlineStr"/>
    </row>
    <row r="8" ht="22" customHeight="1">
      <c r="B8" s="14" t="inlineStr">
        <is>
          <t>INC/2024/003</t>
        </is>
      </c>
      <c r="C8" s="15" t="inlineStr"/>
      <c r="D8" s="15" t="inlineStr"/>
      <c r="E8" s="16" t="inlineStr">
        <is>
          <t>HealthTech</t>
        </is>
      </c>
      <c r="F8" s="16" t="inlineStr"/>
      <c r="G8" s="16" t="inlineStr"/>
      <c r="H8" s="16" t="inlineStr"/>
      <c r="I8" s="16" t="inlineStr">
        <is>
          <t>Early Revenue</t>
        </is>
      </c>
      <c r="J8" s="16" t="inlineStr"/>
    </row>
    <row r="9" ht="22" customHeight="1">
      <c r="B9" s="8" t="inlineStr">
        <is>
          <t>INC/2024/004</t>
        </is>
      </c>
      <c r="C9" s="9" t="inlineStr"/>
      <c r="D9" s="9" t="inlineStr"/>
      <c r="E9" s="10" t="inlineStr">
        <is>
          <t>FinTech</t>
        </is>
      </c>
      <c r="F9" s="10" t="inlineStr"/>
      <c r="G9" s="10" t="inlineStr"/>
      <c r="H9" s="10" t="inlineStr"/>
      <c r="I9" s="10" t="inlineStr">
        <is>
          <t>Growth</t>
        </is>
      </c>
      <c r="J9" s="10" t="inlineStr"/>
    </row>
    <row r="10" ht="22" customHeight="1">
      <c r="B10" s="14" t="inlineStr">
        <is>
          <t>INC/2024/005</t>
        </is>
      </c>
      <c r="C10" s="15" t="inlineStr"/>
      <c r="D10" s="15" t="inlineStr"/>
      <c r="E10" s="16" t="inlineStr">
        <is>
          <t>GreenTech</t>
        </is>
      </c>
      <c r="F10" s="16" t="inlineStr"/>
      <c r="G10" s="16" t="inlineStr"/>
      <c r="H10" s="16" t="inlineStr"/>
      <c r="I10" s="16" t="inlineStr">
        <is>
          <t>Graduated</t>
        </is>
      </c>
      <c r="J10" s="16" t="inlineStr"/>
    </row>
    <row r="11" ht="22" customHeight="1">
      <c r="B11" s="8" t="inlineStr">
        <is>
          <t>INC/2024/006</t>
        </is>
      </c>
      <c r="C11" s="9" t="inlineStr"/>
      <c r="D11" s="9" t="inlineStr"/>
      <c r="E11" s="10" t="inlineStr">
        <is>
          <t>MedTech</t>
        </is>
      </c>
      <c r="F11" s="10" t="inlineStr"/>
      <c r="G11" s="10" t="inlineStr"/>
      <c r="H11" s="10" t="inlineStr"/>
      <c r="I11" s="10" t="inlineStr">
        <is>
          <t>On Hold</t>
        </is>
      </c>
      <c r="J11" s="10" t="inlineStr"/>
    </row>
    <row r="12" ht="22" customHeight="1">
      <c r="B12" s="14" t="inlineStr">
        <is>
          <t>INC/2024/007</t>
        </is>
      </c>
      <c r="C12" s="15" t="inlineStr"/>
      <c r="D12" s="15" t="inlineStr"/>
      <c r="E12" s="16" t="inlineStr">
        <is>
          <t>AI/ML</t>
        </is>
      </c>
      <c r="F12" s="16" t="inlineStr"/>
      <c r="G12" s="16" t="inlineStr"/>
      <c r="H12" s="16" t="inlineStr"/>
      <c r="I12" s="16" t="inlineStr">
        <is>
          <t>Pre-seed</t>
        </is>
      </c>
      <c r="J12" s="16" t="inlineStr"/>
    </row>
    <row r="13" ht="22" customHeight="1">
      <c r="B13" s="8" t="inlineStr">
        <is>
          <t>INC/2024/008</t>
        </is>
      </c>
      <c r="C13" s="9" t="inlineStr"/>
      <c r="D13" s="9" t="inlineStr"/>
      <c r="E13" s="10" t="inlineStr">
        <is>
          <t>Manufacturing</t>
        </is>
      </c>
      <c r="F13" s="10" t="inlineStr"/>
      <c r="G13" s="10" t="inlineStr"/>
      <c r="H13" s="10" t="inlineStr"/>
      <c r="I13" s="10" t="inlineStr">
        <is>
          <t>Seed</t>
        </is>
      </c>
      <c r="J13" s="10" t="inlineStr"/>
    </row>
    <row r="14" ht="22" customHeight="1">
      <c r="B14" s="14" t="inlineStr">
        <is>
          <t>INC/2024/009</t>
        </is>
      </c>
      <c r="C14" s="15" t="inlineStr"/>
      <c r="D14" s="15" t="inlineStr"/>
      <c r="E14" s="16" t="inlineStr">
        <is>
          <t>Retail</t>
        </is>
      </c>
      <c r="F14" s="16" t="inlineStr"/>
      <c r="G14" s="16" t="inlineStr"/>
      <c r="H14" s="16" t="inlineStr"/>
      <c r="I14" s="16" t="inlineStr">
        <is>
          <t>Early Revenue</t>
        </is>
      </c>
      <c r="J14" s="16" t="inlineStr"/>
    </row>
    <row r="15" ht="22" customHeight="1">
      <c r="B15" s="8" t="inlineStr">
        <is>
          <t>INC/2025/010</t>
        </is>
      </c>
      <c r="C15" s="9" t="inlineStr"/>
      <c r="D15" s="9" t="inlineStr"/>
      <c r="E15" s="10" t="inlineStr">
        <is>
          <t>Social Enterprise</t>
        </is>
      </c>
      <c r="F15" s="10" t="inlineStr"/>
      <c r="G15" s="10" t="inlineStr"/>
      <c r="H15" s="10" t="inlineStr"/>
      <c r="I15" s="10" t="inlineStr">
        <is>
          <t>Growth</t>
        </is>
      </c>
      <c r="J15" s="10" t="inlineStr"/>
    </row>
    <row r="16" ht="22" customHeight="1">
      <c r="B16" s="14" t="inlineStr">
        <is>
          <t>INC/2025/011</t>
        </is>
      </c>
      <c r="C16" s="15" t="inlineStr"/>
      <c r="D16" s="15" t="inlineStr"/>
      <c r="E16" s="16" t="inlineStr">
        <is>
          <t>Others</t>
        </is>
      </c>
      <c r="F16" s="16" t="inlineStr"/>
      <c r="G16" s="16" t="inlineStr"/>
      <c r="H16" s="16" t="inlineStr"/>
      <c r="I16" s="16" t="inlineStr">
        <is>
          <t>Graduated</t>
        </is>
      </c>
      <c r="J16" s="16" t="inlineStr"/>
    </row>
    <row r="17" ht="22" customHeight="1">
      <c r="B17" s="8" t="inlineStr">
        <is>
          <t>INC/2025/012</t>
        </is>
      </c>
      <c r="C17" s="9" t="inlineStr"/>
      <c r="D17" s="9" t="inlineStr"/>
      <c r="E17" s="10" t="inlineStr">
        <is>
          <t>AgriTech</t>
        </is>
      </c>
      <c r="F17" s="10" t="inlineStr"/>
      <c r="G17" s="10" t="inlineStr"/>
      <c r="H17" s="10" t="inlineStr"/>
      <c r="I17" s="10" t="inlineStr">
        <is>
          <t>On Hold</t>
        </is>
      </c>
      <c r="J17" s="10" t="inlineStr"/>
    </row>
    <row r="18" ht="22" customHeight="1">
      <c r="B18" s="14" t="inlineStr">
        <is>
          <t>INC/2025/013</t>
        </is>
      </c>
      <c r="C18" s="15" t="inlineStr"/>
      <c r="D18" s="15" t="inlineStr"/>
      <c r="E18" s="16" t="inlineStr">
        <is>
          <t>EdTech</t>
        </is>
      </c>
      <c r="F18" s="16" t="inlineStr"/>
      <c r="G18" s="16" t="inlineStr"/>
      <c r="H18" s="16" t="inlineStr"/>
      <c r="I18" s="16" t="inlineStr">
        <is>
          <t>Pre-seed</t>
        </is>
      </c>
      <c r="J18" s="16" t="inlineStr"/>
    </row>
    <row r="19" ht="22" customHeight="1">
      <c r="B19" s="8" t="inlineStr">
        <is>
          <t>INC/2025/014</t>
        </is>
      </c>
      <c r="C19" s="9" t="inlineStr"/>
      <c r="D19" s="9" t="inlineStr"/>
      <c r="E19" s="10" t="inlineStr">
        <is>
          <t>HealthTech</t>
        </is>
      </c>
      <c r="F19" s="10" t="inlineStr"/>
      <c r="G19" s="10" t="inlineStr"/>
      <c r="H19" s="10" t="inlineStr"/>
      <c r="I19" s="10" t="inlineStr">
        <is>
          <t>Seed</t>
        </is>
      </c>
      <c r="J19" s="10" t="inlineStr"/>
    </row>
    <row r="20" ht="22" customHeight="1">
      <c r="B20" s="14" t="inlineStr">
        <is>
          <t>INC/2025/015</t>
        </is>
      </c>
      <c r="C20" s="15" t="inlineStr"/>
      <c r="D20" s="15" t="inlineStr"/>
      <c r="E20" s="16" t="inlineStr">
        <is>
          <t>FinTech</t>
        </is>
      </c>
      <c r="F20" s="16" t="inlineStr"/>
      <c r="G20" s="16" t="inlineStr"/>
      <c r="H20" s="16" t="inlineStr"/>
      <c r="I20" s="16" t="inlineStr">
        <is>
          <t>Early Revenue</t>
        </is>
      </c>
      <c r="J20" s="16" t="inlineStr"/>
    </row>
    <row r="21" ht="22" customHeight="1">
      <c r="B21" s="8" t="inlineStr">
        <is>
          <t>INC/2025/016</t>
        </is>
      </c>
      <c r="C21" s="9" t="inlineStr"/>
      <c r="D21" s="9" t="inlineStr"/>
      <c r="E21" s="10" t="inlineStr">
        <is>
          <t>GreenTech</t>
        </is>
      </c>
      <c r="F21" s="10" t="inlineStr"/>
      <c r="G21" s="10" t="inlineStr"/>
      <c r="H21" s="10" t="inlineStr"/>
      <c r="I21" s="10" t="inlineStr">
        <is>
          <t>Growth</t>
        </is>
      </c>
      <c r="J21" s="10" t="inlineStr"/>
    </row>
    <row r="22" ht="22" customHeight="1">
      <c r="B22" s="14" t="inlineStr">
        <is>
          <t>INC/2025/017</t>
        </is>
      </c>
      <c r="C22" s="15" t="inlineStr"/>
      <c r="D22" s="15" t="inlineStr"/>
      <c r="E22" s="16" t="inlineStr">
        <is>
          <t>MedTech</t>
        </is>
      </c>
      <c r="F22" s="16" t="inlineStr"/>
      <c r="G22" s="16" t="inlineStr"/>
      <c r="H22" s="16" t="inlineStr"/>
      <c r="I22" s="16" t="inlineStr">
        <is>
          <t>Graduated</t>
        </is>
      </c>
      <c r="J22" s="16" t="inlineStr"/>
    </row>
    <row r="23" ht="22" customHeight="1">
      <c r="B23" s="8" t="inlineStr">
        <is>
          <t>INC/2025/018</t>
        </is>
      </c>
      <c r="C23" s="9" t="inlineStr"/>
      <c r="D23" s="9" t="inlineStr"/>
      <c r="E23" s="10" t="inlineStr">
        <is>
          <t>AI/ML</t>
        </is>
      </c>
      <c r="F23" s="10" t="inlineStr"/>
      <c r="G23" s="10" t="inlineStr"/>
      <c r="H23" s="10" t="inlineStr"/>
      <c r="I23" s="10" t="inlineStr">
        <is>
          <t>On Hold</t>
        </is>
      </c>
      <c r="J23" s="10" t="inlineStr"/>
    </row>
    <row r="24" ht="22" customHeight="1"/>
    <row r="25" ht="24" customHeight="1">
      <c r="B25" s="34" t="inlineStr">
        <is>
          <t>FACILITY UTILISATION SUMMARY</t>
        </is>
      </c>
    </row>
    <row r="26" ht="22" customHeight="1">
      <c r="B26" s="30" t="inlineStr">
        <is>
          <t>Facility / Resource</t>
        </is>
      </c>
      <c r="C26" s="30" t="inlineStr">
        <is>
          <t>Total Capacity</t>
        </is>
      </c>
      <c r="D26" s="30" t="inlineStr">
        <is>
          <t>Currently
Occupied</t>
        </is>
      </c>
      <c r="E26" s="30" t="inlineStr">
        <is>
          <t>Utilisation %</t>
        </is>
      </c>
      <c r="F26" s="30" t="inlineStr">
        <is>
          <t>Available</t>
        </is>
      </c>
      <c r="G26" s="30" t="inlineStr">
        <is>
          <t>Waiting List</t>
        </is>
      </c>
      <c r="H26" s="30" t="inlineStr">
        <is>
          <t>Revenue
(₹ pm)</t>
        </is>
      </c>
      <c r="I26" s="30" t="inlineStr">
        <is>
          <t>Status</t>
        </is>
      </c>
      <c r="J26" s="30" t="inlineStr">
        <is>
          <t>Remarks</t>
        </is>
      </c>
    </row>
    <row r="27" ht="22" customHeight="1">
      <c r="B27" s="35" t="inlineStr">
        <is>
          <t>Dedicated Workstations</t>
        </is>
      </c>
      <c r="C27" s="33" t="inlineStr"/>
      <c r="D27" s="33" t="inlineStr"/>
      <c r="E27" s="33">
        <f>IFERROR(ROUND(D27/C27*100,1),"")</f>
        <v/>
      </c>
      <c r="F27" s="33">
        <f>IFERROR(C27-D27,"")</f>
        <v/>
      </c>
      <c r="G27" s="33" t="inlineStr"/>
      <c r="H27" s="33" t="inlineStr"/>
      <c r="I27" s="33" t="inlineStr"/>
      <c r="J27" s="32" t="inlineStr"/>
    </row>
    <row r="28" ht="22" customHeight="1">
      <c r="B28" s="25" t="inlineStr">
        <is>
          <t>Hot Desks</t>
        </is>
      </c>
      <c r="C28" s="10" t="inlineStr"/>
      <c r="D28" s="10" t="inlineStr"/>
      <c r="E28" s="10">
        <f>IFERROR(ROUND(D28/C28*100,1),"")</f>
        <v/>
      </c>
      <c r="F28" s="10">
        <f>IFERROR(C28-D28,"")</f>
        <v/>
      </c>
      <c r="G28" s="10" t="inlineStr"/>
      <c r="H28" s="10" t="inlineStr"/>
      <c r="I28" s="10" t="inlineStr"/>
      <c r="J28" s="9" t="inlineStr"/>
    </row>
    <row r="29" ht="22" customHeight="1">
      <c r="B29" s="35" t="inlineStr">
        <is>
          <t>Meeting / Conference Room (hrs)</t>
        </is>
      </c>
      <c r="C29" s="33" t="inlineStr"/>
      <c r="D29" s="33" t="inlineStr"/>
      <c r="E29" s="33">
        <f>IFERROR(ROUND(D29/C29*100,1),"")</f>
        <v/>
      </c>
      <c r="F29" s="33">
        <f>IFERROR(C29-D29,"")</f>
        <v/>
      </c>
      <c r="G29" s="33" t="inlineStr"/>
      <c r="H29" s="33" t="inlineStr"/>
      <c r="I29" s="33" t="inlineStr"/>
      <c r="J29" s="32" t="inlineStr"/>
    </row>
    <row r="30" ht="22" customHeight="1">
      <c r="B30" s="25" t="inlineStr">
        <is>
          <t>Prototype Lab (slots)</t>
        </is>
      </c>
      <c r="C30" s="10" t="inlineStr"/>
      <c r="D30" s="10" t="inlineStr"/>
      <c r="E30" s="10">
        <f>IFERROR(ROUND(D30/C30*100,1),"")</f>
        <v/>
      </c>
      <c r="F30" s="10">
        <f>IFERROR(C30-D30,"")</f>
        <v/>
      </c>
      <c r="G30" s="10" t="inlineStr"/>
      <c r="H30" s="10" t="inlineStr"/>
      <c r="I30" s="10" t="inlineStr"/>
      <c r="J30" s="9" t="inlineStr"/>
    </row>
    <row r="31" ht="22" customHeight="1">
      <c r="B31" s="35" t="inlineStr">
        <is>
          <t>3D Printer / Makerspace</t>
        </is>
      </c>
      <c r="C31" s="33" t="inlineStr"/>
      <c r="D31" s="33" t="inlineStr"/>
      <c r="E31" s="33">
        <f>IFERROR(ROUND(D31/C31*100,1),"")</f>
        <v/>
      </c>
      <c r="F31" s="33">
        <f>IFERROR(C31-D31,"")</f>
        <v/>
      </c>
      <c r="G31" s="33" t="inlineStr"/>
      <c r="H31" s="33" t="inlineStr"/>
      <c r="I31" s="33" t="inlineStr"/>
      <c r="J31" s="32" t="inlineStr"/>
    </row>
    <row r="32" ht="22" customHeight="1">
      <c r="B32" s="25" t="inlineStr">
        <is>
          <t>Co-working Area (seats)</t>
        </is>
      </c>
      <c r="C32" s="10" t="inlineStr"/>
      <c r="D32" s="10" t="inlineStr"/>
      <c r="E32" s="10">
        <f>IFERROR(ROUND(D32/C32*100,1),"")</f>
        <v/>
      </c>
      <c r="F32" s="10">
        <f>IFERROR(C32-D32,"")</f>
        <v/>
      </c>
      <c r="G32" s="10" t="inlineStr"/>
      <c r="H32" s="10" t="inlineStr"/>
      <c r="I32" s="10" t="inlineStr"/>
      <c r="J32" s="9" t="inlineStr"/>
    </row>
    <row r="33" ht="22" customHeight="1">
      <c r="B33" s="35" t="inlineStr">
        <is>
          <t>Virtual Incubation Slots</t>
        </is>
      </c>
      <c r="C33" s="33" t="inlineStr"/>
      <c r="D33" s="33" t="inlineStr"/>
      <c r="E33" s="33">
        <f>IFERROR(ROUND(D33/C33*100,1),"")</f>
        <v/>
      </c>
      <c r="F33" s="33">
        <f>IFERROR(C33-D33,"")</f>
        <v/>
      </c>
      <c r="G33" s="33" t="inlineStr"/>
      <c r="H33" s="33" t="inlineStr"/>
      <c r="I33" s="33" t="inlineStr"/>
      <c r="J33" s="32" t="inlineStr"/>
    </row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">
    <mergeCell ref="B4:J4"/>
    <mergeCell ref="B25:J25"/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2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0" customHeight="1"/>
    <row r="2" ht="48" customHeight="1">
      <c r="B2" s="12" t="inlineStr">
        <is>
          <t>EDC-06: MENTOR &amp; EXPERT PANEL REGISTER</t>
        </is>
      </c>
    </row>
    <row r="3" ht="25" customHeight="1">
      <c r="B3" s="2" t="inlineStr">
        <is>
          <t>A.Y.: _______  EDC Coordinator: ___________________  Mentorship Coordinator: ___________________</t>
        </is>
      </c>
    </row>
    <row r="4" ht="25" customHeight="1">
      <c r="B4" s="13" t="inlineStr">
        <is>
          <t>Mentor
Ref.</t>
        </is>
      </c>
      <c r="C4" s="13" t="inlineStr">
        <is>
          <t>Mentor Name</t>
        </is>
      </c>
      <c r="D4" s="13" t="inlineStr">
        <is>
          <t>Organisation / Designation</t>
        </is>
      </c>
      <c r="E4" s="13" t="inlineStr">
        <is>
          <t>Domain Expertise</t>
        </is>
      </c>
      <c r="F4" s="13" t="inlineStr">
        <is>
          <t>Mentor Type</t>
        </is>
      </c>
      <c r="G4" s="13" t="inlineStr">
        <is>
          <t>Sessions
Held</t>
        </is>
      </c>
      <c r="H4" s="13" t="inlineStr">
        <is>
          <t>Startups
Mentored</t>
        </is>
      </c>
      <c r="I4" s="13" t="inlineStr">
        <is>
          <t>Availability
(hrs/month)</t>
        </is>
      </c>
      <c r="J4" s="13" t="inlineStr">
        <is>
          <t>Status</t>
        </is>
      </c>
    </row>
    <row r="5" ht="22" customHeight="1">
      <c r="B5" s="14" t="inlineStr">
        <is>
          <t>MNT/001</t>
        </is>
      </c>
      <c r="C5" s="15" t="inlineStr"/>
      <c r="D5" s="15" t="inlineStr"/>
      <c r="E5" s="16" t="inlineStr">
        <is>
          <t>Domain Expert</t>
        </is>
      </c>
      <c r="F5" s="16" t="inlineStr">
        <is>
          <t>Domain Expert</t>
        </is>
      </c>
      <c r="G5" s="16" t="inlineStr"/>
      <c r="H5" s="16" t="inlineStr"/>
      <c r="I5" s="16" t="inlineStr"/>
      <c r="J5" s="16" t="inlineStr">
        <is>
          <t>Active</t>
        </is>
      </c>
    </row>
    <row r="6" ht="22" customHeight="1">
      <c r="B6" s="8" t="inlineStr">
        <is>
          <t>MNT/002</t>
        </is>
      </c>
      <c r="C6" s="9" t="inlineStr"/>
      <c r="D6" s="9" t="inlineStr"/>
      <c r="E6" s="10" t="inlineStr">
        <is>
          <t>Investor / VC</t>
        </is>
      </c>
      <c r="F6" s="10" t="inlineStr">
        <is>
          <t>Investor</t>
        </is>
      </c>
      <c r="G6" s="10" t="inlineStr"/>
      <c r="H6" s="10" t="inlineStr"/>
      <c r="I6" s="10" t="inlineStr"/>
      <c r="J6" s="10" t="inlineStr">
        <is>
          <t>Active</t>
        </is>
      </c>
    </row>
    <row r="7" ht="22" customHeight="1">
      <c r="B7" s="14" t="inlineStr">
        <is>
          <t>MNT/003</t>
        </is>
      </c>
      <c r="C7" s="15" t="inlineStr"/>
      <c r="D7" s="15" t="inlineStr"/>
      <c r="E7" s="16" t="inlineStr">
        <is>
          <t>Serial Entrepreneur</t>
        </is>
      </c>
      <c r="F7" s="16" t="inlineStr">
        <is>
          <t>Serial Entrepreneur</t>
        </is>
      </c>
      <c r="G7" s="16" t="inlineStr"/>
      <c r="H7" s="16" t="inlineStr"/>
      <c r="I7" s="16" t="inlineStr"/>
      <c r="J7" s="16" t="inlineStr">
        <is>
          <t>Active</t>
        </is>
      </c>
    </row>
    <row r="8" ht="22" customHeight="1">
      <c r="B8" s="8" t="inlineStr">
        <is>
          <t>MNT/004</t>
        </is>
      </c>
      <c r="C8" s="9" t="inlineStr"/>
      <c r="D8" s="9" t="inlineStr"/>
      <c r="E8" s="10" t="inlineStr">
        <is>
          <t>Legal / IPR Expert</t>
        </is>
      </c>
      <c r="F8" s="10" t="inlineStr">
        <is>
          <t>Legal</t>
        </is>
      </c>
      <c r="G8" s="10" t="inlineStr"/>
      <c r="H8" s="10" t="inlineStr"/>
      <c r="I8" s="10" t="inlineStr"/>
      <c r="J8" s="10" t="inlineStr">
        <is>
          <t>Active</t>
        </is>
      </c>
    </row>
    <row r="9" ht="22" customHeight="1">
      <c r="B9" s="14" t="inlineStr">
        <is>
          <t>MNT/005</t>
        </is>
      </c>
      <c r="C9" s="15" t="inlineStr"/>
      <c r="D9" s="15" t="inlineStr"/>
      <c r="E9" s="16" t="inlineStr">
        <is>
          <t>Marketing Expert</t>
        </is>
      </c>
      <c r="F9" s="16" t="inlineStr">
        <is>
          <t>Marketing Expert</t>
        </is>
      </c>
      <c r="G9" s="16" t="inlineStr"/>
      <c r="H9" s="16" t="inlineStr"/>
      <c r="I9" s="16" t="inlineStr"/>
      <c r="J9" s="16" t="inlineStr">
        <is>
          <t>Active</t>
        </is>
      </c>
    </row>
    <row r="10" ht="22" customHeight="1">
      <c r="B10" s="8" t="inlineStr">
        <is>
          <t>MNT/006</t>
        </is>
      </c>
      <c r="C10" s="9" t="inlineStr"/>
      <c r="D10" s="9" t="inlineStr"/>
      <c r="E10" s="10" t="inlineStr">
        <is>
          <t>Technology Architect</t>
        </is>
      </c>
      <c r="F10" s="10" t="inlineStr">
        <is>
          <t>Technology Architect</t>
        </is>
      </c>
      <c r="G10" s="10" t="inlineStr"/>
      <c r="H10" s="10" t="inlineStr"/>
      <c r="I10" s="10" t="inlineStr"/>
      <c r="J10" s="10" t="inlineStr">
        <is>
          <t>Active</t>
        </is>
      </c>
    </row>
    <row r="11" ht="22" customHeight="1">
      <c r="B11" s="14" t="inlineStr">
        <is>
          <t>MNT/007</t>
        </is>
      </c>
      <c r="C11" s="15" t="inlineStr"/>
      <c r="D11" s="15" t="inlineStr"/>
      <c r="E11" s="16" t="inlineStr">
        <is>
          <t>Finance / CA</t>
        </is>
      </c>
      <c r="F11" s="16" t="inlineStr">
        <is>
          <t>Finance</t>
        </is>
      </c>
      <c r="G11" s="16" t="inlineStr"/>
      <c r="H11" s="16" t="inlineStr"/>
      <c r="I11" s="16" t="inlineStr"/>
      <c r="J11" s="16" t="inlineStr">
        <is>
          <t>Active</t>
        </is>
      </c>
    </row>
    <row r="12" ht="22" customHeight="1">
      <c r="B12" s="8" t="inlineStr">
        <is>
          <t>MNT/008</t>
        </is>
      </c>
      <c r="C12" s="9" t="inlineStr"/>
      <c r="D12" s="9" t="inlineStr"/>
      <c r="E12" s="10" t="inlineStr">
        <is>
          <t>HR / Talent</t>
        </is>
      </c>
      <c r="F12" s="10" t="inlineStr">
        <is>
          <t>HR</t>
        </is>
      </c>
      <c r="G12" s="10" t="inlineStr"/>
      <c r="H12" s="10" t="inlineStr"/>
      <c r="I12" s="10" t="inlineStr"/>
      <c r="J12" s="10" t="inlineStr">
        <is>
          <t>Active</t>
        </is>
      </c>
    </row>
    <row r="13" ht="22" customHeight="1">
      <c r="B13" s="14" t="inlineStr">
        <is>
          <t>MNT/009</t>
        </is>
      </c>
      <c r="C13" s="15" t="inlineStr"/>
      <c r="D13" s="15" t="inlineStr"/>
      <c r="E13" s="16" t="inlineStr">
        <is>
          <t>Export / International</t>
        </is>
      </c>
      <c r="F13" s="16" t="inlineStr">
        <is>
          <t>Export</t>
        </is>
      </c>
      <c r="G13" s="16" t="inlineStr"/>
      <c r="H13" s="16" t="inlineStr"/>
      <c r="I13" s="16" t="inlineStr"/>
      <c r="J13" s="16" t="inlineStr">
        <is>
          <t>Active</t>
        </is>
      </c>
    </row>
    <row r="14" ht="22" customHeight="1">
      <c r="B14" s="8" t="inlineStr">
        <is>
          <t>MNT/010</t>
        </is>
      </c>
      <c r="C14" s="9" t="inlineStr"/>
      <c r="D14" s="9" t="inlineStr"/>
      <c r="E14" s="10" t="inlineStr">
        <is>
          <t>Social Impact</t>
        </is>
      </c>
      <c r="F14" s="10" t="inlineStr">
        <is>
          <t>Social Impact</t>
        </is>
      </c>
      <c r="G14" s="10" t="inlineStr"/>
      <c r="H14" s="10" t="inlineStr"/>
      <c r="I14" s="10" t="inlineStr"/>
      <c r="J14" s="10" t="inlineStr">
        <is>
          <t>Active</t>
        </is>
      </c>
    </row>
    <row r="15" ht="22" customHeight="1">
      <c r="B15" s="14" t="inlineStr">
        <is>
          <t>MNT/011</t>
        </is>
      </c>
      <c r="C15" s="15" t="inlineStr"/>
      <c r="D15" s="15" t="inlineStr"/>
      <c r="E15" s="16" t="inlineStr">
        <is>
          <t>Domain Expert</t>
        </is>
      </c>
      <c r="F15" s="16" t="inlineStr">
        <is>
          <t>Domain Expert</t>
        </is>
      </c>
      <c r="G15" s="16" t="inlineStr"/>
      <c r="H15" s="16" t="inlineStr"/>
      <c r="I15" s="16" t="inlineStr"/>
      <c r="J15" s="16" t="inlineStr">
        <is>
          <t>Active</t>
        </is>
      </c>
    </row>
    <row r="16" ht="22" customHeight="1">
      <c r="B16" s="8" t="inlineStr">
        <is>
          <t>MNT/012</t>
        </is>
      </c>
      <c r="C16" s="9" t="inlineStr"/>
      <c r="D16" s="9" t="inlineStr"/>
      <c r="E16" s="10" t="inlineStr">
        <is>
          <t>Investor / VC</t>
        </is>
      </c>
      <c r="F16" s="10" t="inlineStr">
        <is>
          <t>Investor</t>
        </is>
      </c>
      <c r="G16" s="10" t="inlineStr"/>
      <c r="H16" s="10" t="inlineStr"/>
      <c r="I16" s="10" t="inlineStr"/>
      <c r="J16" s="10" t="inlineStr">
        <is>
          <t>Active</t>
        </is>
      </c>
    </row>
    <row r="17" ht="22" customHeight="1">
      <c r="B17" s="14" t="inlineStr">
        <is>
          <t>MNT/013</t>
        </is>
      </c>
      <c r="C17" s="15" t="inlineStr"/>
      <c r="D17" s="15" t="inlineStr"/>
      <c r="E17" s="16" t="inlineStr">
        <is>
          <t>Serial Entrepreneur</t>
        </is>
      </c>
      <c r="F17" s="16" t="inlineStr">
        <is>
          <t>Serial Entrepreneur</t>
        </is>
      </c>
      <c r="G17" s="16" t="inlineStr"/>
      <c r="H17" s="16" t="inlineStr"/>
      <c r="I17" s="16" t="inlineStr"/>
      <c r="J17" s="16" t="inlineStr">
        <is>
          <t>Active</t>
        </is>
      </c>
    </row>
    <row r="18" ht="22" customHeight="1">
      <c r="B18" s="8" t="inlineStr">
        <is>
          <t>MNT/014</t>
        </is>
      </c>
      <c r="C18" s="9" t="inlineStr"/>
      <c r="D18" s="9" t="inlineStr"/>
      <c r="E18" s="10" t="inlineStr">
        <is>
          <t>Legal / IPR Expert</t>
        </is>
      </c>
      <c r="F18" s="10" t="inlineStr">
        <is>
          <t>Legal</t>
        </is>
      </c>
      <c r="G18" s="10" t="inlineStr"/>
      <c r="H18" s="10" t="inlineStr"/>
      <c r="I18" s="10" t="inlineStr"/>
      <c r="J18" s="10" t="inlineStr">
        <is>
          <t>Active</t>
        </is>
      </c>
    </row>
    <row r="19" ht="22" customHeight="1">
      <c r="B19" s="14" t="inlineStr">
        <is>
          <t>MNT/015</t>
        </is>
      </c>
      <c r="C19" s="15" t="inlineStr"/>
      <c r="D19" s="15" t="inlineStr"/>
      <c r="E19" s="16" t="inlineStr">
        <is>
          <t>Marketing Expert</t>
        </is>
      </c>
      <c r="F19" s="16" t="inlineStr">
        <is>
          <t>Marketing Expert</t>
        </is>
      </c>
      <c r="G19" s="16" t="inlineStr"/>
      <c r="H19" s="16" t="inlineStr"/>
      <c r="I19" s="16" t="inlineStr"/>
      <c r="J19" s="16" t="inlineStr">
        <is>
          <t>Active</t>
        </is>
      </c>
    </row>
    <row r="20" ht="22" customHeight="1">
      <c r="B20" s="8" t="inlineStr">
        <is>
          <t>MNT/016</t>
        </is>
      </c>
      <c r="C20" s="9" t="inlineStr"/>
      <c r="D20" s="9" t="inlineStr"/>
      <c r="E20" s="10" t="inlineStr">
        <is>
          <t>Technology Architect</t>
        </is>
      </c>
      <c r="F20" s="10" t="inlineStr">
        <is>
          <t>Technology Architect</t>
        </is>
      </c>
      <c r="G20" s="10" t="inlineStr"/>
      <c r="H20" s="10" t="inlineStr"/>
      <c r="I20" s="10" t="inlineStr"/>
      <c r="J20" s="10" t="inlineStr">
        <is>
          <t>Active</t>
        </is>
      </c>
    </row>
    <row r="21" ht="22" customHeight="1">
      <c r="B21" s="14" t="inlineStr">
        <is>
          <t>MNT/017</t>
        </is>
      </c>
      <c r="C21" s="15" t="inlineStr"/>
      <c r="D21" s="15" t="inlineStr"/>
      <c r="E21" s="16" t="inlineStr">
        <is>
          <t>Finance / CA</t>
        </is>
      </c>
      <c r="F21" s="16" t="inlineStr">
        <is>
          <t>Finance</t>
        </is>
      </c>
      <c r="G21" s="16" t="inlineStr"/>
      <c r="H21" s="16" t="inlineStr"/>
      <c r="I21" s="16" t="inlineStr"/>
      <c r="J21" s="16" t="inlineStr">
        <is>
          <t>Active</t>
        </is>
      </c>
    </row>
    <row r="22" ht="22" customHeight="1">
      <c r="B22" s="8" t="inlineStr">
        <is>
          <t>MNT/018</t>
        </is>
      </c>
      <c r="C22" s="9" t="inlineStr"/>
      <c r="D22" s="9" t="inlineStr"/>
      <c r="E22" s="10" t="inlineStr">
        <is>
          <t>HR / Talent</t>
        </is>
      </c>
      <c r="F22" s="10" t="inlineStr">
        <is>
          <t>HR</t>
        </is>
      </c>
      <c r="G22" s="10" t="inlineStr"/>
      <c r="H22" s="10" t="inlineStr"/>
      <c r="I22" s="10" t="inlineStr"/>
      <c r="J22" s="10" t="inlineStr">
        <is>
          <t>Active</t>
        </is>
      </c>
    </row>
    <row r="23" ht="22" customHeight="1">
      <c r="B23" s="14" t="inlineStr">
        <is>
          <t>MNT/019</t>
        </is>
      </c>
      <c r="C23" s="15" t="inlineStr"/>
      <c r="D23" s="15" t="inlineStr"/>
      <c r="E23" s="16" t="inlineStr">
        <is>
          <t>Export / International</t>
        </is>
      </c>
      <c r="F23" s="16" t="inlineStr">
        <is>
          <t>Export</t>
        </is>
      </c>
      <c r="G23" s="16" t="inlineStr"/>
      <c r="H23" s="16" t="inlineStr"/>
      <c r="I23" s="16" t="inlineStr"/>
      <c r="J23" s="16" t="inlineStr">
        <is>
          <t>Active</t>
        </is>
      </c>
    </row>
    <row r="24" ht="22" customHeight="1">
      <c r="B24" s="8" t="inlineStr">
        <is>
          <t>MNT/020</t>
        </is>
      </c>
      <c r="C24" s="9" t="inlineStr"/>
      <c r="D24" s="9" t="inlineStr"/>
      <c r="E24" s="10" t="inlineStr">
        <is>
          <t>Social Impact</t>
        </is>
      </c>
      <c r="F24" s="10" t="inlineStr">
        <is>
          <t>Social Impact</t>
        </is>
      </c>
      <c r="G24" s="10" t="inlineStr"/>
      <c r="H24" s="10" t="inlineStr"/>
      <c r="I24" s="10" t="inlineStr"/>
      <c r="J24" s="10" t="inlineStr">
        <is>
          <t>Active</t>
        </is>
      </c>
    </row>
    <row r="25" ht="22" customHeight="1">
      <c r="B25" s="14" t="inlineStr">
        <is>
          <t>MNT/021</t>
        </is>
      </c>
      <c r="C25" s="15" t="inlineStr"/>
      <c r="D25" s="15" t="inlineStr"/>
      <c r="E25" s="16" t="inlineStr">
        <is>
          <t>Domain Expert</t>
        </is>
      </c>
      <c r="F25" s="16" t="inlineStr">
        <is>
          <t>Domain Expert</t>
        </is>
      </c>
      <c r="G25" s="16" t="inlineStr"/>
      <c r="H25" s="16" t="inlineStr"/>
      <c r="I25" s="16" t="inlineStr"/>
      <c r="J25" s="16" t="inlineStr">
        <is>
          <t>Active</t>
        </is>
      </c>
    </row>
    <row r="26" ht="22" customHeight="1">
      <c r="B26" s="8" t="inlineStr">
        <is>
          <t>MNT/022</t>
        </is>
      </c>
      <c r="C26" s="9" t="inlineStr"/>
      <c r="D26" s="9" t="inlineStr"/>
      <c r="E26" s="10" t="inlineStr">
        <is>
          <t>Investor / VC</t>
        </is>
      </c>
      <c r="F26" s="10" t="inlineStr">
        <is>
          <t>Investor</t>
        </is>
      </c>
      <c r="G26" s="10" t="inlineStr"/>
      <c r="H26" s="10" t="inlineStr"/>
      <c r="I26" s="10" t="inlineStr"/>
      <c r="J26" s="10" t="inlineStr">
        <is>
          <t>Active</t>
        </is>
      </c>
    </row>
    <row r="27" ht="22" customHeight="1"/>
    <row r="28" ht="24" customHeight="1">
      <c r="B28" s="34" t="inlineStr">
        <is>
          <t>MENTOR ENGAGEMENT SUMMARY</t>
        </is>
      </c>
    </row>
    <row r="29" ht="22" customHeight="1">
      <c r="B29" s="30" t="inlineStr">
        <is>
          <t>Mentor Type</t>
        </is>
      </c>
      <c r="C29" s="30" t="inlineStr">
        <is>
          <t>No. of Mentors</t>
        </is>
      </c>
      <c r="D29" s="30" t="inlineStr">
        <is>
          <t>Total Sessions
Held</t>
        </is>
      </c>
      <c r="E29" s="30" t="inlineStr">
        <is>
          <t>Startups
Mentored</t>
        </is>
      </c>
      <c r="F29" s="30" t="inlineStr">
        <is>
          <t>Avg. Rating
(/5)</t>
        </is>
      </c>
      <c r="G29" s="30" t="inlineStr">
        <is>
          <t>Hours
Contributed</t>
        </is>
      </c>
    </row>
    <row r="30" ht="22" customHeight="1">
      <c r="B30" s="35" t="inlineStr">
        <is>
          <t>Domain Expert</t>
        </is>
      </c>
      <c r="C30" s="33" t="inlineStr"/>
      <c r="D30" s="33" t="inlineStr"/>
      <c r="E30" s="33" t="inlineStr"/>
      <c r="F30" s="33" t="inlineStr"/>
      <c r="G30" s="33" t="inlineStr"/>
      <c r="H30" s="51" t="n"/>
      <c r="I30" s="51" t="n"/>
      <c r="J30" s="51" t="n"/>
    </row>
    <row r="31" ht="22" customHeight="1">
      <c r="B31" s="25" t="inlineStr">
        <is>
          <t>Investor / VC</t>
        </is>
      </c>
      <c r="C31" s="10" t="inlineStr"/>
      <c r="D31" s="10" t="inlineStr"/>
      <c r="E31" s="10" t="inlineStr"/>
      <c r="F31" s="10" t="inlineStr"/>
      <c r="G31" s="10" t="inlineStr"/>
      <c r="H31" s="52" t="n"/>
      <c r="I31" s="52" t="n"/>
      <c r="J31" s="52" t="n"/>
    </row>
    <row r="32" ht="22" customHeight="1">
      <c r="B32" s="35" t="inlineStr">
        <is>
          <t>Serial Entrepreneur</t>
        </is>
      </c>
      <c r="C32" s="33" t="inlineStr"/>
      <c r="D32" s="33" t="inlineStr"/>
      <c r="E32" s="33" t="inlineStr"/>
      <c r="F32" s="33" t="inlineStr"/>
      <c r="G32" s="33" t="inlineStr"/>
      <c r="H32" s="51" t="n"/>
      <c r="I32" s="51" t="n"/>
      <c r="J32" s="51" t="n"/>
    </row>
    <row r="33" ht="22" customHeight="1">
      <c r="B33" s="25" t="inlineStr">
        <is>
          <t>Legal / IPR Expert</t>
        </is>
      </c>
      <c r="C33" s="10" t="inlineStr"/>
      <c r="D33" s="10" t="inlineStr"/>
      <c r="E33" s="10" t="inlineStr"/>
      <c r="F33" s="10" t="inlineStr"/>
      <c r="G33" s="10" t="inlineStr"/>
      <c r="H33" s="52" t="n"/>
      <c r="I33" s="52" t="n"/>
      <c r="J33" s="52" t="n"/>
    </row>
    <row r="34" ht="22" customHeight="1">
      <c r="B34" s="35" t="inlineStr">
        <is>
          <t>Marketing Expert</t>
        </is>
      </c>
      <c r="C34" s="33" t="inlineStr"/>
      <c r="D34" s="33" t="inlineStr"/>
      <c r="E34" s="33" t="inlineStr"/>
      <c r="F34" s="33" t="inlineStr"/>
      <c r="G34" s="33" t="inlineStr"/>
      <c r="H34" s="51" t="n"/>
      <c r="I34" s="51" t="n"/>
      <c r="J34" s="51" t="n"/>
    </row>
    <row r="35" ht="22" customHeight="1">
      <c r="B35" s="25" t="inlineStr">
        <is>
          <t>Technology Architect</t>
        </is>
      </c>
      <c r="C35" s="10" t="inlineStr"/>
      <c r="D35" s="10" t="inlineStr"/>
      <c r="E35" s="10" t="inlineStr"/>
      <c r="F35" s="10" t="inlineStr"/>
      <c r="G35" s="10" t="inlineStr"/>
      <c r="H35" s="52" t="n"/>
      <c r="I35" s="52" t="n"/>
      <c r="J35" s="52" t="n"/>
    </row>
    <row r="36">
      <c r="B36" s="35" t="inlineStr">
        <is>
          <t>Finance / CA</t>
        </is>
      </c>
      <c r="C36" s="33" t="inlineStr"/>
      <c r="D36" s="33" t="inlineStr"/>
      <c r="E36" s="33" t="inlineStr"/>
      <c r="F36" s="33" t="inlineStr"/>
      <c r="G36" s="33" t="inlineStr"/>
      <c r="H36" s="51" t="n"/>
      <c r="I36" s="51" t="n"/>
      <c r="J36" s="51" t="n"/>
    </row>
  </sheetData>
  <mergeCells count="3">
    <mergeCell ref="B28:J28"/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EDC-08: ENTREPRENEURSHIP AWARENESS EVENT REGISTER</t>
        </is>
      </c>
    </row>
    <row r="3" ht="25" customHeight="1">
      <c r="B3" s="2" t="inlineStr">
        <is>
          <t>A.Y.: _______  EDC Events Coordinator: ___________________</t>
        </is>
      </c>
    </row>
    <row r="4" ht="25" customHeight="1">
      <c r="B4" s="13" t="inlineStr">
        <is>
          <t>Event
Ref.</t>
        </is>
      </c>
      <c r="C4" s="13" t="inlineStr">
        <is>
          <t>Event Title</t>
        </is>
      </c>
      <c r="D4" s="13" t="inlineStr">
        <is>
          <t>Type / Category</t>
        </is>
      </c>
      <c r="E4" s="13" t="inlineStr">
        <is>
          <t>Date(s)</t>
        </is>
      </c>
      <c r="F4" s="13" t="inlineStr">
        <is>
          <t>Mode</t>
        </is>
      </c>
      <c r="G4" s="13" t="inlineStr">
        <is>
          <t>Resource Person</t>
        </is>
      </c>
      <c r="H4" s="13" t="inlineStr">
        <is>
          <t>Participants
Registered</t>
        </is>
      </c>
      <c r="I4" s="13" t="inlineStr">
        <is>
          <t>Participants
Attended</t>
        </is>
      </c>
      <c r="J4" s="13" t="inlineStr">
        <is>
          <t>Feedback
Score (/5)</t>
        </is>
      </c>
    </row>
    <row r="5" ht="22" customHeight="1">
      <c r="B5" s="14" t="inlineStr">
        <is>
          <t>EVT/2024/001</t>
        </is>
      </c>
      <c r="C5" s="15" t="inlineStr"/>
      <c r="D5" s="16" t="inlineStr">
        <is>
          <t>Business Plan Workshop</t>
        </is>
      </c>
      <c r="E5" s="16" t="inlineStr"/>
      <c r="F5" s="16" t="inlineStr">
        <is>
          <t>Physical</t>
        </is>
      </c>
      <c r="G5" s="16" t="inlineStr"/>
      <c r="H5" s="16" t="inlineStr"/>
      <c r="I5" s="16" t="inlineStr"/>
      <c r="J5" s="16" t="inlineStr"/>
    </row>
    <row r="6" ht="22" customHeight="1">
      <c r="B6" s="8" t="inlineStr">
        <is>
          <t>EVT/2024/002</t>
        </is>
      </c>
      <c r="C6" s="9" t="inlineStr"/>
      <c r="D6" s="10" t="inlineStr">
        <is>
          <t>Startup Pitch Bootcamp</t>
        </is>
      </c>
      <c r="E6" s="10" t="inlineStr"/>
      <c r="F6" s="10" t="inlineStr">
        <is>
          <t>Physical</t>
        </is>
      </c>
      <c r="G6" s="10" t="inlineStr"/>
      <c r="H6" s="10" t="inlineStr"/>
      <c r="I6" s="10" t="inlineStr"/>
      <c r="J6" s="10" t="inlineStr"/>
    </row>
    <row r="7" ht="22" customHeight="1">
      <c r="B7" s="14" t="inlineStr">
        <is>
          <t>EVT/2024/003</t>
        </is>
      </c>
      <c r="C7" s="15" t="inlineStr"/>
      <c r="D7" s="16" t="inlineStr">
        <is>
          <t>Hackathon</t>
        </is>
      </c>
      <c r="E7" s="16" t="inlineStr"/>
      <c r="F7" s="16" t="inlineStr">
        <is>
          <t>Physical</t>
        </is>
      </c>
      <c r="G7" s="16" t="inlineStr"/>
      <c r="H7" s="16" t="inlineStr"/>
      <c r="I7" s="16" t="inlineStr"/>
      <c r="J7" s="16" t="inlineStr"/>
    </row>
    <row r="8" ht="22" customHeight="1">
      <c r="B8" s="8" t="inlineStr">
        <is>
          <t>EVT/2024/004</t>
        </is>
      </c>
      <c r="C8" s="9" t="inlineStr"/>
      <c r="D8" s="10" t="inlineStr">
        <is>
          <t>Innovation Challenge</t>
        </is>
      </c>
      <c r="E8" s="10" t="inlineStr"/>
      <c r="F8" s="10" t="inlineStr">
        <is>
          <t>Physical</t>
        </is>
      </c>
      <c r="G8" s="10" t="inlineStr"/>
      <c r="H8" s="10" t="inlineStr"/>
      <c r="I8" s="10" t="inlineStr"/>
      <c r="J8" s="10" t="inlineStr"/>
    </row>
    <row r="9" ht="22" customHeight="1">
      <c r="B9" s="14" t="inlineStr">
        <is>
          <t>EVT/2024/005</t>
        </is>
      </c>
      <c r="C9" s="15" t="inlineStr"/>
      <c r="D9" s="16" t="inlineStr">
        <is>
          <t>Guest Lecture — Entrepreneur</t>
        </is>
      </c>
      <c r="E9" s="16" t="inlineStr"/>
      <c r="F9" s="16" t="inlineStr">
        <is>
          <t>Physical</t>
        </is>
      </c>
      <c r="G9" s="16" t="inlineStr"/>
      <c r="H9" s="16" t="inlineStr"/>
      <c r="I9" s="16" t="inlineStr"/>
      <c r="J9" s="16" t="inlineStr"/>
    </row>
    <row r="10" ht="22" customHeight="1">
      <c r="B10" s="8" t="inlineStr">
        <is>
          <t>EVT/2024/006</t>
        </is>
      </c>
      <c r="C10" s="9" t="inlineStr"/>
      <c r="D10" s="10" t="inlineStr">
        <is>
          <t>Guest Lecture — Investor</t>
        </is>
      </c>
      <c r="E10" s="10" t="inlineStr"/>
      <c r="F10" s="10" t="inlineStr">
        <is>
          <t>Physical</t>
        </is>
      </c>
      <c r="G10" s="10" t="inlineStr"/>
      <c r="H10" s="10" t="inlineStr"/>
      <c r="I10" s="10" t="inlineStr"/>
      <c r="J10" s="10" t="inlineStr"/>
    </row>
    <row r="11" ht="22" customHeight="1">
      <c r="B11" s="14" t="inlineStr">
        <is>
          <t>EVT/2024/007</t>
        </is>
      </c>
      <c r="C11" s="15" t="inlineStr"/>
      <c r="D11" s="16" t="inlineStr">
        <is>
          <t>Industry Visit (Startup Park)</t>
        </is>
      </c>
      <c r="E11" s="16" t="inlineStr"/>
      <c r="F11" s="16" t="inlineStr">
        <is>
          <t>Physical</t>
        </is>
      </c>
      <c r="G11" s="16" t="inlineStr"/>
      <c r="H11" s="16" t="inlineStr"/>
      <c r="I11" s="16" t="inlineStr"/>
      <c r="J11" s="16" t="inlineStr"/>
    </row>
    <row r="12" ht="22" customHeight="1">
      <c r="B12" s="8" t="inlineStr">
        <is>
          <t>EVT/2024/008</t>
        </is>
      </c>
      <c r="C12" s="9" t="inlineStr"/>
      <c r="D12" s="10" t="inlineStr">
        <is>
          <t>National Entrepreneurship Week</t>
        </is>
      </c>
      <c r="E12" s="10" t="inlineStr"/>
      <c r="F12" s="10" t="inlineStr">
        <is>
          <t>Physical</t>
        </is>
      </c>
      <c r="G12" s="10" t="inlineStr"/>
      <c r="H12" s="10" t="inlineStr"/>
      <c r="I12" s="10" t="inlineStr"/>
      <c r="J12" s="10" t="inlineStr"/>
    </row>
    <row r="13" ht="22" customHeight="1">
      <c r="B13" s="14" t="inlineStr">
        <is>
          <t>EVT/2024/009</t>
        </is>
      </c>
      <c r="C13" s="15" t="inlineStr"/>
      <c r="D13" s="16" t="inlineStr">
        <is>
          <t>Startup Exhibition / Demo Day</t>
        </is>
      </c>
      <c r="E13" s="16" t="inlineStr"/>
      <c r="F13" s="16" t="inlineStr">
        <is>
          <t>Physical</t>
        </is>
      </c>
      <c r="G13" s="16" t="inlineStr"/>
      <c r="H13" s="16" t="inlineStr"/>
      <c r="I13" s="16" t="inlineStr"/>
      <c r="J13" s="16" t="inlineStr"/>
    </row>
    <row r="14" ht="22" customHeight="1">
      <c r="B14" s="8" t="inlineStr">
        <is>
          <t>EVT/2024/010</t>
        </is>
      </c>
      <c r="C14" s="9" t="inlineStr"/>
      <c r="D14" s="10" t="inlineStr">
        <is>
          <t>Design Thinking Workshop</t>
        </is>
      </c>
      <c r="E14" s="10" t="inlineStr"/>
      <c r="F14" s="10" t="inlineStr">
        <is>
          <t>Physical</t>
        </is>
      </c>
      <c r="G14" s="10" t="inlineStr"/>
      <c r="H14" s="10" t="inlineStr"/>
      <c r="I14" s="10" t="inlineStr"/>
      <c r="J14" s="10" t="inlineStr"/>
    </row>
    <row r="15" ht="22" customHeight="1">
      <c r="B15" s="14" t="inlineStr">
        <is>
          <t>EVT/2024/011</t>
        </is>
      </c>
      <c r="C15" s="15" t="inlineStr"/>
      <c r="D15" s="16" t="inlineStr">
        <is>
          <t>Lean Startup Methodology</t>
        </is>
      </c>
      <c r="E15" s="16" t="inlineStr"/>
      <c r="F15" s="16" t="inlineStr">
        <is>
          <t>Physical</t>
        </is>
      </c>
      <c r="G15" s="16" t="inlineStr"/>
      <c r="H15" s="16" t="inlineStr"/>
      <c r="I15" s="16" t="inlineStr"/>
      <c r="J15" s="16" t="inlineStr"/>
    </row>
    <row r="16" ht="22" customHeight="1">
      <c r="B16" s="8" t="inlineStr">
        <is>
          <t>EVT/2024/012</t>
        </is>
      </c>
      <c r="C16" s="9" t="inlineStr"/>
      <c r="D16" s="10" t="inlineStr">
        <is>
          <t>Social Entrepreneurship Programme</t>
        </is>
      </c>
      <c r="E16" s="10" t="inlineStr"/>
      <c r="F16" s="10" t="inlineStr">
        <is>
          <t>Physical</t>
        </is>
      </c>
      <c r="G16" s="10" t="inlineStr"/>
      <c r="H16" s="10" t="inlineStr"/>
      <c r="I16" s="10" t="inlineStr"/>
      <c r="J16" s="10" t="inlineStr"/>
    </row>
    <row r="17" ht="22" customHeight="1">
      <c r="B17" s="14" t="inlineStr">
        <is>
          <t>EVT/2024/013</t>
        </is>
      </c>
      <c r="C17" s="15" t="inlineStr"/>
      <c r="D17" s="16" t="inlineStr">
        <is>
          <t>IPR Awareness Session</t>
        </is>
      </c>
      <c r="E17" s="16" t="inlineStr"/>
      <c r="F17" s="16" t="inlineStr">
        <is>
          <t>Physical</t>
        </is>
      </c>
      <c r="G17" s="16" t="inlineStr"/>
      <c r="H17" s="16" t="inlineStr"/>
      <c r="I17" s="16" t="inlineStr"/>
      <c r="J17" s="16" t="inlineStr"/>
    </row>
    <row r="18" ht="22" customHeight="1">
      <c r="B18" s="8" t="inlineStr">
        <is>
          <t>EVT/2025/014</t>
        </is>
      </c>
      <c r="C18" s="9" t="inlineStr"/>
      <c r="D18" s="10" t="inlineStr">
        <is>
          <t>Legal &amp; Compliance Workshop</t>
        </is>
      </c>
      <c r="E18" s="10" t="inlineStr"/>
      <c r="F18" s="10" t="inlineStr">
        <is>
          <t>Physical</t>
        </is>
      </c>
      <c r="G18" s="10" t="inlineStr"/>
      <c r="H18" s="10" t="inlineStr"/>
      <c r="I18" s="10" t="inlineStr"/>
      <c r="J18" s="10" t="inlineStr"/>
    </row>
    <row r="19" ht="22" customHeight="1">
      <c r="B19" s="14" t="inlineStr">
        <is>
          <t>EVT/2025/015</t>
        </is>
      </c>
      <c r="C19" s="15" t="inlineStr"/>
      <c r="D19" s="16" t="inlineStr">
        <is>
          <t>Funding &amp; Investment Awareness</t>
        </is>
      </c>
      <c r="E19" s="16" t="inlineStr"/>
      <c r="F19" s="16" t="inlineStr">
        <is>
          <t>Physical</t>
        </is>
      </c>
      <c r="G19" s="16" t="inlineStr"/>
      <c r="H19" s="16" t="inlineStr"/>
      <c r="I19" s="16" t="inlineStr"/>
      <c r="J19" s="16" t="inlineStr"/>
    </row>
    <row r="20" ht="22" customHeight="1">
      <c r="B20" s="8" t="inlineStr">
        <is>
          <t>EVT/2025/016</t>
        </is>
      </c>
      <c r="C20" s="9" t="inlineStr"/>
      <c r="D20" s="10" t="inlineStr">
        <is>
          <t>Alumni Entrepreneur Talk</t>
        </is>
      </c>
      <c r="E20" s="10" t="inlineStr"/>
      <c r="F20" s="10" t="inlineStr">
        <is>
          <t>Physical</t>
        </is>
      </c>
      <c r="G20" s="10" t="inlineStr"/>
      <c r="H20" s="10" t="inlineStr"/>
      <c r="I20" s="10" t="inlineStr"/>
      <c r="J20" s="10" t="inlineStr"/>
    </row>
    <row r="21" ht="22" customHeight="1">
      <c r="B21" s="14" t="inlineStr">
        <is>
          <t>EVT/2025/017</t>
        </is>
      </c>
      <c r="C21" s="15" t="inlineStr"/>
      <c r="D21" s="16" t="inlineStr">
        <is>
          <t>Competition — Internal</t>
        </is>
      </c>
      <c r="E21" s="16" t="inlineStr"/>
      <c r="F21" s="16" t="inlineStr">
        <is>
          <t>Physical</t>
        </is>
      </c>
      <c r="G21" s="16" t="inlineStr"/>
      <c r="H21" s="16" t="inlineStr"/>
      <c r="I21" s="16" t="inlineStr"/>
      <c r="J21" s="16" t="inlineStr"/>
    </row>
    <row r="22" ht="22" customHeight="1">
      <c r="B22" s="8" t="inlineStr">
        <is>
          <t>EVT/2025/018</t>
        </is>
      </c>
      <c r="C22" s="9" t="inlineStr"/>
      <c r="D22" s="10" t="inlineStr">
        <is>
          <t>Competition — External</t>
        </is>
      </c>
      <c r="E22" s="10" t="inlineStr"/>
      <c r="F22" s="10" t="inlineStr">
        <is>
          <t>Physical</t>
        </is>
      </c>
      <c r="G22" s="10" t="inlineStr"/>
      <c r="H22" s="10" t="inlineStr"/>
      <c r="I22" s="10" t="inlineStr"/>
      <c r="J22" s="10" t="inlineStr"/>
    </row>
    <row r="23" ht="22" customHeight="1">
      <c r="B23" s="14" t="inlineStr">
        <is>
          <t>EVT/2025/019</t>
        </is>
      </c>
      <c r="C23" s="15" t="inlineStr"/>
      <c r="D23" s="16" t="inlineStr">
        <is>
          <t>E-Summit / E-Conclave</t>
        </is>
      </c>
      <c r="E23" s="16" t="inlineStr"/>
      <c r="F23" s="16" t="inlineStr">
        <is>
          <t>Physical</t>
        </is>
      </c>
      <c r="G23" s="16" t="inlineStr"/>
      <c r="H23" s="16" t="inlineStr"/>
      <c r="I23" s="16" t="inlineStr"/>
      <c r="J23" s="16" t="inlineStr"/>
    </row>
    <row r="24" ht="22" customHeight="1">
      <c r="B24" s="8" t="inlineStr">
        <is>
          <t>EVT/2025/020</t>
        </is>
      </c>
      <c r="C24" s="9" t="inlineStr"/>
      <c r="D24" s="10" t="inlineStr">
        <is>
          <t>Skill Workshop</t>
        </is>
      </c>
      <c r="E24" s="10" t="inlineStr"/>
      <c r="F24" s="10" t="inlineStr">
        <is>
          <t>Physical</t>
        </is>
      </c>
      <c r="G24" s="10" t="inlineStr"/>
      <c r="H24" s="10" t="inlineStr"/>
      <c r="I24" s="10" t="inlineStr"/>
      <c r="J24" s="10" t="inlineStr"/>
    </row>
    <row r="25" ht="22" customHeight="1">
      <c r="B25" s="14" t="inlineStr">
        <is>
          <t>EVT/2025/021</t>
        </is>
      </c>
      <c r="C25" s="15" t="inlineStr"/>
      <c r="D25" s="16" t="inlineStr">
        <is>
          <t>Business Plan Workshop</t>
        </is>
      </c>
      <c r="E25" s="16" t="inlineStr"/>
      <c r="F25" s="16" t="inlineStr">
        <is>
          <t>Physical</t>
        </is>
      </c>
      <c r="G25" s="16" t="inlineStr"/>
      <c r="H25" s="16" t="inlineStr"/>
      <c r="I25" s="16" t="inlineStr"/>
      <c r="J25" s="16" t="inlineStr"/>
    </row>
    <row r="26" ht="22" customHeight="1">
      <c r="B26" s="8" t="inlineStr">
        <is>
          <t>EVT/2025/022</t>
        </is>
      </c>
      <c r="C26" s="9" t="inlineStr"/>
      <c r="D26" s="10" t="inlineStr">
        <is>
          <t>Startup Pitch Bootcamp</t>
        </is>
      </c>
      <c r="E26" s="10" t="inlineStr"/>
      <c r="F26" s="10" t="inlineStr">
        <is>
          <t>Physical</t>
        </is>
      </c>
      <c r="G26" s="10" t="inlineStr"/>
      <c r="H26" s="10" t="inlineStr"/>
      <c r="I26" s="10" t="inlineStr"/>
      <c r="J26" s="10" t="inlineStr"/>
    </row>
    <row r="27" ht="22" customHeight="1">
      <c r="B27" s="14" t="inlineStr">
        <is>
          <t>EVT/2025/023</t>
        </is>
      </c>
      <c r="C27" s="15" t="inlineStr"/>
      <c r="D27" s="16" t="inlineStr">
        <is>
          <t>Hackathon</t>
        </is>
      </c>
      <c r="E27" s="16" t="inlineStr"/>
      <c r="F27" s="16" t="inlineStr">
        <is>
          <t>Physical</t>
        </is>
      </c>
      <c r="G27" s="16" t="inlineStr"/>
      <c r="H27" s="16" t="inlineStr"/>
      <c r="I27" s="16" t="inlineStr"/>
      <c r="J27" s="16" t="inlineStr"/>
    </row>
    <row r="28" ht="22" customHeight="1">
      <c r="B28" s="8" t="inlineStr">
        <is>
          <t>EVT/2025/024</t>
        </is>
      </c>
      <c r="C28" s="9" t="inlineStr"/>
      <c r="D28" s="10" t="inlineStr">
        <is>
          <t>Innovation Challenge</t>
        </is>
      </c>
      <c r="E28" s="10" t="inlineStr"/>
      <c r="F28" s="10" t="inlineStr">
        <is>
          <t>Physical</t>
        </is>
      </c>
      <c r="G28" s="10" t="inlineStr"/>
      <c r="H28" s="10" t="inlineStr"/>
      <c r="I28" s="10" t="inlineStr"/>
      <c r="J28" s="10" t="inlineStr"/>
    </row>
    <row r="29" ht="22" customHeight="1">
      <c r="B29" s="14" t="inlineStr">
        <is>
          <t>EVT/2025/025</t>
        </is>
      </c>
      <c r="C29" s="15" t="inlineStr"/>
      <c r="D29" s="16" t="inlineStr">
        <is>
          <t>Guest Lecture — Entrepreneur</t>
        </is>
      </c>
      <c r="E29" s="16" t="inlineStr"/>
      <c r="F29" s="16" t="inlineStr">
        <is>
          <t>Physical</t>
        </is>
      </c>
      <c r="G29" s="16" t="inlineStr"/>
      <c r="H29" s="16" t="inlineStr"/>
      <c r="I29" s="16" t="inlineStr"/>
      <c r="J29" s="16" t="inlineStr"/>
    </row>
    <row r="30" ht="22" customHeight="1"/>
    <row r="31" ht="24" customHeight="1">
      <c r="B31" s="34" t="inlineStr">
        <is>
          <t>EVENT CATEGORY SUMMARY</t>
        </is>
      </c>
    </row>
    <row r="32" ht="22" customHeight="1">
      <c r="B32" s="30" t="inlineStr">
        <is>
          <t>Event Type</t>
        </is>
      </c>
      <c r="C32" s="30" t="inlineStr">
        <is>
          <t>No. Events</t>
        </is>
      </c>
      <c r="D32" s="30" t="inlineStr">
        <is>
          <t>Total Participants</t>
        </is>
      </c>
      <c r="E32" s="30" t="inlineStr">
        <is>
          <t>Avg. Attendance</t>
        </is>
      </c>
      <c r="F32" s="30" t="inlineStr">
        <is>
          <t>Avg. Feedback
(/5)</t>
        </is>
      </c>
      <c r="G32" s="30" t="inlineStr">
        <is>
          <t>Budget Used
(₹L)</t>
        </is>
      </c>
      <c r="H32" s="30" t="inlineStr">
        <is>
          <t>Revenue
(₹L)</t>
        </is>
      </c>
    </row>
    <row r="33" ht="22" customHeight="1">
      <c r="B33" s="32" t="inlineStr">
        <is>
          <t>Workshops &amp; Training</t>
        </is>
      </c>
      <c r="C33" s="33" t="inlineStr"/>
      <c r="D33" s="33" t="inlineStr"/>
      <c r="E33" s="33" t="inlineStr"/>
      <c r="F33" s="33" t="inlineStr"/>
      <c r="G33" s="33" t="inlineStr"/>
      <c r="H33" s="33" t="inlineStr"/>
      <c r="I33" s="51" t="n"/>
      <c r="J33" s="51" t="n"/>
    </row>
    <row r="34" ht="22" customHeight="1">
      <c r="B34" s="9" t="inlineStr">
        <is>
          <t>Competitions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52" t="n"/>
      <c r="J34" s="52" t="n"/>
    </row>
    <row r="35" ht="22" customHeight="1">
      <c r="B35" s="32" t="inlineStr">
        <is>
          <t>Guest Lectures / Talks</t>
        </is>
      </c>
      <c r="C35" s="33" t="inlineStr"/>
      <c r="D35" s="33" t="inlineStr"/>
      <c r="E35" s="33" t="inlineStr"/>
      <c r="F35" s="33" t="inlineStr"/>
      <c r="G35" s="33" t="inlineStr"/>
      <c r="H35" s="33" t="inlineStr"/>
      <c r="I35" s="51" t="n"/>
      <c r="J35" s="51" t="n"/>
    </row>
    <row r="36" ht="22" customHeight="1">
      <c r="B36" s="9" t="inlineStr">
        <is>
          <t>Exhibitions &amp; Demo Days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52" t="n"/>
      <c r="J36" s="52" t="n"/>
    </row>
    <row r="37" ht="22" customHeight="1">
      <c r="B37" s="32" t="inlineStr">
        <is>
          <t>External Events</t>
        </is>
      </c>
      <c r="C37" s="33" t="inlineStr"/>
      <c r="D37" s="33" t="inlineStr"/>
      <c r="E37" s="33" t="inlineStr"/>
      <c r="F37" s="33" t="inlineStr"/>
      <c r="G37" s="33" t="inlineStr"/>
      <c r="H37" s="33" t="inlineStr"/>
      <c r="I37" s="51" t="n"/>
      <c r="J37" s="51" t="n"/>
    </row>
    <row r="38" ht="22" customHeight="1">
      <c r="B38" s="49" t="inlineStr">
        <is>
          <t>TOTAL</t>
        </is>
      </c>
      <c r="C38" s="50" t="inlineStr"/>
      <c r="D38" s="50" t="inlineStr"/>
      <c r="E38" s="50" t="inlineStr"/>
      <c r="F38" s="50" t="inlineStr"/>
      <c r="G38" s="50" t="inlineStr"/>
      <c r="H38" s="50" t="inlineStr"/>
      <c r="I38" s="53" t="n"/>
      <c r="J38" s="53" t="n"/>
    </row>
    <row r="39" ht="22" customHeight="1"/>
    <row r="40" ht="22" customHeight="1"/>
    <row r="41" ht="22" customHeight="1"/>
  </sheetData>
  <mergeCells count="3">
    <mergeCell ref="B31:J31"/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EDC-12: BUSINESS IDEA SUBMISSION &amp; SCREENING REGISTER</t>
        </is>
      </c>
    </row>
    <row r="3" ht="25" customHeight="1">
      <c r="B3" s="2" t="inlineStr">
        <is>
          <t>A.Y.: _______  Screening Committee: ___________________  Submission Window: _______</t>
        </is>
      </c>
    </row>
    <row r="4" ht="25" customHeight="1">
      <c r="B4" s="13" t="inlineStr">
        <is>
          <t>Idea
Ref.</t>
        </is>
      </c>
      <c r="C4" s="13" t="inlineStr">
        <is>
          <t>Idea / Venture Title</t>
        </is>
      </c>
      <c r="D4" s="13" t="inlineStr">
        <is>
          <t>Team Leader
(Student/Faculty)</t>
        </is>
      </c>
      <c r="E4" s="13" t="inlineStr">
        <is>
          <t>Department</t>
        </is>
      </c>
      <c r="F4" s="13" t="inlineStr">
        <is>
          <t>Sector / Domain</t>
        </is>
      </c>
      <c r="G4" s="13" t="inlineStr">
        <is>
          <t>Team
Size</t>
        </is>
      </c>
      <c r="H4" s="13" t="inlineStr">
        <is>
          <t>Screening
Score (/50)</t>
        </is>
      </c>
      <c r="I4" s="13" t="inlineStr">
        <is>
          <t>Decision</t>
        </is>
      </c>
      <c r="J4" s="13" t="inlineStr">
        <is>
          <t>Next Action</t>
        </is>
      </c>
    </row>
    <row r="5" ht="25" customHeight="1">
      <c r="B5" s="14" t="inlineStr">
        <is>
          <t>IDEA/2024/001</t>
        </is>
      </c>
      <c r="C5" s="15" t="inlineStr"/>
      <c r="D5" s="15" t="inlineStr"/>
      <c r="E5" s="16" t="inlineStr"/>
      <c r="F5" s="16" t="inlineStr">
        <is>
          <t>AgriTech</t>
        </is>
      </c>
      <c r="G5" s="16" t="inlineStr"/>
      <c r="H5" s="16" t="inlineStr"/>
      <c r="I5" s="16" t="inlineStr">
        <is>
          <t>Fast-track to Incubation</t>
        </is>
      </c>
      <c r="J5" s="15" t="inlineStr"/>
    </row>
    <row r="6" ht="25" customHeight="1">
      <c r="B6" s="8" t="inlineStr">
        <is>
          <t>IDEA/2024/002</t>
        </is>
      </c>
      <c r="C6" s="9" t="inlineStr"/>
      <c r="D6" s="9" t="inlineStr"/>
      <c r="E6" s="10" t="inlineStr"/>
      <c r="F6" s="10" t="inlineStr">
        <is>
          <t>EdTech</t>
        </is>
      </c>
      <c r="G6" s="10" t="inlineStr"/>
      <c r="H6" s="10" t="inlineStr"/>
      <c r="I6" s="10" t="inlineStr">
        <is>
          <t>Referred for Mentoring</t>
        </is>
      </c>
      <c r="J6" s="9" t="inlineStr"/>
    </row>
    <row r="7" ht="25" customHeight="1">
      <c r="B7" s="14" t="inlineStr">
        <is>
          <t>IDEA/2024/003</t>
        </is>
      </c>
      <c r="C7" s="15" t="inlineStr"/>
      <c r="D7" s="15" t="inlineStr"/>
      <c r="E7" s="16" t="inlineStr"/>
      <c r="F7" s="16" t="inlineStr">
        <is>
          <t>HealthTech</t>
        </is>
      </c>
      <c r="G7" s="16" t="inlineStr"/>
      <c r="H7" s="16" t="inlineStr"/>
      <c r="I7" s="16" t="inlineStr">
        <is>
          <t>Referred for Seed Fund</t>
        </is>
      </c>
      <c r="J7" s="15" t="inlineStr"/>
    </row>
    <row r="8" ht="25" customHeight="1">
      <c r="B8" s="8" t="inlineStr">
        <is>
          <t>IDEA/2024/004</t>
        </is>
      </c>
      <c r="C8" s="9" t="inlineStr"/>
      <c r="D8" s="9" t="inlineStr"/>
      <c r="E8" s="10" t="inlineStr"/>
      <c r="F8" s="10" t="inlineStr">
        <is>
          <t>FinTech</t>
        </is>
      </c>
      <c r="G8" s="10" t="inlineStr"/>
      <c r="H8" s="10" t="inlineStr"/>
      <c r="I8" s="10" t="inlineStr">
        <is>
          <t>Workshop &amp; Re-submission</t>
        </is>
      </c>
      <c r="J8" s="9" t="inlineStr"/>
    </row>
    <row r="9" ht="25" customHeight="1">
      <c r="B9" s="14" t="inlineStr">
        <is>
          <t>IDEA/2024/005</t>
        </is>
      </c>
      <c r="C9" s="15" t="inlineStr"/>
      <c r="D9" s="15" t="inlineStr"/>
      <c r="E9" s="16" t="inlineStr"/>
      <c r="F9" s="16" t="inlineStr">
        <is>
          <t>GreenTech</t>
        </is>
      </c>
      <c r="G9" s="16" t="inlineStr"/>
      <c r="H9" s="16" t="inlineStr"/>
      <c r="I9" s="16" t="inlineStr">
        <is>
          <t>Not Selected — Feedback given</t>
        </is>
      </c>
      <c r="J9" s="15" t="inlineStr"/>
    </row>
    <row r="10" ht="25" customHeight="1">
      <c r="B10" s="8" t="inlineStr">
        <is>
          <t>IDEA/2024/006</t>
        </is>
      </c>
      <c r="C10" s="9" t="inlineStr"/>
      <c r="D10" s="9" t="inlineStr"/>
      <c r="E10" s="10" t="inlineStr"/>
      <c r="F10" s="10" t="inlineStr">
        <is>
          <t>MedTech</t>
        </is>
      </c>
      <c r="G10" s="10" t="inlineStr"/>
      <c r="H10" s="10" t="inlineStr"/>
      <c r="I10" s="10" t="inlineStr">
        <is>
          <t>Fast-track to Incubation</t>
        </is>
      </c>
      <c r="J10" s="9" t="inlineStr"/>
    </row>
    <row r="11" ht="25" customHeight="1">
      <c r="B11" s="14" t="inlineStr">
        <is>
          <t>IDEA/2024/007</t>
        </is>
      </c>
      <c r="C11" s="15" t="inlineStr"/>
      <c r="D11" s="15" t="inlineStr"/>
      <c r="E11" s="16" t="inlineStr"/>
      <c r="F11" s="16" t="inlineStr">
        <is>
          <t>AI/ML</t>
        </is>
      </c>
      <c r="G11" s="16" t="inlineStr"/>
      <c r="H11" s="16" t="inlineStr"/>
      <c r="I11" s="16" t="inlineStr">
        <is>
          <t>Referred for Mentoring</t>
        </is>
      </c>
      <c r="J11" s="15" t="inlineStr"/>
    </row>
    <row r="12" ht="25" customHeight="1">
      <c r="B12" s="8" t="inlineStr">
        <is>
          <t>IDEA/2024/008</t>
        </is>
      </c>
      <c r="C12" s="9" t="inlineStr"/>
      <c r="D12" s="9" t="inlineStr"/>
      <c r="E12" s="10" t="inlineStr"/>
      <c r="F12" s="10" t="inlineStr">
        <is>
          <t>Manufacturing</t>
        </is>
      </c>
      <c r="G12" s="10" t="inlineStr"/>
      <c r="H12" s="10" t="inlineStr"/>
      <c r="I12" s="10" t="inlineStr">
        <is>
          <t>Referred for Seed Fund</t>
        </is>
      </c>
      <c r="J12" s="9" t="inlineStr"/>
    </row>
    <row r="13" ht="25" customHeight="1">
      <c r="B13" s="14" t="inlineStr">
        <is>
          <t>IDEA/2024/009</t>
        </is>
      </c>
      <c r="C13" s="15" t="inlineStr"/>
      <c r="D13" s="15" t="inlineStr"/>
      <c r="E13" s="16" t="inlineStr"/>
      <c r="F13" s="16" t="inlineStr">
        <is>
          <t>Retail</t>
        </is>
      </c>
      <c r="G13" s="16" t="inlineStr"/>
      <c r="H13" s="16" t="inlineStr"/>
      <c r="I13" s="16" t="inlineStr">
        <is>
          <t>Workshop &amp; Re-submission</t>
        </is>
      </c>
      <c r="J13" s="15" t="inlineStr"/>
    </row>
    <row r="14" ht="25" customHeight="1">
      <c r="B14" s="8" t="inlineStr">
        <is>
          <t>IDEA/2024/010</t>
        </is>
      </c>
      <c r="C14" s="9" t="inlineStr"/>
      <c r="D14" s="9" t="inlineStr"/>
      <c r="E14" s="10" t="inlineStr"/>
      <c r="F14" s="10" t="inlineStr">
        <is>
          <t>Social Enterprise</t>
        </is>
      </c>
      <c r="G14" s="10" t="inlineStr"/>
      <c r="H14" s="10" t="inlineStr"/>
      <c r="I14" s="10" t="inlineStr">
        <is>
          <t>Not Selected — Feedback given</t>
        </is>
      </c>
      <c r="J14" s="9" t="inlineStr"/>
    </row>
    <row r="15" ht="25" customHeight="1">
      <c r="B15" s="14" t="inlineStr">
        <is>
          <t>IDEA/2024/011</t>
        </is>
      </c>
      <c r="C15" s="15" t="inlineStr"/>
      <c r="D15" s="15" t="inlineStr"/>
      <c r="E15" s="16" t="inlineStr"/>
      <c r="F15" s="16" t="inlineStr">
        <is>
          <t>Others</t>
        </is>
      </c>
      <c r="G15" s="16" t="inlineStr"/>
      <c r="H15" s="16" t="inlineStr"/>
      <c r="I15" s="16" t="inlineStr">
        <is>
          <t>Fast-track to Incubation</t>
        </is>
      </c>
      <c r="J15" s="15" t="inlineStr"/>
    </row>
    <row r="16" ht="25" customHeight="1">
      <c r="B16" s="8" t="inlineStr">
        <is>
          <t>IDEA/2025/012</t>
        </is>
      </c>
      <c r="C16" s="9" t="inlineStr"/>
      <c r="D16" s="9" t="inlineStr"/>
      <c r="E16" s="10" t="inlineStr"/>
      <c r="F16" s="10" t="inlineStr">
        <is>
          <t>AgriTech</t>
        </is>
      </c>
      <c r="G16" s="10" t="inlineStr"/>
      <c r="H16" s="10" t="inlineStr"/>
      <c r="I16" s="10" t="inlineStr">
        <is>
          <t>Referred for Mentoring</t>
        </is>
      </c>
      <c r="J16" s="9" t="inlineStr"/>
    </row>
    <row r="17" ht="25" customHeight="1">
      <c r="B17" s="14" t="inlineStr">
        <is>
          <t>IDEA/2025/013</t>
        </is>
      </c>
      <c r="C17" s="15" t="inlineStr"/>
      <c r="D17" s="15" t="inlineStr"/>
      <c r="E17" s="16" t="inlineStr"/>
      <c r="F17" s="16" t="inlineStr">
        <is>
          <t>EdTech</t>
        </is>
      </c>
      <c r="G17" s="16" t="inlineStr"/>
      <c r="H17" s="16" t="inlineStr"/>
      <c r="I17" s="16" t="inlineStr">
        <is>
          <t>Referred for Seed Fund</t>
        </is>
      </c>
      <c r="J17" s="15" t="inlineStr"/>
    </row>
    <row r="18" ht="25" customHeight="1">
      <c r="B18" s="8" t="inlineStr">
        <is>
          <t>IDEA/2025/014</t>
        </is>
      </c>
      <c r="C18" s="9" t="inlineStr"/>
      <c r="D18" s="9" t="inlineStr"/>
      <c r="E18" s="10" t="inlineStr"/>
      <c r="F18" s="10" t="inlineStr">
        <is>
          <t>HealthTech</t>
        </is>
      </c>
      <c r="G18" s="10" t="inlineStr"/>
      <c r="H18" s="10" t="inlineStr"/>
      <c r="I18" s="10" t="inlineStr">
        <is>
          <t>Workshop &amp; Re-submission</t>
        </is>
      </c>
      <c r="J18" s="9" t="inlineStr"/>
    </row>
    <row r="19" ht="25" customHeight="1">
      <c r="B19" s="14" t="inlineStr">
        <is>
          <t>IDEA/2025/015</t>
        </is>
      </c>
      <c r="C19" s="15" t="inlineStr"/>
      <c r="D19" s="15" t="inlineStr"/>
      <c r="E19" s="16" t="inlineStr"/>
      <c r="F19" s="16" t="inlineStr">
        <is>
          <t>FinTech</t>
        </is>
      </c>
      <c r="G19" s="16" t="inlineStr"/>
      <c r="H19" s="16" t="inlineStr"/>
      <c r="I19" s="16" t="inlineStr">
        <is>
          <t>Not Selected — Feedback given</t>
        </is>
      </c>
      <c r="J19" s="15" t="inlineStr"/>
    </row>
    <row r="20" ht="25" customHeight="1">
      <c r="B20" s="8" t="inlineStr">
        <is>
          <t>IDEA/2025/016</t>
        </is>
      </c>
      <c r="C20" s="9" t="inlineStr"/>
      <c r="D20" s="9" t="inlineStr"/>
      <c r="E20" s="10" t="inlineStr"/>
      <c r="F20" s="10" t="inlineStr">
        <is>
          <t>GreenTech</t>
        </is>
      </c>
      <c r="G20" s="10" t="inlineStr"/>
      <c r="H20" s="10" t="inlineStr"/>
      <c r="I20" s="10" t="inlineStr">
        <is>
          <t>Fast-track to Incubation</t>
        </is>
      </c>
      <c r="J20" s="9" t="inlineStr"/>
    </row>
    <row r="21" ht="25" customHeight="1">
      <c r="B21" s="14" t="inlineStr">
        <is>
          <t>IDEA/2025/017</t>
        </is>
      </c>
      <c r="C21" s="15" t="inlineStr"/>
      <c r="D21" s="15" t="inlineStr"/>
      <c r="E21" s="16" t="inlineStr"/>
      <c r="F21" s="16" t="inlineStr">
        <is>
          <t>MedTech</t>
        </is>
      </c>
      <c r="G21" s="16" t="inlineStr"/>
      <c r="H21" s="16" t="inlineStr"/>
      <c r="I21" s="16" t="inlineStr">
        <is>
          <t>Referred for Mentoring</t>
        </is>
      </c>
      <c r="J21" s="15" t="inlineStr"/>
    </row>
    <row r="22" ht="25" customHeight="1">
      <c r="B22" s="8" t="inlineStr">
        <is>
          <t>IDEA/2025/018</t>
        </is>
      </c>
      <c r="C22" s="9" t="inlineStr"/>
      <c r="D22" s="9" t="inlineStr"/>
      <c r="E22" s="10" t="inlineStr"/>
      <c r="F22" s="10" t="inlineStr">
        <is>
          <t>AI/ML</t>
        </is>
      </c>
      <c r="G22" s="10" t="inlineStr"/>
      <c r="H22" s="10" t="inlineStr"/>
      <c r="I22" s="10" t="inlineStr">
        <is>
          <t>Referred for Seed Fund</t>
        </is>
      </c>
      <c r="J22" s="9" t="inlineStr"/>
    </row>
    <row r="23" ht="25" customHeight="1">
      <c r="B23" s="14" t="inlineStr">
        <is>
          <t>IDEA/2025/019</t>
        </is>
      </c>
      <c r="C23" s="15" t="inlineStr"/>
      <c r="D23" s="15" t="inlineStr"/>
      <c r="E23" s="16" t="inlineStr"/>
      <c r="F23" s="16" t="inlineStr">
        <is>
          <t>Manufacturing</t>
        </is>
      </c>
      <c r="G23" s="16" t="inlineStr"/>
      <c r="H23" s="16" t="inlineStr"/>
      <c r="I23" s="16" t="inlineStr">
        <is>
          <t>Workshop &amp; Re-submission</t>
        </is>
      </c>
      <c r="J23" s="15" t="inlineStr"/>
    </row>
    <row r="24" ht="25" customHeight="1">
      <c r="B24" s="8" t="inlineStr">
        <is>
          <t>IDEA/2025/020</t>
        </is>
      </c>
      <c r="C24" s="9" t="inlineStr"/>
      <c r="D24" s="9" t="inlineStr"/>
      <c r="E24" s="10" t="inlineStr"/>
      <c r="F24" s="10" t="inlineStr">
        <is>
          <t>Retail</t>
        </is>
      </c>
      <c r="G24" s="10" t="inlineStr"/>
      <c r="H24" s="10" t="inlineStr"/>
      <c r="I24" s="10" t="inlineStr">
        <is>
          <t>Not Selected — Feedback given</t>
        </is>
      </c>
      <c r="J24" s="9" t="inlineStr"/>
    </row>
    <row r="25" ht="25" customHeight="1">
      <c r="B25" s="14" t="inlineStr">
        <is>
          <t>IDEA/2025/021</t>
        </is>
      </c>
      <c r="C25" s="15" t="inlineStr"/>
      <c r="D25" s="15" t="inlineStr"/>
      <c r="E25" s="16" t="inlineStr"/>
      <c r="F25" s="16" t="inlineStr">
        <is>
          <t>Social Enterprise</t>
        </is>
      </c>
      <c r="G25" s="16" t="inlineStr"/>
      <c r="H25" s="16" t="inlineStr"/>
      <c r="I25" s="16" t="inlineStr">
        <is>
          <t>Fast-track to Incubation</t>
        </is>
      </c>
      <c r="J25" s="15" t="inlineStr"/>
    </row>
    <row r="26" ht="25" customHeight="1">
      <c r="B26" s="8" t="inlineStr">
        <is>
          <t>IDEA/2025/022</t>
        </is>
      </c>
      <c r="C26" s="9" t="inlineStr"/>
      <c r="D26" s="9" t="inlineStr"/>
      <c r="E26" s="10" t="inlineStr"/>
      <c r="F26" s="10" t="inlineStr">
        <is>
          <t>Others</t>
        </is>
      </c>
      <c r="G26" s="10" t="inlineStr"/>
      <c r="H26" s="10" t="inlineStr"/>
      <c r="I26" s="10" t="inlineStr">
        <is>
          <t>Referred for Mentoring</t>
        </is>
      </c>
      <c r="J26" s="9" t="inlineStr"/>
    </row>
    <row r="27" ht="25" customHeight="1"/>
    <row r="28" ht="24" customHeight="1">
      <c r="B28" s="34" t="inlineStr">
        <is>
          <t>IDEA PIPELINE SUMMARY</t>
        </is>
      </c>
    </row>
    <row r="29" ht="25" customHeight="1">
      <c r="B29" s="54" t="inlineStr">
        <is>
          <t>Total Ideas Received</t>
        </is>
      </c>
      <c r="F29" s="36">
        <f>COUNTA(B5:B26)</f>
        <v/>
      </c>
    </row>
    <row r="30" ht="25" customHeight="1">
      <c r="B30" s="25" t="inlineStr">
        <is>
          <t>Fast-tracked to Incubation</t>
        </is>
      </c>
      <c r="F30" s="37">
        <f>COUNTIF(I5:I26,"Fast-track to Incubation")</f>
        <v/>
      </c>
    </row>
    <row r="31" ht="25" customHeight="1">
      <c r="B31" s="54" t="inlineStr">
        <is>
          <t>Referred for Mentoring</t>
        </is>
      </c>
      <c r="F31" s="36">
        <f>COUNTIF(I5:I26,"Referred for Mentoring")</f>
        <v/>
      </c>
    </row>
    <row r="32" ht="25" customHeight="1">
      <c r="B32" s="25" t="inlineStr">
        <is>
          <t>Referred for Seed Fund</t>
        </is>
      </c>
      <c r="F32" s="37">
        <f>COUNTIF(I5:I26,"Referred for Seed Fund")</f>
        <v/>
      </c>
    </row>
    <row r="33" ht="25" customHeight="1">
      <c r="B33" s="54" t="inlineStr">
        <is>
          <t>Not Selected</t>
        </is>
      </c>
      <c r="F33" s="36">
        <f>COUNTIF(I5:I26,"Not Selected — Feedback given")</f>
        <v/>
      </c>
    </row>
    <row r="34" ht="25" customHeight="1">
      <c r="B34" s="25" t="inlineStr">
        <is>
          <t>Conversion Rate (%)</t>
        </is>
      </c>
      <c r="F34" s="37">
        <f>IFERROR(ROUND(C30/C29*100,1),"")</f>
        <v/>
      </c>
    </row>
    <row r="35" ht="25" customHeight="1"/>
    <row r="36" ht="24" customHeight="1">
      <c r="B36" s="20" t="inlineStr">
        <is>
          <t>SCREENING CRITERIA MATRIX</t>
        </is>
      </c>
    </row>
    <row r="37" ht="25" customHeight="1">
      <c r="B37" s="21" t="inlineStr">
        <is>
          <t>Criterion</t>
        </is>
      </c>
      <c r="C37" s="21" t="inlineStr">
        <is>
          <t>Description</t>
        </is>
      </c>
      <c r="D37" s="21" t="inlineStr">
        <is>
          <t>Max Score</t>
        </is>
      </c>
      <c r="E37" s="21" t="inlineStr">
        <is>
          <t>Weightage %</t>
        </is>
      </c>
    </row>
    <row r="38" ht="25" customHeight="1">
      <c r="B38" s="23" t="inlineStr">
        <is>
          <t>Problem-Solution Fit</t>
        </is>
      </c>
      <c r="C38" s="47" t="inlineStr">
        <is>
          <t>Does the idea solve a real problem?</t>
        </is>
      </c>
      <c r="D38" s="22" t="n">
        <v>10</v>
      </c>
      <c r="E38" s="22">
        <f>10%</f>
        <v/>
      </c>
      <c r="F38" s="55" t="n"/>
      <c r="G38" s="55" t="n"/>
      <c r="H38" s="55" t="n"/>
      <c r="I38" s="55" t="n"/>
      <c r="J38" s="55" t="n"/>
    </row>
    <row r="39" ht="25" customHeight="1">
      <c r="B39" s="25" t="inlineStr">
        <is>
          <t>Market Opportunity</t>
        </is>
      </c>
      <c r="C39" s="9" t="inlineStr">
        <is>
          <t>Size &amp; growth potential of target market</t>
        </is>
      </c>
      <c r="D39" s="10" t="n">
        <v>10</v>
      </c>
      <c r="E39" s="10">
        <f>10%</f>
        <v/>
      </c>
      <c r="F39" s="52" t="n"/>
      <c r="G39" s="52" t="n"/>
      <c r="H39" s="52" t="n"/>
      <c r="I39" s="52" t="n"/>
      <c r="J39" s="52" t="n"/>
    </row>
    <row r="40">
      <c r="B40" s="23" t="inlineStr">
        <is>
          <t>Innovation / Uniqueness</t>
        </is>
      </c>
      <c r="C40" s="47" t="inlineStr">
        <is>
          <t>Degree of novelty over existing solutions</t>
        </is>
      </c>
      <c r="D40" s="22" t="n">
        <v>10</v>
      </c>
      <c r="E40" s="22">
        <f>10%</f>
        <v/>
      </c>
      <c r="F40" s="55" t="n"/>
      <c r="G40" s="55" t="n"/>
      <c r="H40" s="55" t="n"/>
      <c r="I40" s="55" t="n"/>
      <c r="J40" s="55" t="n"/>
    </row>
    <row r="41">
      <c r="B41" s="25" t="inlineStr">
        <is>
          <t>Feasibility</t>
        </is>
      </c>
      <c r="C41" s="9" t="inlineStr">
        <is>
          <t>Technical, financial &amp; operational viability</t>
        </is>
      </c>
      <c r="D41" s="10" t="n">
        <v>10</v>
      </c>
      <c r="E41" s="10">
        <f>10%</f>
        <v/>
      </c>
      <c r="F41" s="52" t="n"/>
      <c r="G41" s="52" t="n"/>
      <c r="H41" s="52" t="n"/>
      <c r="I41" s="52" t="n"/>
      <c r="J41" s="52" t="n"/>
    </row>
    <row r="42">
      <c r="B42" s="23" t="inlineStr">
        <is>
          <t>Team Capability</t>
        </is>
      </c>
      <c r="C42" s="47" t="inlineStr">
        <is>
          <t>Team background, skills &amp; commitment</t>
        </is>
      </c>
      <c r="D42" s="22" t="n">
        <v>10</v>
      </c>
      <c r="E42" s="22">
        <f>10%</f>
        <v/>
      </c>
      <c r="F42" s="55" t="n"/>
      <c r="G42" s="55" t="n"/>
      <c r="H42" s="55" t="n"/>
      <c r="I42" s="55" t="n"/>
      <c r="J42" s="55" t="n"/>
    </row>
  </sheetData>
  <mergeCells count="16">
    <mergeCell ref="B31:E31"/>
    <mergeCell ref="F30:J30"/>
    <mergeCell ref="B3:J3"/>
    <mergeCell ref="F29:J29"/>
    <mergeCell ref="B28:J28"/>
    <mergeCell ref="F34:J34"/>
    <mergeCell ref="B36:J36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EDC-13: STUDENT STARTUP REGISTRATION FORM</t>
        </is>
      </c>
    </row>
    <row r="3" ht="25" customHeight="1">
      <c r="B3" s="2" t="inlineStr">
        <is>
          <t>EDC Ref. No.: STRTUP/______/______   Date of Registration: _______   EDC Coordinator: _______</t>
        </is>
      </c>
    </row>
    <row r="4" ht="24" customHeight="1">
      <c r="B4" s="19" t="inlineStr">
        <is>
          <t>SECTION A — STARTUP DETAILS</t>
        </is>
      </c>
    </row>
    <row r="5" ht="30" customHeight="1">
      <c r="B5" s="56" t="inlineStr">
        <is>
          <t>Startup / Venture Name:</t>
        </is>
      </c>
      <c r="C5" s="9" t="n"/>
    </row>
    <row r="6" ht="30" customHeight="1">
      <c r="B6" s="56" t="inlineStr">
        <is>
          <t>Tagline / One-liner:</t>
        </is>
      </c>
      <c r="C6" s="9" t="n"/>
    </row>
    <row r="7" ht="30" customHeight="1">
      <c r="B7" s="56" t="inlineStr">
        <is>
          <t>Sector / Domain:</t>
        </is>
      </c>
      <c r="C7" s="57" t="inlineStr">
        <is>
          <t>[ ] AgriTech  [ ] EdTech  [ ] HealthTech  [ ] FinTech  [ ] GreenTech  [ ] AI/ML  [ ] Manufacturing  [ ] Social  [ ] Other</t>
        </is>
      </c>
    </row>
    <row r="8" ht="30" customHeight="1">
      <c r="B8" s="56" t="inlineStr">
        <is>
          <t>Business Stage:</t>
        </is>
      </c>
      <c r="C8" s="57" t="inlineStr">
        <is>
          <t>[ ] Idea  [ ] Prototype  [ ] Pilot  [ ] Early Revenue  [ ] Growth</t>
        </is>
      </c>
    </row>
    <row r="9" ht="30" customHeight="1">
      <c r="B9" s="56" t="inlineStr">
        <is>
          <t>Legal Status:</t>
        </is>
      </c>
      <c r="C9" s="57" t="inlineStr">
        <is>
          <t>[ ] Not Registered  [ ] Proprietorship  [ ] Partnership  [ ] LLP  [ ] Pvt. Ltd.  [ ] Sec. 8 / NGO</t>
        </is>
      </c>
    </row>
    <row r="10" ht="30" customHeight="1">
      <c r="B10" s="56" t="inlineStr">
        <is>
          <t>CIN / Registration No. (if any):</t>
        </is>
      </c>
      <c r="C10" s="9" t="n"/>
    </row>
    <row r="11" ht="30" customHeight="1">
      <c r="B11" s="56" t="inlineStr">
        <is>
          <t>DPIIT Startup India Recognised:</t>
        </is>
      </c>
      <c r="C11" s="57" t="inlineStr">
        <is>
          <t>[ ] Yes — Ref. No.: _______   [ ] No   [ ] Application in Process</t>
        </is>
      </c>
    </row>
    <row r="12" ht="30" customHeight="1">
      <c r="B12" s="56" t="inlineStr">
        <is>
          <t>MSME / Udyam Registration:</t>
        </is>
      </c>
      <c r="C12" s="57" t="inlineStr">
        <is>
          <t>[ ] Yes — Ref. No.: _______   [ ] No</t>
        </is>
      </c>
    </row>
    <row r="13" ht="30" customHeight="1">
      <c r="B13" s="56" t="inlineStr">
        <is>
          <t>GST Registration:</t>
        </is>
      </c>
      <c r="C13" s="57" t="inlineStr">
        <is>
          <t>[ ] Yes — GSTIN: _______   [ ] No</t>
        </is>
      </c>
    </row>
    <row r="14" ht="30" customHeight="1">
      <c r="B14" s="56" t="inlineStr">
        <is>
          <t>Website / Social Media:</t>
        </is>
      </c>
      <c r="C14" s="9" t="n"/>
    </row>
    <row r="15" ht="30" customHeight="1"/>
    <row r="16" ht="24" customHeight="1">
      <c r="B16" s="20" t="inlineStr">
        <is>
          <t>SECTION B — FOUNDING TEAM</t>
        </is>
      </c>
    </row>
    <row r="17" ht="30" customHeight="1">
      <c r="B17" s="21" t="inlineStr">
        <is>
          <t>Sl.</t>
        </is>
      </c>
      <c r="C17" s="21" t="inlineStr">
        <is>
          <t>Founder Name</t>
        </is>
      </c>
      <c r="D17" s="21" t="inlineStr">
        <is>
          <t>Role</t>
        </is>
      </c>
      <c r="E17" s="21" t="inlineStr">
        <is>
          <t>Programme / Dept. / Contact</t>
        </is>
      </c>
    </row>
    <row r="18" ht="28" customHeight="1">
      <c r="B18" s="22" t="n">
        <v>1</v>
      </c>
      <c r="C18" s="47" t="inlineStr"/>
      <c r="D18" s="22" t="inlineStr"/>
      <c r="E18" s="47" t="inlineStr"/>
    </row>
    <row r="19" ht="28" customHeight="1">
      <c r="B19" s="10" t="n">
        <v>2</v>
      </c>
      <c r="C19" s="9" t="inlineStr"/>
      <c r="D19" s="10" t="inlineStr"/>
      <c r="E19" s="9" t="inlineStr"/>
    </row>
    <row r="20" ht="28" customHeight="1">
      <c r="B20" s="22" t="n">
        <v>3</v>
      </c>
      <c r="C20" s="47" t="inlineStr"/>
      <c r="D20" s="22" t="inlineStr"/>
      <c r="E20" s="47" t="inlineStr"/>
    </row>
    <row r="21" ht="28" customHeight="1">
      <c r="B21" s="10" t="n">
        <v>4</v>
      </c>
      <c r="C21" s="9" t="inlineStr"/>
      <c r="D21" s="10" t="inlineStr"/>
      <c r="E21" s="9" t="inlineStr"/>
    </row>
    <row r="22" ht="28" customHeight="1">
      <c r="B22" s="22" t="n">
        <v>5</v>
      </c>
      <c r="C22" s="47" t="inlineStr"/>
      <c r="D22" s="22" t="inlineStr"/>
      <c r="E22" s="47" t="inlineStr"/>
    </row>
    <row r="23" ht="30" customHeight="1"/>
    <row r="24" ht="24" customHeight="1">
      <c r="B24" s="19" t="inlineStr">
        <is>
          <t>SECTION C — PRODUCT / SERVICE DESCRIPTION</t>
        </is>
      </c>
    </row>
    <row r="25" ht="32" customHeight="1">
      <c r="B25" s="56" t="inlineStr">
        <is>
          <t>Problem being solved:</t>
        </is>
      </c>
      <c r="C25" s="9" t="n"/>
    </row>
    <row r="26" ht="32" customHeight="1">
      <c r="B26" s="56" t="inlineStr">
        <is>
          <t>Solution / Product / Service:</t>
        </is>
      </c>
      <c r="C26" s="9" t="n"/>
    </row>
    <row r="27" ht="32" customHeight="1">
      <c r="B27" s="56" t="inlineStr">
        <is>
          <t>Target Customer / Market:</t>
        </is>
      </c>
      <c r="C27" s="9" t="n"/>
    </row>
    <row r="28" ht="32" customHeight="1">
      <c r="B28" s="56" t="inlineStr">
        <is>
          <t>Unique Value Proposition (UVP):</t>
        </is>
      </c>
      <c r="C28" s="9" t="n"/>
    </row>
    <row r="29" ht="32" customHeight="1">
      <c r="B29" s="56" t="inlineStr">
        <is>
          <t>Current Revenue Model:</t>
        </is>
      </c>
      <c r="C29" s="57" t="inlineStr">
        <is>
          <t>[ ] B2B  [ ] B2C  [ ] B2B2C  [ ] SaaS  [ ] Marketplace  [ ] Other</t>
        </is>
      </c>
    </row>
    <row r="30" ht="32" customHeight="1">
      <c r="B30" s="56" t="inlineStr">
        <is>
          <t>Revenue generated so far (₹):</t>
        </is>
      </c>
      <c r="C30" s="9" t="n"/>
    </row>
    <row r="31" ht="32" customHeight="1">
      <c r="B31" s="56" t="inlineStr">
        <is>
          <t>No. of customers / users:</t>
        </is>
      </c>
      <c r="C31" s="9" t="n"/>
    </row>
    <row r="32" ht="32" customHeight="1">
      <c r="B32" s="56" t="inlineStr">
        <is>
          <t>Key competitors:</t>
        </is>
      </c>
      <c r="C32" s="9" t="n"/>
    </row>
    <row r="33" ht="32" customHeight="1">
      <c r="B33" s="56" t="inlineStr">
        <is>
          <t>Competitive advantage:</t>
        </is>
      </c>
      <c r="C33" s="9" t="n"/>
    </row>
    <row r="34" ht="30" customHeight="1"/>
    <row r="35" ht="24" customHeight="1">
      <c r="B35" s="34" t="inlineStr">
        <is>
          <t>SECTION D — SUPPORT REQUIRED FROM EDC</t>
        </is>
      </c>
    </row>
    <row r="36" ht="30" customHeight="1">
      <c r="B36" s="58" t="inlineStr">
        <is>
          <t>Mentorship Area(s):</t>
        </is>
      </c>
      <c r="C36" s="57" t="inlineStr">
        <is>
          <t>[ ] Technical  [ ] Business Model  [ ] Finance  [ ] Legal  [ ] Marketing  [ ] Export  [ ] Other</t>
        </is>
      </c>
    </row>
    <row r="37" ht="30" customHeight="1">
      <c r="B37" s="58" t="inlineStr">
        <is>
          <t>Funding Support Required:</t>
        </is>
      </c>
      <c r="C37" s="57" t="inlineStr">
        <is>
          <t>[ ] Seed Fund  [ ] External Grant  [ ] Investor Connect  [ ] None</t>
        </is>
      </c>
    </row>
    <row r="38" ht="30" customHeight="1">
      <c r="B38" s="58" t="inlineStr">
        <is>
          <t>Infrastructure Needed:</t>
        </is>
      </c>
      <c r="C38" s="57" t="inlineStr">
        <is>
          <t>[ ] Co-working  [ ] Prototype Lab  [ ] Meeting Room  [ ] Virtual  [ ] None</t>
        </is>
      </c>
    </row>
    <row r="39" ht="30" customHeight="1">
      <c r="B39" s="58" t="inlineStr">
        <is>
          <t>IPR Support:</t>
        </is>
      </c>
      <c r="C39" s="57" t="inlineStr">
        <is>
          <t>[ ] Patent Filing  [ ] Trademark  [ ] Copyright  [ ] Not Required</t>
        </is>
      </c>
    </row>
    <row r="40" ht="30" customHeight="1">
      <c r="B40" s="58" t="inlineStr">
        <is>
          <t>Legal / Compliance Support:</t>
        </is>
      </c>
      <c r="C40" s="57" t="inlineStr">
        <is>
          <t>[ ] Registration  [ ] GST  [ ] Contracts  [ ] Not Required</t>
        </is>
      </c>
    </row>
    <row r="41" ht="30" customHeight="1"/>
    <row r="42" ht="30" customHeight="1">
      <c r="B42" s="59" t="inlineStr">
        <is>
          <t>I declare that the information provided is accurate. I agree to abide by the EDC and institutional startup support policies.</t>
        </is>
      </c>
    </row>
    <row r="43" ht="30" customHeight="1">
      <c r="B43" s="29" t="inlineStr">
        <is>
          <t>Founder Signature: ___________________    Faculty Advisor: ___________________    EDC Coordinator: ___________________    Date: ___________________</t>
        </is>
      </c>
    </row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</sheetData>
  <mergeCells count="32">
    <mergeCell ref="C31:E31"/>
    <mergeCell ref="C40:E40"/>
    <mergeCell ref="C9:E9"/>
    <mergeCell ref="B24:E24"/>
    <mergeCell ref="C12:E12"/>
    <mergeCell ref="C36:E36"/>
    <mergeCell ref="C11:E11"/>
    <mergeCell ref="C27:E27"/>
    <mergeCell ref="B4:E4"/>
    <mergeCell ref="B35:E35"/>
    <mergeCell ref="C39:E39"/>
    <mergeCell ref="C8:E8"/>
    <mergeCell ref="B16:E16"/>
    <mergeCell ref="B3:E3"/>
    <mergeCell ref="C7:E7"/>
    <mergeCell ref="C32:E32"/>
    <mergeCell ref="C38:E38"/>
    <mergeCell ref="C28:E28"/>
    <mergeCell ref="C13:E13"/>
    <mergeCell ref="C37:E37"/>
    <mergeCell ref="B43:E43"/>
    <mergeCell ref="B2:E2"/>
    <mergeCell ref="C30:E30"/>
    <mergeCell ref="B42:E42"/>
    <mergeCell ref="C6:E6"/>
    <mergeCell ref="C33:E33"/>
    <mergeCell ref="C14:E14"/>
    <mergeCell ref="C5:E5"/>
    <mergeCell ref="C26:E26"/>
    <mergeCell ref="C29:E29"/>
    <mergeCell ref="C25:E25"/>
    <mergeCell ref="C10:E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EDC-14: STARTUP MENTORSHIP &amp; GUIDANCE SESSION LOG</t>
        </is>
      </c>
    </row>
    <row r="3" ht="25" customHeight="1">
      <c r="B3" s="2" t="inlineStr">
        <is>
          <t>Startup Ref.: _______  Startup Name: ___________________  Faculty Advisor: ___________________  A.Y.: _______</t>
        </is>
      </c>
    </row>
    <row r="4" ht="25" customHeight="1">
      <c r="B4" s="13" t="inlineStr">
        <is>
          <t>Session
No.</t>
        </is>
      </c>
      <c r="C4" s="13" t="inlineStr">
        <is>
          <t>Date</t>
        </is>
      </c>
      <c r="D4" s="13" t="inlineStr">
        <is>
          <t>Mentor Name</t>
        </is>
      </c>
      <c r="E4" s="13" t="inlineStr">
        <is>
          <t>Mentorship Area</t>
        </is>
      </c>
      <c r="F4" s="13" t="inlineStr">
        <is>
          <t>Duration
(Hrs)</t>
        </is>
      </c>
      <c r="G4" s="13" t="inlineStr">
        <is>
          <t>Key Discussions</t>
        </is>
      </c>
      <c r="H4" s="13" t="inlineStr">
        <is>
          <t>Action Points</t>
        </is>
      </c>
      <c r="I4" s="13" t="inlineStr">
        <is>
          <t>Startup
Feedback (/5)</t>
        </is>
      </c>
      <c r="J4" s="13" t="inlineStr">
        <is>
          <t>Next Session</t>
        </is>
      </c>
    </row>
    <row r="5" ht="22" customHeight="1">
      <c r="B5" s="14" t="n">
        <v>1</v>
      </c>
      <c r="C5" s="16" t="inlineStr"/>
      <c r="D5" s="16" t="inlineStr"/>
      <c r="E5" s="16" t="inlineStr">
        <is>
          <t>Business Model</t>
        </is>
      </c>
      <c r="F5" s="16" t="inlineStr"/>
      <c r="G5" s="15" t="inlineStr"/>
      <c r="H5" s="15" t="inlineStr"/>
      <c r="I5" s="16" t="inlineStr"/>
      <c r="J5" s="16" t="inlineStr"/>
    </row>
    <row r="6" ht="22" customHeight="1">
      <c r="B6" s="8" t="n">
        <v>2</v>
      </c>
      <c r="C6" s="10" t="inlineStr"/>
      <c r="D6" s="10" t="inlineStr"/>
      <c r="E6" s="10" t="inlineStr">
        <is>
          <t>Financial Projections</t>
        </is>
      </c>
      <c r="F6" s="10" t="inlineStr"/>
      <c r="G6" s="9" t="inlineStr"/>
      <c r="H6" s="9" t="inlineStr"/>
      <c r="I6" s="10" t="inlineStr"/>
      <c r="J6" s="10" t="inlineStr"/>
    </row>
    <row r="7" ht="22" customHeight="1">
      <c r="B7" s="14" t="n">
        <v>3</v>
      </c>
      <c r="C7" s="16" t="inlineStr"/>
      <c r="D7" s="16" t="inlineStr"/>
      <c r="E7" s="16" t="inlineStr">
        <is>
          <t>Market Research</t>
        </is>
      </c>
      <c r="F7" s="16" t="inlineStr"/>
      <c r="G7" s="15" t="inlineStr"/>
      <c r="H7" s="15" t="inlineStr"/>
      <c r="I7" s="16" t="inlineStr"/>
      <c r="J7" s="16" t="inlineStr"/>
    </row>
    <row r="8" ht="22" customHeight="1">
      <c r="B8" s="8" t="n">
        <v>4</v>
      </c>
      <c r="C8" s="10" t="inlineStr"/>
      <c r="D8" s="10" t="inlineStr"/>
      <c r="E8" s="10" t="inlineStr">
        <is>
          <t>Product Development</t>
        </is>
      </c>
      <c r="F8" s="10" t="inlineStr"/>
      <c r="G8" s="9" t="inlineStr"/>
      <c r="H8" s="9" t="inlineStr"/>
      <c r="I8" s="10" t="inlineStr"/>
      <c r="J8" s="10" t="inlineStr"/>
    </row>
    <row r="9" ht="22" customHeight="1">
      <c r="B9" s="14" t="n">
        <v>5</v>
      </c>
      <c r="C9" s="16" t="inlineStr"/>
      <c r="D9" s="16" t="inlineStr"/>
      <c r="E9" s="16" t="inlineStr">
        <is>
          <t>Legal &amp; Compliance</t>
        </is>
      </c>
      <c r="F9" s="16" t="inlineStr"/>
      <c r="G9" s="15" t="inlineStr"/>
      <c r="H9" s="15" t="inlineStr"/>
      <c r="I9" s="16" t="inlineStr"/>
      <c r="J9" s="16" t="inlineStr"/>
    </row>
    <row r="10" ht="22" customHeight="1">
      <c r="B10" s="8" t="n">
        <v>6</v>
      </c>
      <c r="C10" s="10" t="inlineStr"/>
      <c r="D10" s="10" t="inlineStr"/>
      <c r="E10" s="10" t="inlineStr">
        <is>
          <t>Funding Strategy</t>
        </is>
      </c>
      <c r="F10" s="10" t="inlineStr"/>
      <c r="G10" s="9" t="inlineStr"/>
      <c r="H10" s="9" t="inlineStr"/>
      <c r="I10" s="10" t="inlineStr"/>
      <c r="J10" s="10" t="inlineStr"/>
    </row>
    <row r="11" ht="22" customHeight="1">
      <c r="B11" s="14" t="n">
        <v>7</v>
      </c>
      <c r="C11" s="16" t="inlineStr"/>
      <c r="D11" s="16" t="inlineStr"/>
      <c r="E11" s="16" t="inlineStr">
        <is>
          <t>Marketing &amp; Branding</t>
        </is>
      </c>
      <c r="F11" s="16" t="inlineStr"/>
      <c r="G11" s="15" t="inlineStr"/>
      <c r="H11" s="15" t="inlineStr"/>
      <c r="I11" s="16" t="inlineStr"/>
      <c r="J11" s="16" t="inlineStr"/>
    </row>
    <row r="12" ht="22" customHeight="1">
      <c r="B12" s="8" t="n">
        <v>8</v>
      </c>
      <c r="C12" s="10" t="inlineStr"/>
      <c r="D12" s="10" t="inlineStr"/>
      <c r="E12" s="10" t="inlineStr">
        <is>
          <t>Customer Acquisition</t>
        </is>
      </c>
      <c r="F12" s="10" t="inlineStr"/>
      <c r="G12" s="9" t="inlineStr"/>
      <c r="H12" s="9" t="inlineStr"/>
      <c r="I12" s="10" t="inlineStr"/>
      <c r="J12" s="10" t="inlineStr"/>
    </row>
    <row r="13" ht="22" customHeight="1">
      <c r="B13" s="14" t="n">
        <v>9</v>
      </c>
      <c r="C13" s="16" t="inlineStr"/>
      <c r="D13" s="16" t="inlineStr"/>
      <c r="E13" s="16" t="inlineStr">
        <is>
          <t>Team Building</t>
        </is>
      </c>
      <c r="F13" s="16" t="inlineStr"/>
      <c r="G13" s="15" t="inlineStr"/>
      <c r="H13" s="15" t="inlineStr"/>
      <c r="I13" s="16" t="inlineStr"/>
      <c r="J13" s="16" t="inlineStr"/>
    </row>
    <row r="14" ht="22" customHeight="1">
      <c r="B14" s="8" t="n">
        <v>10</v>
      </c>
      <c r="C14" s="10" t="inlineStr"/>
      <c r="D14" s="10" t="inlineStr"/>
      <c r="E14" s="10" t="inlineStr">
        <is>
          <t>Operations</t>
        </is>
      </c>
      <c r="F14" s="10" t="inlineStr"/>
      <c r="G14" s="9" t="inlineStr"/>
      <c r="H14" s="9" t="inlineStr"/>
      <c r="I14" s="10" t="inlineStr"/>
      <c r="J14" s="10" t="inlineStr"/>
    </row>
    <row r="15" ht="22" customHeight="1">
      <c r="B15" s="14" t="n">
        <v>11</v>
      </c>
      <c r="C15" s="16" t="inlineStr"/>
      <c r="D15" s="16" t="inlineStr"/>
      <c r="E15" s="16" t="inlineStr">
        <is>
          <t>Export &amp; Scaling</t>
        </is>
      </c>
      <c r="F15" s="16" t="inlineStr"/>
      <c r="G15" s="15" t="inlineStr"/>
      <c r="H15" s="15" t="inlineStr"/>
      <c r="I15" s="16" t="inlineStr"/>
      <c r="J15" s="16" t="inlineStr"/>
    </row>
    <row r="16" ht="22" customHeight="1">
      <c r="B16" s="8" t="n">
        <v>12</v>
      </c>
      <c r="C16" s="10" t="inlineStr"/>
      <c r="D16" s="10" t="inlineStr"/>
      <c r="E16" s="10" t="inlineStr">
        <is>
          <t>Business Model</t>
        </is>
      </c>
      <c r="F16" s="10" t="inlineStr"/>
      <c r="G16" s="9" t="inlineStr"/>
      <c r="H16" s="9" t="inlineStr"/>
      <c r="I16" s="10" t="inlineStr"/>
      <c r="J16" s="10" t="inlineStr"/>
    </row>
    <row r="17" ht="22" customHeight="1">
      <c r="B17" s="14" t="n">
        <v>13</v>
      </c>
      <c r="C17" s="16" t="inlineStr"/>
      <c r="D17" s="16" t="inlineStr"/>
      <c r="E17" s="16" t="inlineStr">
        <is>
          <t>Financial Projections</t>
        </is>
      </c>
      <c r="F17" s="16" t="inlineStr"/>
      <c r="G17" s="15" t="inlineStr"/>
      <c r="H17" s="15" t="inlineStr"/>
      <c r="I17" s="16" t="inlineStr"/>
      <c r="J17" s="16" t="inlineStr"/>
    </row>
    <row r="18" ht="22" customHeight="1">
      <c r="B18" s="8" t="n">
        <v>14</v>
      </c>
      <c r="C18" s="10" t="inlineStr"/>
      <c r="D18" s="10" t="inlineStr"/>
      <c r="E18" s="10" t="inlineStr">
        <is>
          <t>Market Research</t>
        </is>
      </c>
      <c r="F18" s="10" t="inlineStr"/>
      <c r="G18" s="9" t="inlineStr"/>
      <c r="H18" s="9" t="inlineStr"/>
      <c r="I18" s="10" t="inlineStr"/>
      <c r="J18" s="10" t="inlineStr"/>
    </row>
    <row r="19" ht="22" customHeight="1">
      <c r="B19" s="14" t="n">
        <v>15</v>
      </c>
      <c r="C19" s="16" t="inlineStr"/>
      <c r="D19" s="16" t="inlineStr"/>
      <c r="E19" s="16" t="inlineStr">
        <is>
          <t>Product Development</t>
        </is>
      </c>
      <c r="F19" s="16" t="inlineStr"/>
      <c r="G19" s="15" t="inlineStr"/>
      <c r="H19" s="15" t="inlineStr"/>
      <c r="I19" s="16" t="inlineStr"/>
      <c r="J19" s="16" t="inlineStr"/>
    </row>
    <row r="20" ht="22" customHeight="1">
      <c r="B20" s="8" t="n">
        <v>16</v>
      </c>
      <c r="C20" s="10" t="inlineStr"/>
      <c r="D20" s="10" t="inlineStr"/>
      <c r="E20" s="10" t="inlineStr">
        <is>
          <t>Legal &amp; Compliance</t>
        </is>
      </c>
      <c r="F20" s="10" t="inlineStr"/>
      <c r="G20" s="9" t="inlineStr"/>
      <c r="H20" s="9" t="inlineStr"/>
      <c r="I20" s="10" t="inlineStr"/>
      <c r="J20" s="10" t="inlineStr"/>
    </row>
    <row r="21" ht="22" customHeight="1">
      <c r="B21" s="14" t="n">
        <v>17</v>
      </c>
      <c r="C21" s="16" t="inlineStr"/>
      <c r="D21" s="16" t="inlineStr"/>
      <c r="E21" s="16" t="inlineStr">
        <is>
          <t>Funding Strategy</t>
        </is>
      </c>
      <c r="F21" s="16" t="inlineStr"/>
      <c r="G21" s="15" t="inlineStr"/>
      <c r="H21" s="15" t="inlineStr"/>
      <c r="I21" s="16" t="inlineStr"/>
      <c r="J21" s="16" t="inlineStr"/>
    </row>
    <row r="22" ht="22" customHeight="1">
      <c r="B22" s="8" t="n">
        <v>18</v>
      </c>
      <c r="C22" s="10" t="inlineStr"/>
      <c r="D22" s="10" t="inlineStr"/>
      <c r="E22" s="10" t="inlineStr">
        <is>
          <t>Marketing &amp; Branding</t>
        </is>
      </c>
      <c r="F22" s="10" t="inlineStr"/>
      <c r="G22" s="9" t="inlineStr"/>
      <c r="H22" s="9" t="inlineStr"/>
      <c r="I22" s="10" t="inlineStr"/>
      <c r="J22" s="10" t="inlineStr"/>
    </row>
    <row r="23" ht="22" customHeight="1">
      <c r="B23" s="14" t="n">
        <v>19</v>
      </c>
      <c r="C23" s="16" t="inlineStr"/>
      <c r="D23" s="16" t="inlineStr"/>
      <c r="E23" s="16" t="inlineStr">
        <is>
          <t>Customer Acquisition</t>
        </is>
      </c>
      <c r="F23" s="16" t="inlineStr"/>
      <c r="G23" s="15" t="inlineStr"/>
      <c r="H23" s="15" t="inlineStr"/>
      <c r="I23" s="16" t="inlineStr"/>
      <c r="J23" s="16" t="inlineStr"/>
    </row>
    <row r="24" ht="22" customHeight="1">
      <c r="B24" s="8" t="n">
        <v>20</v>
      </c>
      <c r="C24" s="10" t="inlineStr"/>
      <c r="D24" s="10" t="inlineStr"/>
      <c r="E24" s="10" t="inlineStr">
        <is>
          <t>Team Building</t>
        </is>
      </c>
      <c r="F24" s="10" t="inlineStr"/>
      <c r="G24" s="9" t="inlineStr"/>
      <c r="H24" s="9" t="inlineStr"/>
      <c r="I24" s="10" t="inlineStr"/>
      <c r="J24" s="10" t="inlineStr"/>
    </row>
    <row r="25" ht="22" customHeight="1">
      <c r="B25" s="14" t="n">
        <v>21</v>
      </c>
      <c r="C25" s="16" t="inlineStr"/>
      <c r="D25" s="16" t="inlineStr"/>
      <c r="E25" s="16" t="inlineStr">
        <is>
          <t>Operations</t>
        </is>
      </c>
      <c r="F25" s="16" t="inlineStr"/>
      <c r="G25" s="15" t="inlineStr"/>
      <c r="H25" s="15" t="inlineStr"/>
      <c r="I25" s="16" t="inlineStr"/>
      <c r="J25" s="16" t="inlineStr"/>
    </row>
    <row r="26" ht="22" customHeight="1">
      <c r="B26" s="8" t="n">
        <v>22</v>
      </c>
      <c r="C26" s="10" t="inlineStr"/>
      <c r="D26" s="10" t="inlineStr"/>
      <c r="E26" s="10" t="inlineStr">
        <is>
          <t>Export &amp; Scaling</t>
        </is>
      </c>
      <c r="F26" s="10" t="inlineStr"/>
      <c r="G26" s="9" t="inlineStr"/>
      <c r="H26" s="9" t="inlineStr"/>
      <c r="I26" s="10" t="inlineStr"/>
      <c r="J26" s="10" t="inlineStr"/>
    </row>
    <row r="27" ht="22" customHeight="1">
      <c r="B27" s="14" t="n">
        <v>23</v>
      </c>
      <c r="C27" s="16" t="inlineStr"/>
      <c r="D27" s="16" t="inlineStr"/>
      <c r="E27" s="16" t="inlineStr">
        <is>
          <t>Business Model</t>
        </is>
      </c>
      <c r="F27" s="16" t="inlineStr"/>
      <c r="G27" s="15" t="inlineStr"/>
      <c r="H27" s="15" t="inlineStr"/>
      <c r="I27" s="16" t="inlineStr"/>
      <c r="J27" s="16" t="inlineStr"/>
    </row>
    <row r="28" ht="22" customHeight="1">
      <c r="B28" s="8" t="n">
        <v>24</v>
      </c>
      <c r="C28" s="10" t="inlineStr"/>
      <c r="D28" s="10" t="inlineStr"/>
      <c r="E28" s="10" t="inlineStr">
        <is>
          <t>Financial Projections</t>
        </is>
      </c>
      <c r="F28" s="10" t="inlineStr"/>
      <c r="G28" s="9" t="inlineStr"/>
      <c r="H28" s="9" t="inlineStr"/>
      <c r="I28" s="10" t="inlineStr"/>
      <c r="J28" s="10" t="inlineStr"/>
    </row>
    <row r="29" ht="22" customHeight="1"/>
    <row r="30" ht="24" customHeight="1">
      <c r="B30" s="34" t="inlineStr">
        <is>
          <t>STARTUP MILESTONE TRACKER</t>
        </is>
      </c>
    </row>
    <row r="31" ht="22" customHeight="1">
      <c r="B31" s="30" t="inlineStr">
        <is>
          <t>Milestone</t>
        </is>
      </c>
      <c r="C31" s="30" t="inlineStr">
        <is>
          <t>Target Date</t>
        </is>
      </c>
      <c r="D31" s="30" t="inlineStr">
        <is>
          <t>Actual Date</t>
        </is>
      </c>
      <c r="E31" s="30" t="inlineStr">
        <is>
          <t>Status</t>
        </is>
      </c>
      <c r="F31" s="30" t="inlineStr">
        <is>
          <t>Evidence / Deliverable</t>
        </is>
      </c>
      <c r="G31" s="30" t="inlineStr">
        <is>
          <t>Mentor Verified</t>
        </is>
      </c>
    </row>
    <row r="32" ht="22" customHeight="1">
      <c r="B32" s="35" t="inlineStr">
        <is>
          <t>Business Plan Finalised</t>
        </is>
      </c>
      <c r="C32" s="33" t="inlineStr"/>
      <c r="D32" s="33" t="inlineStr"/>
      <c r="E32" s="33" t="inlineStr">
        <is>
          <t>Pending</t>
        </is>
      </c>
      <c r="F32" s="32" t="inlineStr"/>
      <c r="G32" s="33" t="inlineStr"/>
      <c r="H32" s="51" t="n"/>
      <c r="I32" s="51" t="n"/>
      <c r="J32" s="51" t="n"/>
    </row>
    <row r="33" ht="22" customHeight="1">
      <c r="B33" s="25" t="inlineStr">
        <is>
          <t>MVP / Prototype Ready</t>
        </is>
      </c>
      <c r="C33" s="10" t="inlineStr"/>
      <c r="D33" s="10" t="inlineStr"/>
      <c r="E33" s="10" t="inlineStr">
        <is>
          <t>Pending</t>
        </is>
      </c>
      <c r="F33" s="9" t="inlineStr"/>
      <c r="G33" s="10" t="inlineStr"/>
      <c r="H33" s="52" t="n"/>
      <c r="I33" s="52" t="n"/>
      <c r="J33" s="52" t="n"/>
    </row>
    <row r="34" ht="22" customHeight="1">
      <c r="B34" s="35" t="inlineStr">
        <is>
          <t>First Customer Acquired</t>
        </is>
      </c>
      <c r="C34" s="33" t="inlineStr"/>
      <c r="D34" s="33" t="inlineStr"/>
      <c r="E34" s="33" t="inlineStr">
        <is>
          <t>Pending</t>
        </is>
      </c>
      <c r="F34" s="32" t="inlineStr"/>
      <c r="G34" s="33" t="inlineStr"/>
      <c r="H34" s="51" t="n"/>
      <c r="I34" s="51" t="n"/>
      <c r="J34" s="51" t="n"/>
    </row>
    <row r="35" ht="22" customHeight="1">
      <c r="B35" s="25" t="inlineStr">
        <is>
          <t>Revenue ₹10,000</t>
        </is>
      </c>
      <c r="C35" s="10" t="inlineStr"/>
      <c r="D35" s="10" t="inlineStr"/>
      <c r="E35" s="10" t="inlineStr">
        <is>
          <t>Pending</t>
        </is>
      </c>
      <c r="F35" s="9" t="inlineStr"/>
      <c r="G35" s="10" t="inlineStr"/>
      <c r="H35" s="52" t="n"/>
      <c r="I35" s="52" t="n"/>
      <c r="J35" s="52" t="n"/>
    </row>
    <row r="36" ht="22" customHeight="1">
      <c r="B36" s="35" t="inlineStr">
        <is>
          <t>Revenue ₹1,00,000</t>
        </is>
      </c>
      <c r="C36" s="33" t="inlineStr"/>
      <c r="D36" s="33" t="inlineStr"/>
      <c r="E36" s="33" t="inlineStr">
        <is>
          <t>Pending</t>
        </is>
      </c>
      <c r="F36" s="32" t="inlineStr"/>
      <c r="G36" s="33" t="inlineStr"/>
      <c r="H36" s="51" t="n"/>
      <c r="I36" s="51" t="n"/>
      <c r="J36" s="51" t="n"/>
    </row>
    <row r="37" ht="22" customHeight="1">
      <c r="B37" s="25" t="inlineStr">
        <is>
          <t>10 Customers</t>
        </is>
      </c>
      <c r="C37" s="10" t="inlineStr"/>
      <c r="D37" s="10" t="inlineStr"/>
      <c r="E37" s="10" t="inlineStr">
        <is>
          <t>Pending</t>
        </is>
      </c>
      <c r="F37" s="9" t="inlineStr"/>
      <c r="G37" s="10" t="inlineStr"/>
      <c r="H37" s="52" t="n"/>
      <c r="I37" s="52" t="n"/>
      <c r="J37" s="52" t="n"/>
    </row>
    <row r="38" ht="22" customHeight="1">
      <c r="B38" s="35" t="inlineStr">
        <is>
          <t>Team of 3+ full-time</t>
        </is>
      </c>
      <c r="C38" s="33" t="inlineStr"/>
      <c r="D38" s="33" t="inlineStr"/>
      <c r="E38" s="33" t="inlineStr">
        <is>
          <t>Pending</t>
        </is>
      </c>
      <c r="F38" s="32" t="inlineStr"/>
      <c r="G38" s="33" t="inlineStr"/>
      <c r="H38" s="51" t="n"/>
      <c r="I38" s="51" t="n"/>
      <c r="J38" s="51" t="n"/>
    </row>
    <row r="39" ht="22" customHeight="1">
      <c r="B39" s="25" t="inlineStr">
        <is>
          <t>Legal Registration</t>
        </is>
      </c>
      <c r="C39" s="10" t="inlineStr"/>
      <c r="D39" s="10" t="inlineStr"/>
      <c r="E39" s="10" t="inlineStr">
        <is>
          <t>Pending</t>
        </is>
      </c>
      <c r="F39" s="9" t="inlineStr"/>
      <c r="G39" s="10" t="inlineStr"/>
      <c r="H39" s="52" t="n"/>
      <c r="I39" s="52" t="n"/>
      <c r="J39" s="52" t="n"/>
    </row>
    <row r="40" ht="22" customHeight="1">
      <c r="B40" s="35" t="inlineStr">
        <is>
          <t>First External Funding</t>
        </is>
      </c>
      <c r="C40" s="33" t="inlineStr"/>
      <c r="D40" s="33" t="inlineStr"/>
      <c r="E40" s="33" t="inlineStr">
        <is>
          <t>Pending</t>
        </is>
      </c>
      <c r="F40" s="32" t="inlineStr"/>
      <c r="G40" s="33" t="inlineStr"/>
      <c r="H40" s="51" t="n"/>
      <c r="I40" s="51" t="n"/>
      <c r="J40" s="51" t="n"/>
    </row>
    <row r="41" ht="22" customHeight="1">
      <c r="B41" s="25" t="inlineStr">
        <is>
          <t>Product Market Fit</t>
        </is>
      </c>
      <c r="C41" s="10" t="inlineStr"/>
      <c r="D41" s="10" t="inlineStr"/>
      <c r="E41" s="10" t="inlineStr">
        <is>
          <t>Pending</t>
        </is>
      </c>
      <c r="F41" s="9" t="inlineStr"/>
      <c r="G41" s="10" t="inlineStr"/>
      <c r="H41" s="52" t="n"/>
      <c r="I41" s="52" t="n"/>
      <c r="J41" s="52" t="n"/>
    </row>
  </sheetData>
  <mergeCells count="3">
    <mergeCell ref="B3:J3"/>
    <mergeCell ref="B30:J30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E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EDC-17: SEED FUND / INTERNAL GRANT APPLICATION FORM</t>
        </is>
      </c>
    </row>
    <row r="3" ht="25" customHeight="1">
      <c r="B3" s="2" t="inlineStr">
        <is>
          <t>Application Ref.: SEED/______/______   Submission Date: _______   Window: Semester / Annual</t>
        </is>
      </c>
    </row>
    <row r="4" ht="24" customHeight="1">
      <c r="B4" s="19" t="inlineStr">
        <is>
          <t>SECTION A — APPLICANT &amp; STARTUP DETAILS</t>
        </is>
      </c>
    </row>
    <row r="5" ht="30" customHeight="1">
      <c r="B5" s="56" t="inlineStr">
        <is>
          <t>Startup / Project Name:</t>
        </is>
      </c>
      <c r="C5" s="9" t="n"/>
    </row>
    <row r="6" ht="30" customHeight="1">
      <c r="B6" s="56" t="inlineStr">
        <is>
          <t>Startup EDC Ref. No.:</t>
        </is>
      </c>
      <c r="C6" s="9" t="n"/>
    </row>
    <row r="7" ht="30" customHeight="1">
      <c r="B7" s="56" t="inlineStr">
        <is>
          <t>Lead Applicant Name:</t>
        </is>
      </c>
      <c r="C7" s="9" t="n"/>
    </row>
    <row r="8" ht="30" customHeight="1">
      <c r="B8" s="56" t="inlineStr">
        <is>
          <t>Programme &amp; Year:</t>
        </is>
      </c>
      <c r="C8" s="9" t="n"/>
    </row>
    <row r="9" ht="30" customHeight="1">
      <c r="B9" s="56" t="inlineStr">
        <is>
          <t>Department:</t>
        </is>
      </c>
      <c r="C9" s="9" t="n"/>
    </row>
    <row r="10" ht="30" customHeight="1">
      <c r="B10" s="56" t="inlineStr">
        <is>
          <t>Faculty Mentor:</t>
        </is>
      </c>
      <c r="C10" s="9" t="n"/>
    </row>
    <row r="11" ht="30" customHeight="1">
      <c r="B11" s="56" t="inlineStr">
        <is>
          <t>Is startup registered with DPIIT / EDC?</t>
        </is>
      </c>
      <c r="C11" s="57" t="inlineStr">
        <is>
          <t>[ ] Yes — Ref.: _______   [ ] No</t>
        </is>
      </c>
    </row>
    <row r="12" ht="30" customHeight="1">
      <c r="B12" s="56" t="inlineStr">
        <is>
          <t>Stage of venture:</t>
        </is>
      </c>
      <c r="C12" s="57" t="inlineStr">
        <is>
          <t>[ ] Idea  [ ] Prototype  [ ] Pilot  [ ] Early Revenue</t>
        </is>
      </c>
    </row>
    <row r="13" ht="30" customHeight="1"/>
    <row r="14" ht="24" customHeight="1">
      <c r="B14" s="20" t="inlineStr">
        <is>
          <t>SECTION B — FUND REQUEST DETAILS</t>
        </is>
      </c>
    </row>
    <row r="15" ht="30" customHeight="1">
      <c r="B15" s="60" t="inlineStr">
        <is>
          <t>Total Amount Requested (₹):</t>
        </is>
      </c>
      <c r="C15" s="9" t="n"/>
    </row>
    <row r="16" ht="30" customHeight="1">
      <c r="B16" s="60" t="inlineStr">
        <is>
          <t>Category of Seed Fund:</t>
        </is>
      </c>
      <c r="C16" s="57" t="inlineStr">
        <is>
          <t>[ ] Product Development  [ ] Market Research  [ ] Legal / IP  [ ] Technology  [ ] Marketing  [ ] Working Capital</t>
        </is>
      </c>
    </row>
    <row r="17" ht="30" customHeight="1">
      <c r="B17" s="60" t="inlineStr">
        <is>
          <t>Proposed utilisation period:</t>
        </is>
      </c>
      <c r="C17" s="57" t="inlineStr">
        <is>
          <t>[ ] 3 months  [ ] 6 months  [ ] 12 months</t>
        </is>
      </c>
    </row>
    <row r="18" ht="30" customHeight="1">
      <c r="B18" s="60" t="inlineStr">
        <is>
          <t>Co-funding / other sources:</t>
        </is>
      </c>
      <c r="C18" s="57" t="inlineStr">
        <is>
          <t>[ ] Own funds  [ ] External Grant  [ ] Revenue  [ ] None</t>
        </is>
      </c>
    </row>
    <row r="19" ht="30" customHeight="1">
      <c r="B19" s="60" t="inlineStr">
        <is>
          <t>Matching contribution by team (₹):</t>
        </is>
      </c>
      <c r="C19" s="9" t="n"/>
    </row>
    <row r="20" ht="30" customHeight="1"/>
    <row r="21" ht="24" customHeight="1">
      <c r="B21" s="19" t="inlineStr">
        <is>
          <t>SECTION C — BUDGET BREAKDOWN</t>
        </is>
      </c>
    </row>
    <row r="22" ht="30" customHeight="1">
      <c r="B22" s="13" t="inlineStr">
        <is>
          <t>Sl.</t>
        </is>
      </c>
      <c r="C22" s="13" t="inlineStr">
        <is>
          <t>Budget Head</t>
        </is>
      </c>
      <c r="D22" s="13" t="inlineStr">
        <is>
          <t>Description</t>
        </is>
      </c>
      <c r="E22" s="13" t="inlineStr">
        <is>
          <t>Amount (₹)</t>
        </is>
      </c>
    </row>
    <row r="23" ht="26" customHeight="1">
      <c r="B23" s="14" t="n">
        <v>1</v>
      </c>
      <c r="C23" s="15" t="inlineStr">
        <is>
          <t>Prototype / Product Development</t>
        </is>
      </c>
      <c r="D23" s="15" t="inlineStr"/>
      <c r="E23" s="16" t="inlineStr"/>
    </row>
    <row r="24" ht="26" customHeight="1">
      <c r="B24" s="8" t="n">
        <v>2</v>
      </c>
      <c r="C24" s="9" t="inlineStr">
        <is>
          <t>Market Research / Survey</t>
        </is>
      </c>
      <c r="D24" s="9" t="inlineStr"/>
      <c r="E24" s="10" t="inlineStr"/>
    </row>
    <row r="25" ht="26" customHeight="1">
      <c r="B25" s="14" t="n">
        <v>3</v>
      </c>
      <c r="C25" s="15" t="inlineStr">
        <is>
          <t>Software / Tools / Subscriptions</t>
        </is>
      </c>
      <c r="D25" s="15" t="inlineStr"/>
      <c r="E25" s="16" t="inlineStr"/>
    </row>
    <row r="26" ht="26" customHeight="1">
      <c r="B26" s="8" t="n">
        <v>4</v>
      </c>
      <c r="C26" s="9" t="inlineStr">
        <is>
          <t>Legal / IPR Filing</t>
        </is>
      </c>
      <c r="D26" s="9" t="inlineStr"/>
      <c r="E26" s="10" t="inlineStr"/>
    </row>
    <row r="27" ht="26" customHeight="1">
      <c r="B27" s="14" t="n">
        <v>5</v>
      </c>
      <c r="C27" s="15" t="inlineStr">
        <is>
          <t>Marketing &amp; Promotion</t>
        </is>
      </c>
      <c r="D27" s="15" t="inlineStr"/>
      <c r="E27" s="16" t="inlineStr"/>
    </row>
    <row r="28" ht="26" customHeight="1">
      <c r="B28" s="8" t="n">
        <v>6</v>
      </c>
      <c r="C28" s="9" t="inlineStr">
        <is>
          <t>Travel &amp; Field Work</t>
        </is>
      </c>
      <c r="D28" s="9" t="inlineStr"/>
      <c r="E28" s="10" t="inlineStr"/>
    </row>
    <row r="29" ht="26" customHeight="1">
      <c r="B29" s="14" t="n">
        <v>7</v>
      </c>
      <c r="C29" s="15" t="inlineStr">
        <is>
          <t>Salaries / Stipend</t>
        </is>
      </c>
      <c r="D29" s="15" t="inlineStr"/>
      <c r="E29" s="16" t="inlineStr"/>
    </row>
    <row r="30" ht="26" customHeight="1">
      <c r="B30" s="8" t="n">
        <v>8</v>
      </c>
      <c r="C30" s="9" t="inlineStr">
        <is>
          <t>Contingency (max 10%)</t>
        </is>
      </c>
      <c r="D30" s="9" t="inlineStr"/>
      <c r="E30" s="10" t="inlineStr"/>
    </row>
    <row r="31" ht="30" customHeight="1"/>
    <row r="32" ht="30" customHeight="1">
      <c r="B32" s="61" t="inlineStr">
        <is>
          <t>TOTAL</t>
        </is>
      </c>
      <c r="C32" s="62" t="n"/>
      <c r="E32" s="63">
        <f>IFERROR(SUM(E23:E31),"")</f>
        <v/>
      </c>
    </row>
    <row r="33" ht="30" customHeight="1"/>
    <row r="34" ht="24" customHeight="1">
      <c r="B34" s="34" t="inlineStr">
        <is>
          <t>SECTION D — EXPECTED OUTCOMES &amp; MILESTONES</t>
        </is>
      </c>
    </row>
    <row r="35" ht="32" customHeight="1">
      <c r="B35" s="58" t="inlineStr">
        <is>
          <t>Expected outcome after funding period:</t>
        </is>
      </c>
      <c r="C35" s="9" t="n"/>
    </row>
    <row r="36" ht="32" customHeight="1">
      <c r="B36" s="58" t="inlineStr">
        <is>
          <t>Key milestones to be achieved:</t>
        </is>
      </c>
      <c r="C36" s="57" t="inlineStr">
        <is>
          <t>Milestone 1: _______  Milestone 2: _______  Milestone 3: _______</t>
        </is>
      </c>
    </row>
    <row r="37" ht="32" customHeight="1">
      <c r="B37" s="58" t="inlineStr">
        <is>
          <t>How will success be measured?</t>
        </is>
      </c>
      <c r="C37" s="9" t="n"/>
    </row>
    <row r="38" ht="32" customHeight="1">
      <c r="B38" s="58" t="inlineStr">
        <is>
          <t>Repayment / Revenue share plan (if applicable):</t>
        </is>
      </c>
      <c r="C38" s="9" t="n"/>
    </row>
    <row r="39" ht="30" customHeight="1"/>
    <row r="40" ht="30" customHeight="1">
      <c r="B40" s="59" t="inlineStr">
        <is>
          <t>I agree to utilise funds strictly as per approved budget and submit utilisation report as required.</t>
        </is>
      </c>
    </row>
    <row r="41" ht="30" customHeight="1">
      <c r="B41" s="29" t="inlineStr">
        <is>
          <t>Applicant Signature: ___________________    Faculty Mentor: ___________________    EDC Recommendation: Approved / Deferred / Rejected    Date: ___________________</t>
        </is>
      </c>
    </row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</sheetData>
  <mergeCells count="26">
    <mergeCell ref="C16:E16"/>
    <mergeCell ref="B40:E40"/>
    <mergeCell ref="C9:E9"/>
    <mergeCell ref="C12:E12"/>
    <mergeCell ref="C36:E36"/>
    <mergeCell ref="C11:E11"/>
    <mergeCell ref="B41:E41"/>
    <mergeCell ref="B4:E4"/>
    <mergeCell ref="C8:E8"/>
    <mergeCell ref="C17:E17"/>
    <mergeCell ref="B3:E3"/>
    <mergeCell ref="C7:E7"/>
    <mergeCell ref="C38:E38"/>
    <mergeCell ref="C19:E19"/>
    <mergeCell ref="C37:E37"/>
    <mergeCell ref="B21:E21"/>
    <mergeCell ref="C18:E18"/>
    <mergeCell ref="B2:E2"/>
    <mergeCell ref="C15:E15"/>
    <mergeCell ref="B14:E14"/>
    <mergeCell ref="C6:E6"/>
    <mergeCell ref="C32:D32"/>
    <mergeCell ref="C5:E5"/>
    <mergeCell ref="B34:E34"/>
    <mergeCell ref="C35:E35"/>
    <mergeCell ref="C10:E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EDC-18: SEED FUND DISBURSEMENT &amp; UTILISATION REGISTER (₹)</t>
        </is>
      </c>
    </row>
    <row r="3" ht="25" customHeight="1">
      <c r="B3" s="2" t="inlineStr">
        <is>
          <t>A.Y.: _______  Finance Officer: ___________________  Total Seed Fund Budget (₹): _______</t>
        </is>
      </c>
    </row>
    <row r="4" ht="25" customHeight="1">
      <c r="B4" s="13" t="inlineStr">
        <is>
          <t>Grant
Ref.</t>
        </is>
      </c>
      <c r="C4" s="13" t="inlineStr">
        <is>
          <t>Startup Name</t>
        </is>
      </c>
      <c r="D4" s="13" t="inlineStr">
        <is>
          <t>Sanctioned
Amt. (₹)</t>
        </is>
      </c>
      <c r="E4" s="13" t="inlineStr">
        <is>
          <t>Disbursed
Instalment 1</t>
        </is>
      </c>
      <c r="F4" s="13" t="inlineStr">
        <is>
          <t>Disbursed
Instalment 2</t>
        </is>
      </c>
      <c r="G4" s="13" t="inlineStr">
        <is>
          <t>Total
Disbursed (₹)</t>
        </is>
      </c>
      <c r="H4" s="13" t="inlineStr">
        <is>
          <t>Expenditure
Reported (₹)</t>
        </is>
      </c>
      <c r="I4" s="13" t="inlineStr">
        <is>
          <t>Balance
(₹)</t>
        </is>
      </c>
      <c r="J4" s="13" t="inlineStr">
        <is>
          <t>Utilisation
%</t>
        </is>
      </c>
    </row>
    <row r="5" ht="22" customHeight="1">
      <c r="B5" s="14" t="inlineStr">
        <is>
          <t>SEED/2024/001</t>
        </is>
      </c>
      <c r="C5" s="15" t="inlineStr"/>
      <c r="D5" s="16" t="inlineStr"/>
      <c r="E5" s="16" t="inlineStr"/>
      <c r="F5" s="16" t="inlineStr"/>
      <c r="G5" s="16">
        <f>IFERROR(E5+F5,"")</f>
        <v/>
      </c>
      <c r="H5" s="16" t="inlineStr"/>
      <c r="I5" s="16">
        <f>IFERROR(G5-H5,"")</f>
        <v/>
      </c>
      <c r="J5" s="48">
        <f>IFERROR(ROUND(H5/D5*100,1),"")</f>
        <v/>
      </c>
    </row>
    <row r="6" ht="22" customHeight="1">
      <c r="B6" s="8" t="inlineStr">
        <is>
          <t>SEED/2024/002</t>
        </is>
      </c>
      <c r="C6" s="9" t="inlineStr"/>
      <c r="D6" s="10" t="inlineStr"/>
      <c r="E6" s="10" t="inlineStr"/>
      <c r="F6" s="10" t="inlineStr"/>
      <c r="G6" s="10">
        <f>IFERROR(E6+F6,"")</f>
        <v/>
      </c>
      <c r="H6" s="10" t="inlineStr"/>
      <c r="I6" s="10">
        <f>IFERROR(G6-H6,"")</f>
        <v/>
      </c>
      <c r="J6" s="37">
        <f>IFERROR(ROUND(H6/D6*100,1),"")</f>
        <v/>
      </c>
    </row>
    <row r="7" ht="22" customHeight="1">
      <c r="B7" s="14" t="inlineStr">
        <is>
          <t>SEED/2024/003</t>
        </is>
      </c>
      <c r="C7" s="15" t="inlineStr"/>
      <c r="D7" s="16" t="inlineStr"/>
      <c r="E7" s="16" t="inlineStr"/>
      <c r="F7" s="16" t="inlineStr"/>
      <c r="G7" s="16">
        <f>IFERROR(E7+F7,"")</f>
        <v/>
      </c>
      <c r="H7" s="16" t="inlineStr"/>
      <c r="I7" s="16">
        <f>IFERROR(G7-H7,"")</f>
        <v/>
      </c>
      <c r="J7" s="48">
        <f>IFERROR(ROUND(H7/D7*100,1),"")</f>
        <v/>
      </c>
    </row>
    <row r="8" ht="22" customHeight="1">
      <c r="B8" s="8" t="inlineStr">
        <is>
          <t>SEED/2024/004</t>
        </is>
      </c>
      <c r="C8" s="9" t="inlineStr"/>
      <c r="D8" s="10" t="inlineStr"/>
      <c r="E8" s="10" t="inlineStr"/>
      <c r="F8" s="10" t="inlineStr"/>
      <c r="G8" s="10">
        <f>IFERROR(E8+F8,"")</f>
        <v/>
      </c>
      <c r="H8" s="10" t="inlineStr"/>
      <c r="I8" s="10">
        <f>IFERROR(G8-H8,"")</f>
        <v/>
      </c>
      <c r="J8" s="37">
        <f>IFERROR(ROUND(H8/D8*100,1),"")</f>
        <v/>
      </c>
    </row>
    <row r="9" ht="22" customHeight="1">
      <c r="B9" s="14" t="inlineStr">
        <is>
          <t>SEED/2024/005</t>
        </is>
      </c>
      <c r="C9" s="15" t="inlineStr"/>
      <c r="D9" s="16" t="inlineStr"/>
      <c r="E9" s="16" t="inlineStr"/>
      <c r="F9" s="16" t="inlineStr"/>
      <c r="G9" s="16">
        <f>IFERROR(E9+F9,"")</f>
        <v/>
      </c>
      <c r="H9" s="16" t="inlineStr"/>
      <c r="I9" s="16">
        <f>IFERROR(G9-H9,"")</f>
        <v/>
      </c>
      <c r="J9" s="48">
        <f>IFERROR(ROUND(H9/D9*100,1),"")</f>
        <v/>
      </c>
    </row>
    <row r="10" ht="22" customHeight="1">
      <c r="B10" s="8" t="inlineStr">
        <is>
          <t>SEED/2024/006</t>
        </is>
      </c>
      <c r="C10" s="9" t="inlineStr"/>
      <c r="D10" s="10" t="inlineStr"/>
      <c r="E10" s="10" t="inlineStr"/>
      <c r="F10" s="10" t="inlineStr"/>
      <c r="G10" s="10">
        <f>IFERROR(E10+F10,"")</f>
        <v/>
      </c>
      <c r="H10" s="10" t="inlineStr"/>
      <c r="I10" s="10">
        <f>IFERROR(G10-H10,"")</f>
        <v/>
      </c>
      <c r="J10" s="37">
        <f>IFERROR(ROUND(H10/D10*100,1),"")</f>
        <v/>
      </c>
    </row>
    <row r="11" ht="22" customHeight="1">
      <c r="B11" s="14" t="inlineStr">
        <is>
          <t>SEED/2024/007</t>
        </is>
      </c>
      <c r="C11" s="15" t="inlineStr"/>
      <c r="D11" s="16" t="inlineStr"/>
      <c r="E11" s="16" t="inlineStr"/>
      <c r="F11" s="16" t="inlineStr"/>
      <c r="G11" s="16">
        <f>IFERROR(E11+F11,"")</f>
        <v/>
      </c>
      <c r="H11" s="16" t="inlineStr"/>
      <c r="I11" s="16">
        <f>IFERROR(G11-H11,"")</f>
        <v/>
      </c>
      <c r="J11" s="48">
        <f>IFERROR(ROUND(H11/D11*100,1),"")</f>
        <v/>
      </c>
    </row>
    <row r="12" ht="22" customHeight="1">
      <c r="B12" s="8" t="inlineStr">
        <is>
          <t>SEED/2024/008</t>
        </is>
      </c>
      <c r="C12" s="9" t="inlineStr"/>
      <c r="D12" s="10" t="inlineStr"/>
      <c r="E12" s="10" t="inlineStr"/>
      <c r="F12" s="10" t="inlineStr"/>
      <c r="G12" s="10">
        <f>IFERROR(E12+F12,"")</f>
        <v/>
      </c>
      <c r="H12" s="10" t="inlineStr"/>
      <c r="I12" s="10">
        <f>IFERROR(G12-H12,"")</f>
        <v/>
      </c>
      <c r="J12" s="37">
        <f>IFERROR(ROUND(H12/D12*100,1),"")</f>
        <v/>
      </c>
    </row>
    <row r="13" ht="22" customHeight="1">
      <c r="B13" s="14" t="inlineStr">
        <is>
          <t>SEED/2024/009</t>
        </is>
      </c>
      <c r="C13" s="15" t="inlineStr"/>
      <c r="D13" s="16" t="inlineStr"/>
      <c r="E13" s="16" t="inlineStr"/>
      <c r="F13" s="16" t="inlineStr"/>
      <c r="G13" s="16">
        <f>IFERROR(E13+F13,"")</f>
        <v/>
      </c>
      <c r="H13" s="16" t="inlineStr"/>
      <c r="I13" s="16">
        <f>IFERROR(G13-H13,"")</f>
        <v/>
      </c>
      <c r="J13" s="48">
        <f>IFERROR(ROUND(H13/D13*100,1),"")</f>
        <v/>
      </c>
    </row>
    <row r="14" ht="22" customHeight="1">
      <c r="B14" s="8" t="inlineStr">
        <is>
          <t>SEED/2025/010</t>
        </is>
      </c>
      <c r="C14" s="9" t="inlineStr"/>
      <c r="D14" s="10" t="inlineStr"/>
      <c r="E14" s="10" t="inlineStr"/>
      <c r="F14" s="10" t="inlineStr"/>
      <c r="G14" s="10">
        <f>IFERROR(E14+F14,"")</f>
        <v/>
      </c>
      <c r="H14" s="10" t="inlineStr"/>
      <c r="I14" s="10">
        <f>IFERROR(G14-H14,"")</f>
        <v/>
      </c>
      <c r="J14" s="37">
        <f>IFERROR(ROUND(H14/D14*100,1),"")</f>
        <v/>
      </c>
    </row>
    <row r="15" ht="22" customHeight="1">
      <c r="B15" s="14" t="inlineStr">
        <is>
          <t>SEED/2025/011</t>
        </is>
      </c>
      <c r="C15" s="15" t="inlineStr"/>
      <c r="D15" s="16" t="inlineStr"/>
      <c r="E15" s="16" t="inlineStr"/>
      <c r="F15" s="16" t="inlineStr"/>
      <c r="G15" s="16">
        <f>IFERROR(E15+F15,"")</f>
        <v/>
      </c>
      <c r="H15" s="16" t="inlineStr"/>
      <c r="I15" s="16">
        <f>IFERROR(G15-H15,"")</f>
        <v/>
      </c>
      <c r="J15" s="48">
        <f>IFERROR(ROUND(H15/D15*100,1),"")</f>
        <v/>
      </c>
    </row>
    <row r="16" ht="22" customHeight="1">
      <c r="B16" s="8" t="inlineStr">
        <is>
          <t>SEED/2025/012</t>
        </is>
      </c>
      <c r="C16" s="9" t="inlineStr"/>
      <c r="D16" s="10" t="inlineStr"/>
      <c r="E16" s="10" t="inlineStr"/>
      <c r="F16" s="10" t="inlineStr"/>
      <c r="G16" s="10">
        <f>IFERROR(E16+F16,"")</f>
        <v/>
      </c>
      <c r="H16" s="10" t="inlineStr"/>
      <c r="I16" s="10">
        <f>IFERROR(G16-H16,"")</f>
        <v/>
      </c>
      <c r="J16" s="37">
        <f>IFERROR(ROUND(H16/D16*100,1),"")</f>
        <v/>
      </c>
    </row>
    <row r="17" ht="22" customHeight="1">
      <c r="B17" s="14" t="inlineStr">
        <is>
          <t>SEED/2025/013</t>
        </is>
      </c>
      <c r="C17" s="15" t="inlineStr"/>
      <c r="D17" s="16" t="inlineStr"/>
      <c r="E17" s="16" t="inlineStr"/>
      <c r="F17" s="16" t="inlineStr"/>
      <c r="G17" s="16">
        <f>IFERROR(E17+F17,"")</f>
        <v/>
      </c>
      <c r="H17" s="16" t="inlineStr"/>
      <c r="I17" s="16">
        <f>IFERROR(G17-H17,"")</f>
        <v/>
      </c>
      <c r="J17" s="48">
        <f>IFERROR(ROUND(H17/D17*100,1),"")</f>
        <v/>
      </c>
    </row>
    <row r="18" ht="22" customHeight="1">
      <c r="B18" s="8" t="inlineStr">
        <is>
          <t>SEED/2025/014</t>
        </is>
      </c>
      <c r="C18" s="9" t="inlineStr"/>
      <c r="D18" s="10" t="inlineStr"/>
      <c r="E18" s="10" t="inlineStr"/>
      <c r="F18" s="10" t="inlineStr"/>
      <c r="G18" s="10">
        <f>IFERROR(E18+F18,"")</f>
        <v/>
      </c>
      <c r="H18" s="10" t="inlineStr"/>
      <c r="I18" s="10">
        <f>IFERROR(G18-H18,"")</f>
        <v/>
      </c>
      <c r="J18" s="37">
        <f>IFERROR(ROUND(H18/D18*100,1),"")</f>
        <v/>
      </c>
    </row>
    <row r="19" ht="22" customHeight="1">
      <c r="B19" s="14" t="inlineStr">
        <is>
          <t>SEED/2025/015</t>
        </is>
      </c>
      <c r="C19" s="15" t="inlineStr"/>
      <c r="D19" s="16" t="inlineStr"/>
      <c r="E19" s="16" t="inlineStr"/>
      <c r="F19" s="16" t="inlineStr"/>
      <c r="G19" s="16">
        <f>IFERROR(E19+F19,"")</f>
        <v/>
      </c>
      <c r="H19" s="16" t="inlineStr"/>
      <c r="I19" s="16">
        <f>IFERROR(G19-H19,"")</f>
        <v/>
      </c>
      <c r="J19" s="48">
        <f>IFERROR(ROUND(H19/D19*100,1),"")</f>
        <v/>
      </c>
    </row>
    <row r="20" ht="22" customHeight="1">
      <c r="B20" s="8" t="inlineStr">
        <is>
          <t>SEED/2025/016</t>
        </is>
      </c>
      <c r="C20" s="9" t="inlineStr"/>
      <c r="D20" s="10" t="inlineStr"/>
      <c r="E20" s="10" t="inlineStr"/>
      <c r="F20" s="10" t="inlineStr"/>
      <c r="G20" s="10">
        <f>IFERROR(E20+F20,"")</f>
        <v/>
      </c>
      <c r="H20" s="10" t="inlineStr"/>
      <c r="I20" s="10">
        <f>IFERROR(G20-H20,"")</f>
        <v/>
      </c>
      <c r="J20" s="37">
        <f>IFERROR(ROUND(H20/D20*100,1),"")</f>
        <v/>
      </c>
    </row>
    <row r="21" ht="22" customHeight="1">
      <c r="B21" s="14" t="inlineStr">
        <is>
          <t>SEED/2025/017</t>
        </is>
      </c>
      <c r="C21" s="15" t="inlineStr"/>
      <c r="D21" s="16" t="inlineStr"/>
      <c r="E21" s="16" t="inlineStr"/>
      <c r="F21" s="16" t="inlineStr"/>
      <c r="G21" s="16">
        <f>IFERROR(E21+F21,"")</f>
        <v/>
      </c>
      <c r="H21" s="16" t="inlineStr"/>
      <c r="I21" s="16">
        <f>IFERROR(G21-H21,"")</f>
        <v/>
      </c>
      <c r="J21" s="48">
        <f>IFERROR(ROUND(H21/D21*100,1),"")</f>
        <v/>
      </c>
    </row>
    <row r="22" ht="22" customHeight="1">
      <c r="B22" s="8" t="inlineStr">
        <is>
          <t>SEED/2025/018</t>
        </is>
      </c>
      <c r="C22" s="9" t="inlineStr"/>
      <c r="D22" s="10" t="inlineStr"/>
      <c r="E22" s="10" t="inlineStr"/>
      <c r="F22" s="10" t="inlineStr"/>
      <c r="G22" s="10">
        <f>IFERROR(E22+F22,"")</f>
        <v/>
      </c>
      <c r="H22" s="10" t="inlineStr"/>
      <c r="I22" s="10">
        <f>IFERROR(G22-H22,"")</f>
        <v/>
      </c>
      <c r="J22" s="37">
        <f>IFERROR(ROUND(H22/D22*100,1),"")</f>
        <v/>
      </c>
    </row>
    <row r="23" ht="22" customHeight="1"/>
    <row r="24" ht="22" customHeight="1">
      <c r="B24" s="61" t="inlineStr">
        <is>
          <t>TOTAL</t>
        </is>
      </c>
      <c r="C24" s="53" t="n"/>
      <c r="D24" s="63">
        <f>IFERROR(SUM(D5:D22),"")</f>
        <v/>
      </c>
      <c r="E24" s="63">
        <f>IFERROR(SUM(E5:E22),"")</f>
        <v/>
      </c>
      <c r="F24" s="63">
        <f>IFERROR(SUM(F5:F22),"")</f>
        <v/>
      </c>
      <c r="G24" s="63">
        <f>IFERROR(SUM(G5:G22),"")</f>
        <v/>
      </c>
      <c r="H24" s="63">
        <f>IFERROR(SUM(H5:H22),"")</f>
        <v/>
      </c>
      <c r="I24" s="53" t="n"/>
      <c r="J24" s="53" t="n"/>
    </row>
    <row r="25" ht="22" customHeight="1"/>
    <row r="26" ht="24" customHeight="1">
      <c r="B26" s="34" t="inlineStr">
        <is>
          <t>SEED FUND UTILISATION REPORT TRACKING</t>
        </is>
      </c>
    </row>
    <row r="27" ht="22" customHeight="1">
      <c r="B27" s="30" t="inlineStr">
        <is>
          <t>Grant Ref.</t>
        </is>
      </c>
      <c r="C27" s="30" t="inlineStr">
        <is>
          <t>Startup Name</t>
        </is>
      </c>
      <c r="D27" s="30" t="inlineStr">
        <is>
          <t>Report Due</t>
        </is>
      </c>
      <c r="E27" s="30" t="inlineStr">
        <is>
          <t>Report Submitted</t>
        </is>
      </c>
      <c r="F27" s="30" t="inlineStr">
        <is>
          <t>Receipts
Verified</t>
        </is>
      </c>
      <c r="G27" s="30" t="inlineStr">
        <is>
          <t>Audited by
Finance</t>
        </is>
      </c>
      <c r="H27" s="30" t="inlineStr">
        <is>
          <t>Next Report Due</t>
        </is>
      </c>
      <c r="I27" s="30" t="inlineStr">
        <is>
          <t>Status</t>
        </is>
      </c>
      <c r="J27" s="30" t="inlineStr">
        <is>
          <t>Remarks</t>
        </is>
      </c>
    </row>
    <row r="28" ht="22" customHeight="1"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</row>
    <row r="29" ht="22" customHeight="1"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 ht="22" customHeight="1"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</row>
    <row r="31" ht="22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22" customHeight="1"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</row>
    <row r="33" ht="22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 ht="22" customHeight="1"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</row>
  </sheetData>
  <mergeCells count="3">
    <mergeCell ref="B26:J26"/>
    <mergeCell ref="B3:J3"/>
    <mergeCell ref="B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6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EDC-19: EXTERNAL FUNDING &amp; PITCH OPPORTUNITY TRACKER</t>
        </is>
      </c>
    </row>
    <row r="3" ht="25" customHeight="1">
      <c r="B3" s="2" t="inlineStr">
        <is>
          <t>A.Y.: _______  EDC Funding Coordinator: ___________________</t>
        </is>
      </c>
    </row>
    <row r="4" ht="25" customHeight="1">
      <c r="B4" s="13" t="inlineStr">
        <is>
          <t>Opp.
Ref.</t>
        </is>
      </c>
      <c r="C4" s="13" t="inlineStr">
        <is>
          <t>Funding / Competition Name</t>
        </is>
      </c>
      <c r="D4" s="13" t="inlineStr">
        <is>
          <t>Offering Body</t>
        </is>
      </c>
      <c r="E4" s="13" t="inlineStr">
        <is>
          <t>Type</t>
        </is>
      </c>
      <c r="F4" s="13" t="inlineStr">
        <is>
          <t>Amount /
Prize (₹L)</t>
        </is>
      </c>
      <c r="G4" s="13" t="inlineStr">
        <is>
          <t>Startup
Applied</t>
        </is>
      </c>
      <c r="H4" s="13" t="inlineStr">
        <is>
          <t>Application
Date</t>
        </is>
      </c>
      <c r="I4" s="13" t="inlineStr">
        <is>
          <t>Result</t>
        </is>
      </c>
      <c r="J4" s="13" t="inlineStr">
        <is>
          <t>Amount Won
(₹L)</t>
        </is>
      </c>
    </row>
    <row r="5" ht="22" customHeight="1">
      <c r="B5" s="14" t="inlineStr">
        <is>
          <t>EXT/2024/001</t>
        </is>
      </c>
      <c r="C5" s="15" t="inlineStr"/>
      <c r="D5" s="15" t="inlineStr"/>
      <c r="E5" s="16" t="inlineStr">
        <is>
          <t>Govt. Grant (DPIIT/Startup India)</t>
        </is>
      </c>
      <c r="F5" s="16" t="inlineStr"/>
      <c r="G5" s="16" t="inlineStr"/>
      <c r="H5" s="16" t="inlineStr"/>
      <c r="I5" s="16" t="inlineStr">
        <is>
          <t>Shortlisted</t>
        </is>
      </c>
      <c r="J5" s="16" t="inlineStr"/>
    </row>
    <row r="6" ht="22" customHeight="1">
      <c r="B6" s="8" t="inlineStr">
        <is>
          <t>EXT/2024/002</t>
        </is>
      </c>
      <c r="C6" s="9" t="inlineStr"/>
      <c r="D6" s="9" t="inlineStr"/>
      <c r="E6" s="10" t="inlineStr">
        <is>
          <t>State Govt. Scheme</t>
        </is>
      </c>
      <c r="F6" s="10" t="inlineStr"/>
      <c r="G6" s="10" t="inlineStr"/>
      <c r="H6" s="10" t="inlineStr"/>
      <c r="I6" s="10" t="inlineStr">
        <is>
          <t>Won</t>
        </is>
      </c>
      <c r="J6" s="10" t="inlineStr"/>
    </row>
    <row r="7" ht="22" customHeight="1">
      <c r="B7" s="14" t="inlineStr">
        <is>
          <t>EXT/2024/003</t>
        </is>
      </c>
      <c r="C7" s="15" t="inlineStr"/>
      <c r="D7" s="15" t="inlineStr"/>
      <c r="E7" s="16" t="inlineStr">
        <is>
          <t>MSME Grant</t>
        </is>
      </c>
      <c r="F7" s="16" t="inlineStr"/>
      <c r="G7" s="16" t="inlineStr"/>
      <c r="H7" s="16" t="inlineStr"/>
      <c r="I7" s="16" t="inlineStr">
        <is>
          <t>Not Selected</t>
        </is>
      </c>
      <c r="J7" s="16" t="inlineStr"/>
    </row>
    <row r="8" ht="22" customHeight="1">
      <c r="B8" s="8" t="inlineStr">
        <is>
          <t>EXT/2024/004</t>
        </is>
      </c>
      <c r="C8" s="9" t="inlineStr"/>
      <c r="D8" s="9" t="inlineStr"/>
      <c r="E8" s="10" t="inlineStr">
        <is>
          <t>Research-linked Grant</t>
        </is>
      </c>
      <c r="F8" s="10" t="inlineStr"/>
      <c r="G8" s="10" t="inlineStr"/>
      <c r="H8" s="10" t="inlineStr"/>
      <c r="I8" s="10" t="inlineStr">
        <is>
          <t>Application in Process</t>
        </is>
      </c>
      <c r="J8" s="10" t="inlineStr"/>
    </row>
    <row r="9" ht="22" customHeight="1">
      <c r="B9" s="14" t="inlineStr">
        <is>
          <t>EXT/2024/005</t>
        </is>
      </c>
      <c r="C9" s="15" t="inlineStr"/>
      <c r="D9" s="15" t="inlineStr"/>
      <c r="E9" s="16" t="inlineStr">
        <is>
          <t>Angel Investment</t>
        </is>
      </c>
      <c r="F9" s="16" t="inlineStr"/>
      <c r="G9" s="16" t="inlineStr"/>
      <c r="H9" s="16" t="inlineStr"/>
      <c r="I9" s="16" t="inlineStr">
        <is>
          <t>Under Review</t>
        </is>
      </c>
      <c r="J9" s="16" t="inlineStr"/>
    </row>
    <row r="10" ht="22" customHeight="1">
      <c r="B10" s="8" t="inlineStr">
        <is>
          <t>EXT/2024/006</t>
        </is>
      </c>
      <c r="C10" s="9" t="inlineStr"/>
      <c r="D10" s="9" t="inlineStr"/>
      <c r="E10" s="10" t="inlineStr">
        <is>
          <t>VC Funding</t>
        </is>
      </c>
      <c r="F10" s="10" t="inlineStr"/>
      <c r="G10" s="10" t="inlineStr"/>
      <c r="H10" s="10" t="inlineStr"/>
      <c r="I10" s="10" t="inlineStr">
        <is>
          <t>Withdrawn</t>
        </is>
      </c>
      <c r="J10" s="10" t="inlineStr"/>
    </row>
    <row r="11" ht="22" customHeight="1">
      <c r="B11" s="14" t="inlineStr">
        <is>
          <t>EXT/2024/007</t>
        </is>
      </c>
      <c r="C11" s="15" t="inlineStr"/>
      <c r="D11" s="15" t="inlineStr"/>
      <c r="E11" s="16" t="inlineStr">
        <is>
          <t>Competition — Prize Money</t>
        </is>
      </c>
      <c r="F11" s="16" t="inlineStr"/>
      <c r="G11" s="16" t="inlineStr"/>
      <c r="H11" s="16" t="inlineStr"/>
      <c r="I11" s="16" t="inlineStr">
        <is>
          <t>Shortlisted</t>
        </is>
      </c>
      <c r="J11" s="16" t="inlineStr"/>
    </row>
    <row r="12" ht="22" customHeight="1">
      <c r="B12" s="8" t="inlineStr">
        <is>
          <t>EXT/2024/008</t>
        </is>
      </c>
      <c r="C12" s="9" t="inlineStr"/>
      <c r="D12" s="9" t="inlineStr"/>
      <c r="E12" s="10" t="inlineStr">
        <is>
          <t>Accelerator Programme</t>
        </is>
      </c>
      <c r="F12" s="10" t="inlineStr"/>
      <c r="G12" s="10" t="inlineStr"/>
      <c r="H12" s="10" t="inlineStr"/>
      <c r="I12" s="10" t="inlineStr">
        <is>
          <t>Won</t>
        </is>
      </c>
      <c r="J12" s="10" t="inlineStr"/>
    </row>
    <row r="13" ht="22" customHeight="1">
      <c r="B13" s="14" t="inlineStr">
        <is>
          <t>EXT/2024/009</t>
        </is>
      </c>
      <c r="C13" s="15" t="inlineStr"/>
      <c r="D13" s="15" t="inlineStr"/>
      <c r="E13" s="16" t="inlineStr">
        <is>
          <t>Crowdfunding</t>
        </is>
      </c>
      <c r="F13" s="16" t="inlineStr"/>
      <c r="G13" s="16" t="inlineStr"/>
      <c r="H13" s="16" t="inlineStr"/>
      <c r="I13" s="16" t="inlineStr">
        <is>
          <t>Not Selected</t>
        </is>
      </c>
      <c r="J13" s="16" t="inlineStr"/>
    </row>
    <row r="14" ht="22" customHeight="1">
      <c r="B14" s="8" t="inlineStr">
        <is>
          <t>EXT/2024/010</t>
        </is>
      </c>
      <c r="C14" s="9" t="inlineStr"/>
      <c r="D14" s="9" t="inlineStr"/>
      <c r="E14" s="10" t="inlineStr">
        <is>
          <t>Corporate Grant / CSR</t>
        </is>
      </c>
      <c r="F14" s="10" t="inlineStr"/>
      <c r="G14" s="10" t="inlineStr"/>
      <c r="H14" s="10" t="inlineStr"/>
      <c r="I14" s="10" t="inlineStr">
        <is>
          <t>Application in Process</t>
        </is>
      </c>
      <c r="J14" s="10" t="inlineStr"/>
    </row>
    <row r="15" ht="22" customHeight="1">
      <c r="B15" s="14" t="inlineStr">
        <is>
          <t>EXT/2025/011</t>
        </is>
      </c>
      <c r="C15" s="15" t="inlineStr"/>
      <c r="D15" s="15" t="inlineStr"/>
      <c r="E15" s="16" t="inlineStr">
        <is>
          <t>Govt. Grant (DPIIT/Startup India)</t>
        </is>
      </c>
      <c r="F15" s="16" t="inlineStr"/>
      <c r="G15" s="16" t="inlineStr"/>
      <c r="H15" s="16" t="inlineStr"/>
      <c r="I15" s="16" t="inlineStr">
        <is>
          <t>Under Review</t>
        </is>
      </c>
      <c r="J15" s="16" t="inlineStr"/>
    </row>
    <row r="16" ht="22" customHeight="1">
      <c r="B16" s="8" t="inlineStr">
        <is>
          <t>EXT/2025/012</t>
        </is>
      </c>
      <c r="C16" s="9" t="inlineStr"/>
      <c r="D16" s="9" t="inlineStr"/>
      <c r="E16" s="10" t="inlineStr">
        <is>
          <t>State Govt. Scheme</t>
        </is>
      </c>
      <c r="F16" s="10" t="inlineStr"/>
      <c r="G16" s="10" t="inlineStr"/>
      <c r="H16" s="10" t="inlineStr"/>
      <c r="I16" s="10" t="inlineStr">
        <is>
          <t>Withdrawn</t>
        </is>
      </c>
      <c r="J16" s="10" t="inlineStr"/>
    </row>
    <row r="17" ht="22" customHeight="1">
      <c r="B17" s="14" t="inlineStr">
        <is>
          <t>EXT/2025/013</t>
        </is>
      </c>
      <c r="C17" s="15" t="inlineStr"/>
      <c r="D17" s="15" t="inlineStr"/>
      <c r="E17" s="16" t="inlineStr">
        <is>
          <t>MSME Grant</t>
        </is>
      </c>
      <c r="F17" s="16" t="inlineStr"/>
      <c r="G17" s="16" t="inlineStr"/>
      <c r="H17" s="16" t="inlineStr"/>
      <c r="I17" s="16" t="inlineStr">
        <is>
          <t>Shortlisted</t>
        </is>
      </c>
      <c r="J17" s="16" t="inlineStr"/>
    </row>
    <row r="18" ht="22" customHeight="1">
      <c r="B18" s="8" t="inlineStr">
        <is>
          <t>EXT/2025/014</t>
        </is>
      </c>
      <c r="C18" s="9" t="inlineStr"/>
      <c r="D18" s="9" t="inlineStr"/>
      <c r="E18" s="10" t="inlineStr">
        <is>
          <t>Research-linked Grant</t>
        </is>
      </c>
      <c r="F18" s="10" t="inlineStr"/>
      <c r="G18" s="10" t="inlineStr"/>
      <c r="H18" s="10" t="inlineStr"/>
      <c r="I18" s="10" t="inlineStr">
        <is>
          <t>Won</t>
        </is>
      </c>
      <c r="J18" s="10" t="inlineStr"/>
    </row>
    <row r="19" ht="22" customHeight="1">
      <c r="B19" s="14" t="inlineStr">
        <is>
          <t>EXT/2025/015</t>
        </is>
      </c>
      <c r="C19" s="15" t="inlineStr"/>
      <c r="D19" s="15" t="inlineStr"/>
      <c r="E19" s="16" t="inlineStr">
        <is>
          <t>Angel Investment</t>
        </is>
      </c>
      <c r="F19" s="16" t="inlineStr"/>
      <c r="G19" s="16" t="inlineStr"/>
      <c r="H19" s="16" t="inlineStr"/>
      <c r="I19" s="16" t="inlineStr">
        <is>
          <t>Not Selected</t>
        </is>
      </c>
      <c r="J19" s="16" t="inlineStr"/>
    </row>
    <row r="20" ht="22" customHeight="1">
      <c r="B20" s="8" t="inlineStr">
        <is>
          <t>EXT/2025/016</t>
        </is>
      </c>
      <c r="C20" s="9" t="inlineStr"/>
      <c r="D20" s="9" t="inlineStr"/>
      <c r="E20" s="10" t="inlineStr">
        <is>
          <t>VC Funding</t>
        </is>
      </c>
      <c r="F20" s="10" t="inlineStr"/>
      <c r="G20" s="10" t="inlineStr"/>
      <c r="H20" s="10" t="inlineStr"/>
      <c r="I20" s="10" t="inlineStr">
        <is>
          <t>Application in Process</t>
        </is>
      </c>
      <c r="J20" s="10" t="inlineStr"/>
    </row>
    <row r="21" ht="22" customHeight="1">
      <c r="B21" s="14" t="inlineStr">
        <is>
          <t>EXT/2025/017</t>
        </is>
      </c>
      <c r="C21" s="15" t="inlineStr"/>
      <c r="D21" s="15" t="inlineStr"/>
      <c r="E21" s="16" t="inlineStr">
        <is>
          <t>Competition — Prize Money</t>
        </is>
      </c>
      <c r="F21" s="16" t="inlineStr"/>
      <c r="G21" s="16" t="inlineStr"/>
      <c r="H21" s="16" t="inlineStr"/>
      <c r="I21" s="16" t="inlineStr">
        <is>
          <t>Under Review</t>
        </is>
      </c>
      <c r="J21" s="16" t="inlineStr"/>
    </row>
    <row r="22" ht="22" customHeight="1">
      <c r="B22" s="8" t="inlineStr">
        <is>
          <t>EXT/2025/018</t>
        </is>
      </c>
      <c r="C22" s="9" t="inlineStr"/>
      <c r="D22" s="9" t="inlineStr"/>
      <c r="E22" s="10" t="inlineStr">
        <is>
          <t>Accelerator Programme</t>
        </is>
      </c>
      <c r="F22" s="10" t="inlineStr"/>
      <c r="G22" s="10" t="inlineStr"/>
      <c r="H22" s="10" t="inlineStr"/>
      <c r="I22" s="10" t="inlineStr">
        <is>
          <t>Withdrawn</t>
        </is>
      </c>
      <c r="J22" s="10" t="inlineStr"/>
    </row>
    <row r="23" ht="22" customHeight="1">
      <c r="B23" s="14" t="inlineStr">
        <is>
          <t>EXT/2025/019</t>
        </is>
      </c>
      <c r="C23" s="15" t="inlineStr"/>
      <c r="D23" s="15" t="inlineStr"/>
      <c r="E23" s="16" t="inlineStr">
        <is>
          <t>Crowdfunding</t>
        </is>
      </c>
      <c r="F23" s="16" t="inlineStr"/>
      <c r="G23" s="16" t="inlineStr"/>
      <c r="H23" s="16" t="inlineStr"/>
      <c r="I23" s="16" t="inlineStr">
        <is>
          <t>Shortlisted</t>
        </is>
      </c>
      <c r="J23" s="16" t="inlineStr"/>
    </row>
    <row r="24" ht="22" customHeight="1">
      <c r="B24" s="8" t="inlineStr">
        <is>
          <t>EXT/2025/020</t>
        </is>
      </c>
      <c r="C24" s="9" t="inlineStr"/>
      <c r="D24" s="9" t="inlineStr"/>
      <c r="E24" s="10" t="inlineStr">
        <is>
          <t>Corporate Grant / CSR</t>
        </is>
      </c>
      <c r="F24" s="10" t="inlineStr"/>
      <c r="G24" s="10" t="inlineStr"/>
      <c r="H24" s="10" t="inlineStr"/>
      <c r="I24" s="10" t="inlineStr">
        <is>
          <t>Won</t>
        </is>
      </c>
      <c r="J24" s="10" t="inlineStr"/>
    </row>
    <row r="25" ht="22" customHeight="1"/>
    <row r="26" ht="24" customHeight="1">
      <c r="B26" s="34" t="inlineStr">
        <is>
          <t>EXTERNAL FUNDING SUMMARY</t>
        </is>
      </c>
    </row>
    <row r="27" ht="22" customHeight="1">
      <c r="B27" s="54" t="inlineStr">
        <is>
          <t>Total Opportunities Tracked</t>
        </is>
      </c>
      <c r="F27" s="36">
        <f>COUNTA(B5:B24)</f>
        <v/>
      </c>
    </row>
    <row r="28" ht="22" customHeight="1">
      <c r="B28" s="25" t="inlineStr">
        <is>
          <t>Applications Submitted</t>
        </is>
      </c>
      <c r="F28" s="37">
        <f>COUNTIF(I5:I24,"&lt;&gt;Under Review")</f>
        <v/>
      </c>
    </row>
    <row r="29" ht="22" customHeight="1">
      <c r="B29" s="54" t="inlineStr">
        <is>
          <t>Won / Awarded</t>
        </is>
      </c>
      <c r="F29" s="36">
        <f>COUNTIF(I5:I24,"Won")</f>
        <v/>
      </c>
    </row>
    <row r="30" ht="22" customHeight="1">
      <c r="B30" s="25" t="inlineStr">
        <is>
          <t>Total External Funding Won (₹L)</t>
        </is>
      </c>
      <c r="F30" s="37">
        <f>IFERROR(SUM(J5:J24),"")</f>
        <v/>
      </c>
    </row>
    <row r="31" ht="22" customHeight="1">
      <c r="B31" s="54" t="inlineStr">
        <is>
          <t>Success Rate (%)</t>
        </is>
      </c>
      <c r="F31" s="36">
        <f>IFERROR(ROUND(C29/C28*100,1),"")</f>
        <v/>
      </c>
    </row>
    <row r="32" ht="22" customHeight="1"/>
    <row r="33" ht="24" customHeight="1">
      <c r="B33" s="20" t="inlineStr">
        <is>
          <t>STARTUP PITCH PREPARATION TRACKER</t>
        </is>
      </c>
    </row>
    <row r="34" ht="22" customHeight="1">
      <c r="B34" s="21" t="inlineStr">
        <is>
          <t>Startup Ref.</t>
        </is>
      </c>
      <c r="C34" s="21" t="inlineStr">
        <is>
          <t>Startup Name</t>
        </is>
      </c>
      <c r="D34" s="21" t="inlineStr">
        <is>
          <t>Pitch Target
(Competition/Investor)</t>
        </is>
      </c>
      <c r="E34" s="21" t="inlineStr">
        <is>
          <t>Pitch Date</t>
        </is>
      </c>
      <c r="F34" s="21" t="inlineStr">
        <is>
          <t>Pitch Deck
Ready</t>
        </is>
      </c>
      <c r="G34" s="21" t="inlineStr">
        <is>
          <t>Financial Model
Ready</t>
        </is>
      </c>
      <c r="H34" s="21" t="inlineStr">
        <is>
          <t>Mock Pitch
Conducted</t>
        </is>
      </c>
      <c r="I34" s="21" t="inlineStr">
        <is>
          <t>Result</t>
        </is>
      </c>
      <c r="J34" s="21" t="inlineStr">
        <is>
          <t>Remarks</t>
        </is>
      </c>
    </row>
    <row r="35" ht="22" customHeight="1"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</row>
    <row r="36" ht="22" customHeight="1"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</row>
    <row r="37" ht="22" customHeight="1"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</row>
    <row r="38" ht="22" customHeight="1"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 ht="22" customHeight="1"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</row>
    <row r="40" ht="22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</row>
  </sheetData>
  <mergeCells count="14">
    <mergeCell ref="B31:E31"/>
    <mergeCell ref="F30:J30"/>
    <mergeCell ref="B27:E27"/>
    <mergeCell ref="B3:J3"/>
    <mergeCell ref="F29:J29"/>
    <mergeCell ref="B33:J33"/>
    <mergeCell ref="B28:E28"/>
    <mergeCell ref="B30:E30"/>
    <mergeCell ref="B26:J26"/>
    <mergeCell ref="F28:J28"/>
    <mergeCell ref="B29:E29"/>
    <mergeCell ref="F31:J31"/>
    <mergeCell ref="B2:J2"/>
    <mergeCell ref="F27:J2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EDC-20: STARTUP REVENUE &amp; FINANCIAL PERFORMANCE TRACKER (₹)</t>
        </is>
      </c>
    </row>
    <row r="3" ht="25" customHeight="1">
      <c r="B3" s="2" t="inlineStr">
        <is>
          <t>A.Y.: _______  Review Period: Quarterly / Annual  Finance Officer: ___________________  Date: _______</t>
        </is>
      </c>
    </row>
    <row r="4" ht="25" customHeight="1">
      <c r="B4" s="13" t="inlineStr">
        <is>
          <t>Startup
Ref.</t>
        </is>
      </c>
      <c r="C4" s="13" t="inlineStr">
        <is>
          <t>Startup Name</t>
        </is>
      </c>
      <c r="D4" s="13" t="inlineStr">
        <is>
          <t>Total Funding
Received (₹)</t>
        </is>
      </c>
      <c r="E4" s="13" t="inlineStr">
        <is>
          <t>Q1
Revenue</t>
        </is>
      </c>
      <c r="F4" s="13" t="inlineStr">
        <is>
          <t>Q2
Revenue</t>
        </is>
      </c>
      <c r="G4" s="13" t="inlineStr">
        <is>
          <t>Q3
Revenue</t>
        </is>
      </c>
      <c r="H4" s="13" t="inlineStr">
        <is>
          <t>Q4
Revenue</t>
        </is>
      </c>
      <c r="I4" s="13" t="inlineStr">
        <is>
          <t>Annual
Revenue</t>
        </is>
      </c>
      <c r="J4" s="13" t="inlineStr">
        <is>
          <t>Annual
Expenditure</t>
        </is>
      </c>
      <c r="K4" s="13" t="inlineStr">
        <is>
          <t>Surplus /
(Deficit)</t>
        </is>
      </c>
    </row>
    <row r="5" ht="22" customHeight="1">
      <c r="B5" s="14" t="inlineStr">
        <is>
          <t>STRTUP/001</t>
        </is>
      </c>
      <c r="C5" s="15" t="inlineStr"/>
      <c r="D5" s="16" t="inlineStr"/>
      <c r="E5" s="16" t="inlineStr"/>
      <c r="F5" s="16" t="inlineStr"/>
      <c r="G5" s="16" t="inlineStr"/>
      <c r="H5" s="16" t="inlineStr"/>
      <c r="I5" s="48">
        <f>IFERROR(SUM(E5:H5),"")</f>
        <v/>
      </c>
      <c r="J5" s="16" t="inlineStr"/>
      <c r="K5" s="48">
        <f>IFERROR(I5-J5,"")</f>
        <v/>
      </c>
    </row>
    <row r="6" ht="22" customHeight="1">
      <c r="B6" s="8" t="inlineStr">
        <is>
          <t>STRTUP/002</t>
        </is>
      </c>
      <c r="C6" s="9" t="inlineStr"/>
      <c r="D6" s="10" t="inlineStr"/>
      <c r="E6" s="10" t="inlineStr"/>
      <c r="F6" s="10" t="inlineStr"/>
      <c r="G6" s="10" t="inlineStr"/>
      <c r="H6" s="10" t="inlineStr"/>
      <c r="I6" s="37">
        <f>IFERROR(SUM(E6:H6),"")</f>
        <v/>
      </c>
      <c r="J6" s="10" t="inlineStr"/>
      <c r="K6" s="37">
        <f>IFERROR(I6-J6,"")</f>
        <v/>
      </c>
    </row>
    <row r="7" ht="22" customHeight="1">
      <c r="B7" s="14" t="inlineStr">
        <is>
          <t>STRTUP/003</t>
        </is>
      </c>
      <c r="C7" s="15" t="inlineStr"/>
      <c r="D7" s="16" t="inlineStr"/>
      <c r="E7" s="16" t="inlineStr"/>
      <c r="F7" s="16" t="inlineStr"/>
      <c r="G7" s="16" t="inlineStr"/>
      <c r="H7" s="16" t="inlineStr"/>
      <c r="I7" s="48">
        <f>IFERROR(SUM(E7:H7),"")</f>
        <v/>
      </c>
      <c r="J7" s="16" t="inlineStr"/>
      <c r="K7" s="48">
        <f>IFERROR(I7-J7,"")</f>
        <v/>
      </c>
    </row>
    <row r="8" ht="22" customHeight="1">
      <c r="B8" s="8" t="inlineStr">
        <is>
          <t>STRTUP/004</t>
        </is>
      </c>
      <c r="C8" s="9" t="inlineStr"/>
      <c r="D8" s="10" t="inlineStr"/>
      <c r="E8" s="10" t="inlineStr"/>
      <c r="F8" s="10" t="inlineStr"/>
      <c r="G8" s="10" t="inlineStr"/>
      <c r="H8" s="10" t="inlineStr"/>
      <c r="I8" s="37">
        <f>IFERROR(SUM(E8:H8),"")</f>
        <v/>
      </c>
      <c r="J8" s="10" t="inlineStr"/>
      <c r="K8" s="37">
        <f>IFERROR(I8-J8,"")</f>
        <v/>
      </c>
    </row>
    <row r="9" ht="22" customHeight="1">
      <c r="B9" s="14" t="inlineStr">
        <is>
          <t>STRTUP/005</t>
        </is>
      </c>
      <c r="C9" s="15" t="inlineStr"/>
      <c r="D9" s="16" t="inlineStr"/>
      <c r="E9" s="16" t="inlineStr"/>
      <c r="F9" s="16" t="inlineStr"/>
      <c r="G9" s="16" t="inlineStr"/>
      <c r="H9" s="16" t="inlineStr"/>
      <c r="I9" s="48">
        <f>IFERROR(SUM(E9:H9),"")</f>
        <v/>
      </c>
      <c r="J9" s="16" t="inlineStr"/>
      <c r="K9" s="48">
        <f>IFERROR(I9-J9,"")</f>
        <v/>
      </c>
    </row>
    <row r="10" ht="22" customHeight="1">
      <c r="B10" s="8" t="inlineStr">
        <is>
          <t>STRTUP/006</t>
        </is>
      </c>
      <c r="C10" s="9" t="inlineStr"/>
      <c r="D10" s="10" t="inlineStr"/>
      <c r="E10" s="10" t="inlineStr"/>
      <c r="F10" s="10" t="inlineStr"/>
      <c r="G10" s="10" t="inlineStr"/>
      <c r="H10" s="10" t="inlineStr"/>
      <c r="I10" s="37">
        <f>IFERROR(SUM(E10:H10),"")</f>
        <v/>
      </c>
      <c r="J10" s="10" t="inlineStr"/>
      <c r="K10" s="37">
        <f>IFERROR(I10-J10,"")</f>
        <v/>
      </c>
    </row>
    <row r="11" ht="22" customHeight="1">
      <c r="B11" s="14" t="inlineStr">
        <is>
          <t>STRTUP/007</t>
        </is>
      </c>
      <c r="C11" s="15" t="inlineStr"/>
      <c r="D11" s="16" t="inlineStr"/>
      <c r="E11" s="16" t="inlineStr"/>
      <c r="F11" s="16" t="inlineStr"/>
      <c r="G11" s="16" t="inlineStr"/>
      <c r="H11" s="16" t="inlineStr"/>
      <c r="I11" s="48">
        <f>IFERROR(SUM(E11:H11),"")</f>
        <v/>
      </c>
      <c r="J11" s="16" t="inlineStr"/>
      <c r="K11" s="48">
        <f>IFERROR(I11-J11,"")</f>
        <v/>
      </c>
    </row>
    <row r="12" ht="22" customHeight="1">
      <c r="B12" s="8" t="inlineStr">
        <is>
          <t>STRTUP/008</t>
        </is>
      </c>
      <c r="C12" s="9" t="inlineStr"/>
      <c r="D12" s="10" t="inlineStr"/>
      <c r="E12" s="10" t="inlineStr"/>
      <c r="F12" s="10" t="inlineStr"/>
      <c r="G12" s="10" t="inlineStr"/>
      <c r="H12" s="10" t="inlineStr"/>
      <c r="I12" s="37">
        <f>IFERROR(SUM(E12:H12),"")</f>
        <v/>
      </c>
      <c r="J12" s="10" t="inlineStr"/>
      <c r="K12" s="37">
        <f>IFERROR(I12-J12,"")</f>
        <v/>
      </c>
    </row>
    <row r="13" ht="22" customHeight="1">
      <c r="B13" s="14" t="inlineStr">
        <is>
          <t>STRTUP/009</t>
        </is>
      </c>
      <c r="C13" s="15" t="inlineStr"/>
      <c r="D13" s="16" t="inlineStr"/>
      <c r="E13" s="16" t="inlineStr"/>
      <c r="F13" s="16" t="inlineStr"/>
      <c r="G13" s="16" t="inlineStr"/>
      <c r="H13" s="16" t="inlineStr"/>
      <c r="I13" s="48">
        <f>IFERROR(SUM(E13:H13),"")</f>
        <v/>
      </c>
      <c r="J13" s="16" t="inlineStr"/>
      <c r="K13" s="48">
        <f>IFERROR(I13-J13,"")</f>
        <v/>
      </c>
    </row>
    <row r="14" ht="22" customHeight="1">
      <c r="B14" s="8" t="inlineStr">
        <is>
          <t>STRTUP/010</t>
        </is>
      </c>
      <c r="C14" s="9" t="inlineStr"/>
      <c r="D14" s="10" t="inlineStr"/>
      <c r="E14" s="10" t="inlineStr"/>
      <c r="F14" s="10" t="inlineStr"/>
      <c r="G14" s="10" t="inlineStr"/>
      <c r="H14" s="10" t="inlineStr"/>
      <c r="I14" s="37">
        <f>IFERROR(SUM(E14:H14),"")</f>
        <v/>
      </c>
      <c r="J14" s="10" t="inlineStr"/>
      <c r="K14" s="37">
        <f>IFERROR(I14-J14,"")</f>
        <v/>
      </c>
    </row>
    <row r="15" ht="22" customHeight="1">
      <c r="B15" s="14" t="inlineStr">
        <is>
          <t>STRTUP/011</t>
        </is>
      </c>
      <c r="C15" s="15" t="inlineStr"/>
      <c r="D15" s="16" t="inlineStr"/>
      <c r="E15" s="16" t="inlineStr"/>
      <c r="F15" s="16" t="inlineStr"/>
      <c r="G15" s="16" t="inlineStr"/>
      <c r="H15" s="16" t="inlineStr"/>
      <c r="I15" s="48">
        <f>IFERROR(SUM(E15:H15),"")</f>
        <v/>
      </c>
      <c r="J15" s="16" t="inlineStr"/>
      <c r="K15" s="48">
        <f>IFERROR(I15-J15,"")</f>
        <v/>
      </c>
    </row>
    <row r="16" ht="22" customHeight="1">
      <c r="B16" s="8" t="inlineStr">
        <is>
          <t>STRTUP/012</t>
        </is>
      </c>
      <c r="C16" s="9" t="inlineStr"/>
      <c r="D16" s="10" t="inlineStr"/>
      <c r="E16" s="10" t="inlineStr"/>
      <c r="F16" s="10" t="inlineStr"/>
      <c r="G16" s="10" t="inlineStr"/>
      <c r="H16" s="10" t="inlineStr"/>
      <c r="I16" s="37">
        <f>IFERROR(SUM(E16:H16),"")</f>
        <v/>
      </c>
      <c r="J16" s="10" t="inlineStr"/>
      <c r="K16" s="37">
        <f>IFERROR(I16-J16,"")</f>
        <v/>
      </c>
    </row>
    <row r="17" ht="22" customHeight="1">
      <c r="B17" s="14" t="inlineStr">
        <is>
          <t>STRTUP/013</t>
        </is>
      </c>
      <c r="C17" s="15" t="inlineStr"/>
      <c r="D17" s="16" t="inlineStr"/>
      <c r="E17" s="16" t="inlineStr"/>
      <c r="F17" s="16" t="inlineStr"/>
      <c r="G17" s="16" t="inlineStr"/>
      <c r="H17" s="16" t="inlineStr"/>
      <c r="I17" s="48">
        <f>IFERROR(SUM(E17:H17),"")</f>
        <v/>
      </c>
      <c r="J17" s="16" t="inlineStr"/>
      <c r="K17" s="48">
        <f>IFERROR(I17-J17,"")</f>
        <v/>
      </c>
    </row>
    <row r="18" ht="22" customHeight="1">
      <c r="B18" s="8" t="inlineStr">
        <is>
          <t>STRTUP/014</t>
        </is>
      </c>
      <c r="C18" s="9" t="inlineStr"/>
      <c r="D18" s="10" t="inlineStr"/>
      <c r="E18" s="10" t="inlineStr"/>
      <c r="F18" s="10" t="inlineStr"/>
      <c r="G18" s="10" t="inlineStr"/>
      <c r="H18" s="10" t="inlineStr"/>
      <c r="I18" s="37">
        <f>IFERROR(SUM(E18:H18),"")</f>
        <v/>
      </c>
      <c r="J18" s="10" t="inlineStr"/>
      <c r="K18" s="37">
        <f>IFERROR(I18-J18,"")</f>
        <v/>
      </c>
    </row>
    <row r="19" ht="22" customHeight="1">
      <c r="B19" s="14" t="inlineStr">
        <is>
          <t>STRTUP/015</t>
        </is>
      </c>
      <c r="C19" s="15" t="inlineStr"/>
      <c r="D19" s="16" t="inlineStr"/>
      <c r="E19" s="16" t="inlineStr"/>
      <c r="F19" s="16" t="inlineStr"/>
      <c r="G19" s="16" t="inlineStr"/>
      <c r="H19" s="16" t="inlineStr"/>
      <c r="I19" s="48">
        <f>IFERROR(SUM(E19:H19),"")</f>
        <v/>
      </c>
      <c r="J19" s="16" t="inlineStr"/>
      <c r="K19" s="48">
        <f>IFERROR(I19-J19,"")</f>
        <v/>
      </c>
    </row>
    <row r="20" ht="22" customHeight="1">
      <c r="B20" s="8" t="inlineStr">
        <is>
          <t>STRTUP/016</t>
        </is>
      </c>
      <c r="C20" s="9" t="inlineStr"/>
      <c r="D20" s="10" t="inlineStr"/>
      <c r="E20" s="10" t="inlineStr"/>
      <c r="F20" s="10" t="inlineStr"/>
      <c r="G20" s="10" t="inlineStr"/>
      <c r="H20" s="10" t="inlineStr"/>
      <c r="I20" s="37">
        <f>IFERROR(SUM(E20:H20),"")</f>
        <v/>
      </c>
      <c r="J20" s="10" t="inlineStr"/>
      <c r="K20" s="37">
        <f>IFERROR(I20-J20,"")</f>
        <v/>
      </c>
    </row>
    <row r="21" ht="22" customHeight="1">
      <c r="B21" s="14" t="inlineStr">
        <is>
          <t>STRTUP/017</t>
        </is>
      </c>
      <c r="C21" s="15" t="inlineStr"/>
      <c r="D21" s="16" t="inlineStr"/>
      <c r="E21" s="16" t="inlineStr"/>
      <c r="F21" s="16" t="inlineStr"/>
      <c r="G21" s="16" t="inlineStr"/>
      <c r="H21" s="16" t="inlineStr"/>
      <c r="I21" s="48">
        <f>IFERROR(SUM(E21:H21),"")</f>
        <v/>
      </c>
      <c r="J21" s="16" t="inlineStr"/>
      <c r="K21" s="48">
        <f>IFERROR(I21-J21,"")</f>
        <v/>
      </c>
    </row>
    <row r="22" ht="22" customHeight="1">
      <c r="B22" s="8" t="inlineStr">
        <is>
          <t>STRTUP/018</t>
        </is>
      </c>
      <c r="C22" s="9" t="inlineStr"/>
      <c r="D22" s="10" t="inlineStr"/>
      <c r="E22" s="10" t="inlineStr"/>
      <c r="F22" s="10" t="inlineStr"/>
      <c r="G22" s="10" t="inlineStr"/>
      <c r="H22" s="10" t="inlineStr"/>
      <c r="I22" s="37">
        <f>IFERROR(SUM(E22:H22),"")</f>
        <v/>
      </c>
      <c r="J22" s="10" t="inlineStr"/>
      <c r="K22" s="37">
        <f>IFERROR(I22-J22,"")</f>
        <v/>
      </c>
    </row>
    <row r="23" ht="22" customHeight="1">
      <c r="B23" s="14" t="inlineStr">
        <is>
          <t>STRTUP/019</t>
        </is>
      </c>
      <c r="C23" s="15" t="inlineStr"/>
      <c r="D23" s="16" t="inlineStr"/>
      <c r="E23" s="16" t="inlineStr"/>
      <c r="F23" s="16" t="inlineStr"/>
      <c r="G23" s="16" t="inlineStr"/>
      <c r="H23" s="16" t="inlineStr"/>
      <c r="I23" s="48">
        <f>IFERROR(SUM(E23:H23),"")</f>
        <v/>
      </c>
      <c r="J23" s="16" t="inlineStr"/>
      <c r="K23" s="48">
        <f>IFERROR(I23-J23,"")</f>
        <v/>
      </c>
    </row>
    <row r="24" ht="22" customHeight="1">
      <c r="B24" s="8" t="inlineStr">
        <is>
          <t>STRTUP/020</t>
        </is>
      </c>
      <c r="C24" s="9" t="inlineStr"/>
      <c r="D24" s="10" t="inlineStr"/>
      <c r="E24" s="10" t="inlineStr"/>
      <c r="F24" s="10" t="inlineStr"/>
      <c r="G24" s="10" t="inlineStr"/>
      <c r="H24" s="10" t="inlineStr"/>
      <c r="I24" s="37">
        <f>IFERROR(SUM(E24:H24),"")</f>
        <v/>
      </c>
      <c r="J24" s="10" t="inlineStr"/>
      <c r="K24" s="37">
        <f>IFERROR(I24-J24,"")</f>
        <v/>
      </c>
    </row>
    <row r="25" ht="22" customHeight="1"/>
    <row r="26" ht="22" customHeight="1">
      <c r="B26" s="61" t="inlineStr">
        <is>
          <t>PORTFOLIO TOTAL</t>
        </is>
      </c>
      <c r="C26" s="64" t="n"/>
      <c r="D26" s="63">
        <f>IFERROR(SUM(D5:D24),"")</f>
        <v/>
      </c>
      <c r="E26" s="63">
        <f>IFERROR(SUM(E5:E24),"")</f>
        <v/>
      </c>
      <c r="F26" s="63">
        <f>IFERROR(SUM(F5:F24),"")</f>
        <v/>
      </c>
      <c r="G26" s="63">
        <f>IFERROR(SUM(G5:G24),"")</f>
        <v/>
      </c>
      <c r="H26" s="63">
        <f>IFERROR(SUM(H5:H24),"")</f>
        <v/>
      </c>
      <c r="I26" s="63">
        <f>IFERROR(SUM(I5:I24),"")</f>
        <v/>
      </c>
      <c r="J26" s="63">
        <f>IFERROR(SUM(J5:J24),"")</f>
        <v/>
      </c>
      <c r="K26" s="63">
        <f>IFERROR(SUM(K5:K24),"")</f>
        <v/>
      </c>
    </row>
    <row r="27" ht="22" customHeight="1"/>
    <row r="28" ht="24" customHeight="1">
      <c r="B28" s="34" t="inlineStr">
        <is>
          <t>STARTUP FINANCIAL HEALTH METRICS</t>
        </is>
      </c>
    </row>
    <row r="29" ht="22" customHeight="1">
      <c r="B29" s="30" t="inlineStr">
        <is>
          <t>Metric</t>
        </is>
      </c>
      <c r="C29" s="30" t="inlineStr">
        <is>
          <t>Formula / Definition</t>
        </is>
      </c>
      <c r="D29" s="30" t="inlineStr">
        <is>
          <t>Target</t>
        </is>
      </c>
      <c r="E29" s="30" t="inlineStr">
        <is>
          <t>Prev. Year</t>
        </is>
      </c>
      <c r="F29" s="30" t="inlineStr">
        <is>
          <t>Q1</t>
        </is>
      </c>
      <c r="G29" s="30" t="inlineStr">
        <is>
          <t>Q2</t>
        </is>
      </c>
      <c r="H29" s="30" t="inlineStr">
        <is>
          <t>Q3</t>
        </is>
      </c>
      <c r="I29" s="30" t="inlineStr">
        <is>
          <t>Q4</t>
        </is>
      </c>
      <c r="J29" s="30" t="inlineStr">
        <is>
          <t>Annual Avg.</t>
        </is>
      </c>
      <c r="K29" s="30" t="inlineStr">
        <is>
          <t>Status</t>
        </is>
      </c>
    </row>
    <row r="30" ht="22" customHeight="1">
      <c r="B30" s="35" t="inlineStr">
        <is>
          <t>Portfolio Revenue (₹L)</t>
        </is>
      </c>
      <c r="C30" s="32" t="inlineStr">
        <is>
          <t>Sum of all startup revenues</t>
        </is>
      </c>
      <c r="D30" s="33" t="inlineStr">
        <is>
          <t>≥₹50L</t>
        </is>
      </c>
      <c r="E30" s="33" t="inlineStr"/>
      <c r="F30" s="33" t="inlineStr"/>
      <c r="G30" s="33" t="inlineStr"/>
      <c r="H30" s="33" t="inlineStr"/>
      <c r="I30" s="33" t="inlineStr"/>
      <c r="J30" s="33" t="inlineStr"/>
      <c r="K30" s="33" t="inlineStr"/>
    </row>
    <row r="31" ht="22" customHeight="1">
      <c r="B31" s="25" t="inlineStr">
        <is>
          <t>Revenue per Startup (₹L)</t>
        </is>
      </c>
      <c r="C31" s="9" t="inlineStr">
        <is>
          <t>Total Revenue / No. of Startups</t>
        </is>
      </c>
      <c r="D31" s="10" t="inlineStr">
        <is>
          <t>≥₹2.5L</t>
        </is>
      </c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</row>
    <row r="32" ht="22" customHeight="1">
      <c r="B32" s="35" t="inlineStr">
        <is>
          <t>Startups with Positive Revenue</t>
        </is>
      </c>
      <c r="C32" s="32" t="inlineStr">
        <is>
          <t>No. generating revenue</t>
        </is>
      </c>
      <c r="D32" s="33" t="inlineStr">
        <is>
          <t>≥60%</t>
        </is>
      </c>
      <c r="E32" s="33" t="inlineStr"/>
      <c r="F32" s="33" t="inlineStr"/>
      <c r="G32" s="33" t="inlineStr"/>
      <c r="H32" s="33" t="inlineStr"/>
      <c r="I32" s="33" t="inlineStr"/>
      <c r="J32" s="33" t="inlineStr"/>
      <c r="K32" s="33" t="inlineStr"/>
    </row>
    <row r="33" ht="22" customHeight="1">
      <c r="B33" s="25" t="inlineStr">
        <is>
          <t>Average Monthly Burn Rate (₹L)</t>
        </is>
      </c>
      <c r="C33" s="9" t="inlineStr">
        <is>
          <t>Expenditure / 12</t>
        </is>
      </c>
      <c r="D33" s="10" t="inlineStr">
        <is>
          <t>Reducing</t>
        </is>
      </c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</row>
    <row r="34" ht="22" customHeight="1">
      <c r="B34" s="35" t="inlineStr">
        <is>
          <t>Funding Leverage Ratio</t>
        </is>
      </c>
      <c r="C34" s="32" t="inlineStr">
        <is>
          <t>External Funding / Seed Funding</t>
        </is>
      </c>
      <c r="D34" s="33" t="inlineStr">
        <is>
          <t>≥3x</t>
        </is>
      </c>
      <c r="E34" s="33" t="inlineStr"/>
      <c r="F34" s="33" t="inlineStr"/>
      <c r="G34" s="33" t="inlineStr"/>
      <c r="H34" s="33" t="inlineStr"/>
      <c r="I34" s="33" t="inlineStr"/>
      <c r="J34" s="33" t="inlineStr"/>
      <c r="K34" s="33" t="inlineStr"/>
    </row>
    <row r="35" ht="22" customHeight="1">
      <c r="B35" s="25" t="inlineStr">
        <is>
          <t>Startups Breaking Even</t>
        </is>
      </c>
      <c r="C35" s="9" t="inlineStr">
        <is>
          <t>No. with Surplus &gt; 0</t>
        </is>
      </c>
      <c r="D35" s="10" t="inlineStr">
        <is>
          <t>≥5</t>
        </is>
      </c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</row>
    <row r="36" ht="22" customHeight="1">
      <c r="B36" s="35" t="inlineStr">
        <is>
          <t>Job Creation (Total)</t>
        </is>
      </c>
      <c r="C36" s="32" t="inlineStr">
        <is>
          <t>FTE jobs created by all startups</t>
        </is>
      </c>
      <c r="D36" s="33" t="inlineStr">
        <is>
          <t>≥20</t>
        </is>
      </c>
      <c r="E36" s="33" t="inlineStr"/>
      <c r="F36" s="33" t="inlineStr"/>
      <c r="G36" s="33" t="inlineStr"/>
      <c r="H36" s="33" t="inlineStr"/>
      <c r="I36" s="33" t="inlineStr"/>
      <c r="J36" s="33" t="inlineStr"/>
      <c r="K36" s="33" t="inlineStr"/>
    </row>
    <row r="37" ht="22" customHeight="1"/>
    <row r="38" ht="22" customHeight="1"/>
    <row r="39" ht="22" customHeight="1"/>
  </sheetData>
  <mergeCells count="3">
    <mergeCell ref="B28:K28"/>
    <mergeCell ref="B3:K3"/>
    <mergeCell ref="B2:K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EDC-21: IPR AWARENESS &amp; FILING SUPPORT REGISTER</t>
        </is>
      </c>
    </row>
    <row r="3" ht="25" customHeight="1">
      <c r="B3" s="2" t="inlineStr">
        <is>
          <t>A.Y.: _______  IPR Cell / EDC Coordinator: ___________________  Linked to: RDC-SC4</t>
        </is>
      </c>
    </row>
    <row r="4" ht="24" customHeight="1">
      <c r="B4" s="19" t="inlineStr">
        <is>
          <t>IPR FILINGS BY STARTUPS / STUDENT TEAMS</t>
        </is>
      </c>
    </row>
    <row r="5" ht="22" customHeight="1">
      <c r="B5" s="13" t="inlineStr">
        <is>
          <t>IPR
Ref.</t>
        </is>
      </c>
      <c r="C5" s="13" t="inlineStr">
        <is>
          <t>Startup / Team Name</t>
        </is>
      </c>
      <c r="D5" s="13" t="inlineStr">
        <is>
          <t>Type of IPR</t>
        </is>
      </c>
      <c r="E5" s="13" t="inlineStr">
        <is>
          <t>Title of Application</t>
        </is>
      </c>
      <c r="F5" s="13" t="inlineStr">
        <is>
          <t>Application No.</t>
        </is>
      </c>
      <c r="G5" s="13" t="inlineStr">
        <is>
          <t>Filing Date</t>
        </is>
      </c>
      <c r="H5" s="13" t="inlineStr">
        <is>
          <t>Status</t>
        </is>
      </c>
      <c r="I5" s="13" t="inlineStr">
        <is>
          <t>EDC Support Provided</t>
        </is>
      </c>
    </row>
    <row r="6" ht="22" customHeight="1">
      <c r="B6" s="14" t="inlineStr">
        <is>
          <t>IPR/2024/001</t>
        </is>
      </c>
      <c r="C6" s="15" t="inlineStr"/>
      <c r="D6" s="16" t="inlineStr">
        <is>
          <t>Patent</t>
        </is>
      </c>
      <c r="E6" s="15" t="inlineStr"/>
      <c r="F6" s="16" t="inlineStr"/>
      <c r="G6" s="16" t="inlineStr"/>
      <c r="H6" s="16" t="inlineStr">
        <is>
          <t>Filed</t>
        </is>
      </c>
      <c r="I6" s="15" t="inlineStr">
        <is>
          <t>Filing Fee Support</t>
        </is>
      </c>
    </row>
    <row r="7" ht="22" customHeight="1">
      <c r="B7" s="8" t="inlineStr">
        <is>
          <t>IPR/2024/002</t>
        </is>
      </c>
      <c r="C7" s="9" t="inlineStr"/>
      <c r="D7" s="10" t="inlineStr">
        <is>
          <t>Trademark</t>
        </is>
      </c>
      <c r="E7" s="9" t="inlineStr"/>
      <c r="F7" s="10" t="inlineStr"/>
      <c r="G7" s="10" t="inlineStr"/>
      <c r="H7" s="10" t="inlineStr">
        <is>
          <t>Published</t>
        </is>
      </c>
      <c r="I7" s="9" t="inlineStr">
        <is>
          <t>Legal Guidance</t>
        </is>
      </c>
    </row>
    <row r="8" ht="22" customHeight="1">
      <c r="B8" s="14" t="inlineStr">
        <is>
          <t>IPR/2024/003</t>
        </is>
      </c>
      <c r="C8" s="15" t="inlineStr"/>
      <c r="D8" s="16" t="inlineStr">
        <is>
          <t>Copyright</t>
        </is>
      </c>
      <c r="E8" s="15" t="inlineStr"/>
      <c r="F8" s="16" t="inlineStr"/>
      <c r="G8" s="16" t="inlineStr"/>
      <c r="H8" s="16" t="inlineStr">
        <is>
          <t>Granted</t>
        </is>
      </c>
      <c r="I8" s="15" t="inlineStr">
        <is>
          <t>Form Preparation</t>
        </is>
      </c>
    </row>
    <row r="9" ht="22" customHeight="1">
      <c r="B9" s="8" t="inlineStr">
        <is>
          <t>IPR/2024/004</t>
        </is>
      </c>
      <c r="C9" s="9" t="inlineStr"/>
      <c r="D9" s="10" t="inlineStr">
        <is>
          <t>Design Registration</t>
        </is>
      </c>
      <c r="E9" s="9" t="inlineStr"/>
      <c r="F9" s="10" t="inlineStr"/>
      <c r="G9" s="10" t="inlineStr"/>
      <c r="H9" s="10" t="inlineStr">
        <is>
          <t>Opposed</t>
        </is>
      </c>
      <c r="I9" s="9" t="inlineStr">
        <is>
          <t>Prior Art Search</t>
        </is>
      </c>
    </row>
    <row r="10" ht="22" customHeight="1">
      <c r="B10" s="14" t="inlineStr">
        <is>
          <t>IPR/2024/005</t>
        </is>
      </c>
      <c r="C10" s="15" t="inlineStr"/>
      <c r="D10" s="16" t="inlineStr">
        <is>
          <t>Geographical Indication</t>
        </is>
      </c>
      <c r="E10" s="15" t="inlineStr"/>
      <c r="F10" s="16" t="inlineStr"/>
      <c r="G10" s="16" t="inlineStr"/>
      <c r="H10" s="16" t="inlineStr">
        <is>
          <t>Abandoned</t>
        </is>
      </c>
      <c r="I10" s="15" t="inlineStr">
        <is>
          <t>Agent Connect</t>
        </is>
      </c>
    </row>
    <row r="11" ht="22" customHeight="1">
      <c r="B11" s="8" t="inlineStr">
        <is>
          <t>IPR/2024/006</t>
        </is>
      </c>
      <c r="C11" s="9" t="inlineStr"/>
      <c r="D11" s="10" t="inlineStr">
        <is>
          <t>Trade Secret</t>
        </is>
      </c>
      <c r="E11" s="9" t="inlineStr"/>
      <c r="F11" s="10" t="inlineStr"/>
      <c r="G11" s="10" t="inlineStr"/>
      <c r="H11" s="10" t="inlineStr">
        <is>
          <t>Pending</t>
        </is>
      </c>
      <c r="I11" s="9" t="inlineStr">
        <is>
          <t>None</t>
        </is>
      </c>
    </row>
    <row r="12" ht="22" customHeight="1">
      <c r="B12" s="14" t="inlineStr">
        <is>
          <t>IPR/2024/007</t>
        </is>
      </c>
      <c r="C12" s="15" t="inlineStr"/>
      <c r="D12" s="16" t="inlineStr">
        <is>
          <t>Other</t>
        </is>
      </c>
      <c r="E12" s="15" t="inlineStr"/>
      <c r="F12" s="16" t="inlineStr"/>
      <c r="G12" s="16" t="inlineStr"/>
      <c r="H12" s="16" t="inlineStr">
        <is>
          <t>Filed</t>
        </is>
      </c>
      <c r="I12" s="15" t="inlineStr">
        <is>
          <t>Filing Fee Support</t>
        </is>
      </c>
    </row>
    <row r="13" ht="22" customHeight="1">
      <c r="B13" s="8" t="inlineStr">
        <is>
          <t>IPR/2024/008</t>
        </is>
      </c>
      <c r="C13" s="9" t="inlineStr"/>
      <c r="D13" s="10" t="inlineStr">
        <is>
          <t>Patent</t>
        </is>
      </c>
      <c r="E13" s="9" t="inlineStr"/>
      <c r="F13" s="10" t="inlineStr"/>
      <c r="G13" s="10" t="inlineStr"/>
      <c r="H13" s="10" t="inlineStr">
        <is>
          <t>Published</t>
        </is>
      </c>
      <c r="I13" s="9" t="inlineStr">
        <is>
          <t>Legal Guidance</t>
        </is>
      </c>
    </row>
    <row r="14" ht="22" customHeight="1">
      <c r="B14" s="14" t="inlineStr">
        <is>
          <t>IPR/2025/009</t>
        </is>
      </c>
      <c r="C14" s="15" t="inlineStr"/>
      <c r="D14" s="16" t="inlineStr">
        <is>
          <t>Trademark</t>
        </is>
      </c>
      <c r="E14" s="15" t="inlineStr"/>
      <c r="F14" s="16" t="inlineStr"/>
      <c r="G14" s="16" t="inlineStr"/>
      <c r="H14" s="16" t="inlineStr">
        <is>
          <t>Granted</t>
        </is>
      </c>
      <c r="I14" s="15" t="inlineStr">
        <is>
          <t>Form Preparation</t>
        </is>
      </c>
    </row>
    <row r="15" ht="22" customHeight="1">
      <c r="B15" s="8" t="inlineStr">
        <is>
          <t>IPR/2025/010</t>
        </is>
      </c>
      <c r="C15" s="9" t="inlineStr"/>
      <c r="D15" s="10" t="inlineStr">
        <is>
          <t>Copyright</t>
        </is>
      </c>
      <c r="E15" s="9" t="inlineStr"/>
      <c r="F15" s="10" t="inlineStr"/>
      <c r="G15" s="10" t="inlineStr"/>
      <c r="H15" s="10" t="inlineStr">
        <is>
          <t>Opposed</t>
        </is>
      </c>
      <c r="I15" s="9" t="inlineStr">
        <is>
          <t>Prior Art Search</t>
        </is>
      </c>
    </row>
    <row r="16" ht="22" customHeight="1">
      <c r="B16" s="14" t="inlineStr">
        <is>
          <t>IPR/2025/011</t>
        </is>
      </c>
      <c r="C16" s="15" t="inlineStr"/>
      <c r="D16" s="16" t="inlineStr">
        <is>
          <t>Design Registration</t>
        </is>
      </c>
      <c r="E16" s="15" t="inlineStr"/>
      <c r="F16" s="16" t="inlineStr"/>
      <c r="G16" s="16" t="inlineStr"/>
      <c r="H16" s="16" t="inlineStr">
        <is>
          <t>Abandoned</t>
        </is>
      </c>
      <c r="I16" s="15" t="inlineStr">
        <is>
          <t>Agent Connect</t>
        </is>
      </c>
    </row>
    <row r="17" ht="22" customHeight="1">
      <c r="B17" s="8" t="inlineStr">
        <is>
          <t>IPR/2025/012</t>
        </is>
      </c>
      <c r="C17" s="9" t="inlineStr"/>
      <c r="D17" s="10" t="inlineStr">
        <is>
          <t>Geographical Indication</t>
        </is>
      </c>
      <c r="E17" s="9" t="inlineStr"/>
      <c r="F17" s="10" t="inlineStr"/>
      <c r="G17" s="10" t="inlineStr"/>
      <c r="H17" s="10" t="inlineStr">
        <is>
          <t>Pending</t>
        </is>
      </c>
      <c r="I17" s="9" t="inlineStr">
        <is>
          <t>None</t>
        </is>
      </c>
    </row>
    <row r="18" ht="22" customHeight="1">
      <c r="B18" s="14" t="inlineStr">
        <is>
          <t>IPR/2025/013</t>
        </is>
      </c>
      <c r="C18" s="15" t="inlineStr"/>
      <c r="D18" s="16" t="inlineStr">
        <is>
          <t>Trade Secret</t>
        </is>
      </c>
      <c r="E18" s="15" t="inlineStr"/>
      <c r="F18" s="16" t="inlineStr"/>
      <c r="G18" s="16" t="inlineStr"/>
      <c r="H18" s="16" t="inlineStr">
        <is>
          <t>Filed</t>
        </is>
      </c>
      <c r="I18" s="15" t="inlineStr">
        <is>
          <t>Filing Fee Support</t>
        </is>
      </c>
    </row>
    <row r="19" ht="22" customHeight="1">
      <c r="B19" s="8" t="inlineStr">
        <is>
          <t>IPR/2025/014</t>
        </is>
      </c>
      <c r="C19" s="9" t="inlineStr"/>
      <c r="D19" s="10" t="inlineStr">
        <is>
          <t>Other</t>
        </is>
      </c>
      <c r="E19" s="9" t="inlineStr"/>
      <c r="F19" s="10" t="inlineStr"/>
      <c r="G19" s="10" t="inlineStr"/>
      <c r="H19" s="10" t="inlineStr">
        <is>
          <t>Published</t>
        </is>
      </c>
      <c r="I19" s="9" t="inlineStr">
        <is>
          <t>Legal Guidance</t>
        </is>
      </c>
    </row>
    <row r="20" ht="22" customHeight="1">
      <c r="B20" s="14" t="inlineStr">
        <is>
          <t>IPR/2025/015</t>
        </is>
      </c>
      <c r="C20" s="15" t="inlineStr"/>
      <c r="D20" s="16" t="inlineStr">
        <is>
          <t>Patent</t>
        </is>
      </c>
      <c r="E20" s="15" t="inlineStr"/>
      <c r="F20" s="16" t="inlineStr"/>
      <c r="G20" s="16" t="inlineStr"/>
      <c r="H20" s="16" t="inlineStr">
        <is>
          <t>Granted</t>
        </is>
      </c>
      <c r="I20" s="15" t="inlineStr">
        <is>
          <t>Form Preparation</t>
        </is>
      </c>
    </row>
    <row r="21" ht="22" customHeight="1">
      <c r="B21" s="8" t="inlineStr">
        <is>
          <t>IPR/2025/016</t>
        </is>
      </c>
      <c r="C21" s="9" t="inlineStr"/>
      <c r="D21" s="10" t="inlineStr">
        <is>
          <t>Trademark</t>
        </is>
      </c>
      <c r="E21" s="9" t="inlineStr"/>
      <c r="F21" s="10" t="inlineStr"/>
      <c r="G21" s="10" t="inlineStr"/>
      <c r="H21" s="10" t="inlineStr">
        <is>
          <t>Opposed</t>
        </is>
      </c>
      <c r="I21" s="9" t="inlineStr">
        <is>
          <t>Prior Art Search</t>
        </is>
      </c>
    </row>
    <row r="22" ht="22" customHeight="1"/>
    <row r="23" ht="24" customHeight="1">
      <c r="B23" s="34" t="inlineStr">
        <is>
          <t>IPR AWARENESS PROGRAMME LOG</t>
        </is>
      </c>
    </row>
    <row r="24" ht="22" customHeight="1">
      <c r="B24" s="30" t="inlineStr">
        <is>
          <t>Sl.</t>
        </is>
      </c>
      <c r="C24" s="30" t="inlineStr">
        <is>
          <t>Programme Title</t>
        </is>
      </c>
      <c r="D24" s="30" t="inlineStr">
        <is>
          <t>Date</t>
        </is>
      </c>
      <c r="E24" s="30" t="inlineStr">
        <is>
          <t>Target Audience</t>
        </is>
      </c>
      <c r="F24" s="30" t="inlineStr">
        <is>
          <t>Conducted by</t>
        </is>
      </c>
      <c r="G24" s="30" t="inlineStr">
        <is>
          <t>Participants</t>
        </is>
      </c>
      <c r="H24" s="30" t="inlineStr">
        <is>
          <t>Key Topics Covered</t>
        </is>
      </c>
      <c r="I24" s="30" t="inlineStr">
        <is>
          <t>Follow-up Actions</t>
        </is>
      </c>
    </row>
    <row r="25" ht="22" customHeight="1">
      <c r="B25" s="33" t="n"/>
      <c r="C25" s="33" t="n"/>
      <c r="D25" s="33" t="n"/>
      <c r="E25" s="33" t="n"/>
      <c r="F25" s="33" t="n"/>
      <c r="G25" s="33" t="n"/>
      <c r="H25" s="33" t="n"/>
      <c r="I25" s="33" t="n"/>
    </row>
    <row r="26" ht="22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 ht="22" customHeight="1">
      <c r="B27" s="33" t="n"/>
      <c r="C27" s="33" t="n"/>
      <c r="D27" s="33" t="n"/>
      <c r="E27" s="33" t="n"/>
      <c r="F27" s="33" t="n"/>
      <c r="G27" s="33" t="n"/>
      <c r="H27" s="33" t="n"/>
      <c r="I27" s="33" t="n"/>
    </row>
    <row r="28" ht="22" customHeight="1"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 ht="22" customHeight="1">
      <c r="B29" s="33" t="n"/>
      <c r="C29" s="33" t="n"/>
      <c r="D29" s="33" t="n"/>
      <c r="E29" s="33" t="n"/>
      <c r="F29" s="33" t="n"/>
      <c r="G29" s="33" t="n"/>
      <c r="H29" s="33" t="n"/>
      <c r="I29" s="33" t="n"/>
    </row>
    <row r="30" ht="22" customHeight="1"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 ht="22" customHeight="1">
      <c r="B31" s="33" t="n"/>
      <c r="C31" s="33" t="n"/>
      <c r="D31" s="33" t="n"/>
      <c r="E31" s="33" t="n"/>
      <c r="F31" s="33" t="n"/>
      <c r="G31" s="33" t="n"/>
      <c r="H31" s="33" t="n"/>
      <c r="I31" s="33" t="n"/>
    </row>
    <row r="32" ht="22" customHeight="1"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 ht="22" customHeight="1"/>
    <row r="34" ht="22" customHeight="1"/>
    <row r="35" ht="22" customHeight="1"/>
    <row r="36" ht="22" customHeight="1"/>
    <row r="37" ht="22" customHeight="1"/>
  </sheetData>
  <mergeCells count="4">
    <mergeCell ref="B23:I23"/>
    <mergeCell ref="B3:I3"/>
    <mergeCell ref="B2:I2"/>
    <mergeCell ref="B4:I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EDC-22: STARTUP LEGAL &amp; COMPLIANCE SUPPORT REGISTER</t>
        </is>
      </c>
    </row>
    <row r="3" ht="25" customHeight="1">
      <c r="B3" s="2" t="inlineStr">
        <is>
          <t>A.Y.: _______  Legal Advisor / EDC Coordinator: ___________________</t>
        </is>
      </c>
    </row>
    <row r="4" ht="25" customHeight="1">
      <c r="B4" s="13" t="inlineStr">
        <is>
          <t>Startup
Ref.</t>
        </is>
      </c>
      <c r="C4" s="13" t="inlineStr">
        <is>
          <t>Startup Name</t>
        </is>
      </c>
      <c r="D4" s="13" t="inlineStr">
        <is>
          <t>Legal / Compliance Area</t>
        </is>
      </c>
      <c r="E4" s="13" t="inlineStr">
        <is>
          <t>Support
Provided</t>
        </is>
      </c>
      <c r="F4" s="13" t="inlineStr">
        <is>
          <t>Status</t>
        </is>
      </c>
      <c r="G4" s="13" t="inlineStr">
        <is>
          <t>Date
Completed</t>
        </is>
      </c>
      <c r="H4" s="13" t="inlineStr">
        <is>
          <t>Legal Advisor / CA</t>
        </is>
      </c>
      <c r="I4" s="13" t="inlineStr">
        <is>
          <t>Remarks</t>
        </is>
      </c>
    </row>
    <row r="5" ht="22" customHeight="1">
      <c r="B5" s="14" t="inlineStr">
        <is>
          <t>STRTUP/001</t>
        </is>
      </c>
      <c r="C5" s="15" t="inlineStr"/>
      <c r="D5" s="16" t="inlineStr">
        <is>
          <t>Company Registration (MCA)</t>
        </is>
      </c>
      <c r="E5" s="15" t="inlineStr"/>
      <c r="F5" s="16" t="inlineStr">
        <is>
          <t>Completed</t>
        </is>
      </c>
      <c r="G5" s="16" t="inlineStr"/>
      <c r="H5" s="16" t="inlineStr"/>
      <c r="I5" s="15" t="inlineStr"/>
    </row>
    <row r="6" ht="22" customHeight="1">
      <c r="B6" s="8" t="inlineStr">
        <is>
          <t>STRTUP/002</t>
        </is>
      </c>
      <c r="C6" s="9" t="inlineStr"/>
      <c r="D6" s="10" t="inlineStr">
        <is>
          <t>LLP Registration</t>
        </is>
      </c>
      <c r="E6" s="9" t="inlineStr"/>
      <c r="F6" s="10" t="inlineStr">
        <is>
          <t>Completed</t>
        </is>
      </c>
      <c r="G6" s="10" t="inlineStr"/>
      <c r="H6" s="10" t="inlineStr"/>
      <c r="I6" s="9" t="inlineStr"/>
    </row>
    <row r="7" ht="22" customHeight="1">
      <c r="B7" s="14" t="inlineStr">
        <is>
          <t>STRTUP/003</t>
        </is>
      </c>
      <c r="C7" s="15" t="inlineStr"/>
      <c r="D7" s="16" t="inlineStr">
        <is>
          <t>DPIIT Startup India Recognition</t>
        </is>
      </c>
      <c r="E7" s="15" t="inlineStr"/>
      <c r="F7" s="16" t="inlineStr">
        <is>
          <t>Completed</t>
        </is>
      </c>
      <c r="G7" s="16" t="inlineStr"/>
      <c r="H7" s="16" t="inlineStr"/>
      <c r="I7" s="15" t="inlineStr"/>
    </row>
    <row r="8" ht="22" customHeight="1">
      <c r="B8" s="8" t="inlineStr">
        <is>
          <t>STRTUP/004</t>
        </is>
      </c>
      <c r="C8" s="9" t="inlineStr"/>
      <c r="D8" s="10" t="inlineStr">
        <is>
          <t>MSME / Udyam Registration</t>
        </is>
      </c>
      <c r="E8" s="9" t="inlineStr"/>
      <c r="F8" s="10" t="inlineStr">
        <is>
          <t>Completed</t>
        </is>
      </c>
      <c r="G8" s="10" t="inlineStr"/>
      <c r="H8" s="10" t="inlineStr"/>
      <c r="I8" s="9" t="inlineStr"/>
    </row>
    <row r="9" ht="22" customHeight="1">
      <c r="B9" s="14" t="inlineStr">
        <is>
          <t>STRTUP/005</t>
        </is>
      </c>
      <c r="C9" s="15" t="inlineStr"/>
      <c r="D9" s="16" t="inlineStr">
        <is>
          <t>GST Registration</t>
        </is>
      </c>
      <c r="E9" s="15" t="inlineStr"/>
      <c r="F9" s="16" t="inlineStr">
        <is>
          <t>Completed</t>
        </is>
      </c>
      <c r="G9" s="16" t="inlineStr"/>
      <c r="H9" s="16" t="inlineStr"/>
      <c r="I9" s="15" t="inlineStr"/>
    </row>
    <row r="10" ht="22" customHeight="1">
      <c r="B10" s="8" t="inlineStr">
        <is>
          <t>STRTUP/006</t>
        </is>
      </c>
      <c r="C10" s="9" t="inlineStr"/>
      <c r="D10" s="10" t="inlineStr">
        <is>
          <t>Tax Filing Support</t>
        </is>
      </c>
      <c r="E10" s="9" t="inlineStr"/>
      <c r="F10" s="10" t="inlineStr">
        <is>
          <t>Completed</t>
        </is>
      </c>
      <c r="G10" s="10" t="inlineStr"/>
      <c r="H10" s="10" t="inlineStr"/>
      <c r="I10" s="9" t="inlineStr"/>
    </row>
    <row r="11" ht="22" customHeight="1">
      <c r="B11" s="14" t="inlineStr">
        <is>
          <t>STRTUP/007</t>
        </is>
      </c>
      <c r="C11" s="15" t="inlineStr"/>
      <c r="D11" s="16" t="inlineStr">
        <is>
          <t>Trademark Filing</t>
        </is>
      </c>
      <c r="E11" s="15" t="inlineStr"/>
      <c r="F11" s="16" t="inlineStr">
        <is>
          <t>Completed</t>
        </is>
      </c>
      <c r="G11" s="16" t="inlineStr"/>
      <c r="H11" s="16" t="inlineStr"/>
      <c r="I11" s="15" t="inlineStr"/>
    </row>
    <row r="12" ht="22" customHeight="1">
      <c r="B12" s="8" t="inlineStr">
        <is>
          <t>STRTUP/008</t>
        </is>
      </c>
      <c r="C12" s="9" t="inlineStr"/>
      <c r="D12" s="10" t="inlineStr">
        <is>
          <t>Patent Filing</t>
        </is>
      </c>
      <c r="E12" s="9" t="inlineStr"/>
      <c r="F12" s="10" t="inlineStr">
        <is>
          <t>Completed</t>
        </is>
      </c>
      <c r="G12" s="10" t="inlineStr"/>
      <c r="H12" s="10" t="inlineStr"/>
      <c r="I12" s="9" t="inlineStr"/>
    </row>
    <row r="13" ht="22" customHeight="1">
      <c r="B13" s="14" t="inlineStr">
        <is>
          <t>STRTUP/009</t>
        </is>
      </c>
      <c r="C13" s="15" t="inlineStr"/>
      <c r="D13" s="16" t="inlineStr">
        <is>
          <t>Founders' Agreement</t>
        </is>
      </c>
      <c r="E13" s="15" t="inlineStr"/>
      <c r="F13" s="16" t="inlineStr">
        <is>
          <t>Completed</t>
        </is>
      </c>
      <c r="G13" s="16" t="inlineStr"/>
      <c r="H13" s="16" t="inlineStr"/>
      <c r="I13" s="15" t="inlineStr"/>
    </row>
    <row r="14" ht="22" customHeight="1">
      <c r="B14" s="8" t="inlineStr">
        <is>
          <t>STRTUP/010</t>
        </is>
      </c>
      <c r="C14" s="9" t="inlineStr"/>
      <c r="D14" s="10" t="inlineStr">
        <is>
          <t>Shareholder Agreement</t>
        </is>
      </c>
      <c r="E14" s="9" t="inlineStr"/>
      <c r="F14" s="10" t="inlineStr">
        <is>
          <t>Completed</t>
        </is>
      </c>
      <c r="G14" s="10" t="inlineStr"/>
      <c r="H14" s="10" t="inlineStr"/>
      <c r="I14" s="9" t="inlineStr"/>
    </row>
    <row r="15" ht="22" customHeight="1">
      <c r="B15" s="14" t="inlineStr">
        <is>
          <t>STRTUP/011</t>
        </is>
      </c>
      <c r="C15" s="15" t="inlineStr"/>
      <c r="D15" s="16" t="inlineStr">
        <is>
          <t>Employment Contract</t>
        </is>
      </c>
      <c r="E15" s="15" t="inlineStr"/>
      <c r="F15" s="16" t="inlineStr">
        <is>
          <t>Completed</t>
        </is>
      </c>
      <c r="G15" s="16" t="inlineStr"/>
      <c r="H15" s="16" t="inlineStr"/>
      <c r="I15" s="15" t="inlineStr"/>
    </row>
    <row r="16" ht="22" customHeight="1">
      <c r="B16" s="8" t="inlineStr">
        <is>
          <t>STRTUP/012</t>
        </is>
      </c>
      <c r="C16" s="9" t="inlineStr"/>
      <c r="D16" s="10" t="inlineStr">
        <is>
          <t>NDA Template</t>
        </is>
      </c>
      <c r="E16" s="9" t="inlineStr"/>
      <c r="F16" s="10" t="inlineStr">
        <is>
          <t>Completed</t>
        </is>
      </c>
      <c r="G16" s="10" t="inlineStr"/>
      <c r="H16" s="10" t="inlineStr"/>
      <c r="I16" s="9" t="inlineStr"/>
    </row>
    <row r="17" ht="22" customHeight="1">
      <c r="B17" s="14" t="inlineStr">
        <is>
          <t>STRTUP/013</t>
        </is>
      </c>
      <c r="C17" s="15" t="inlineStr"/>
      <c r="D17" s="16" t="inlineStr">
        <is>
          <t>Supplier / Customer Contract</t>
        </is>
      </c>
      <c r="E17" s="15" t="inlineStr"/>
      <c r="F17" s="16" t="inlineStr">
        <is>
          <t>Completed</t>
        </is>
      </c>
      <c r="G17" s="16" t="inlineStr"/>
      <c r="H17" s="16" t="inlineStr"/>
      <c r="I17" s="15" t="inlineStr"/>
    </row>
    <row r="18" ht="22" customHeight="1">
      <c r="B18" s="8" t="inlineStr">
        <is>
          <t>STRTUP/014</t>
        </is>
      </c>
      <c r="C18" s="9" t="inlineStr"/>
      <c r="D18" s="10" t="inlineStr">
        <is>
          <t>Data Privacy Compliance</t>
        </is>
      </c>
      <c r="E18" s="9" t="inlineStr"/>
      <c r="F18" s="10" t="inlineStr">
        <is>
          <t>Completed</t>
        </is>
      </c>
      <c r="G18" s="10" t="inlineStr"/>
      <c r="H18" s="10" t="inlineStr"/>
      <c r="I18" s="9" t="inlineStr"/>
    </row>
    <row r="19" ht="22" customHeight="1">
      <c r="B19" s="14" t="inlineStr">
        <is>
          <t>STRTUP/015</t>
        </is>
      </c>
      <c r="C19" s="15" t="inlineStr"/>
      <c r="D19" s="16" t="inlineStr">
        <is>
          <t>Export / Import Licence</t>
        </is>
      </c>
      <c r="E19" s="15" t="inlineStr"/>
      <c r="F19" s="16" t="inlineStr">
        <is>
          <t>Completed</t>
        </is>
      </c>
      <c r="G19" s="16" t="inlineStr"/>
      <c r="H19" s="16" t="inlineStr"/>
      <c r="I19" s="15" t="inlineStr"/>
    </row>
    <row r="20" ht="22" customHeight="1">
      <c r="B20" s="8" t="inlineStr">
        <is>
          <t>STRTUP/016</t>
        </is>
      </c>
      <c r="C20" s="9" t="inlineStr"/>
      <c r="D20" s="10" t="inlineStr">
        <is>
          <t>FSSAI / Sector Licence</t>
        </is>
      </c>
      <c r="E20" s="9" t="inlineStr"/>
      <c r="F20" s="10" t="inlineStr">
        <is>
          <t>Completed</t>
        </is>
      </c>
      <c r="G20" s="10" t="inlineStr"/>
      <c r="H20" s="10" t="inlineStr"/>
      <c r="I20" s="9" t="inlineStr"/>
    </row>
    <row r="21" ht="22" customHeight="1">
      <c r="B21" s="14" t="inlineStr">
        <is>
          <t>STRTUP/017</t>
        </is>
      </c>
      <c r="C21" s="15" t="inlineStr"/>
      <c r="D21" s="16" t="inlineStr">
        <is>
          <t>Company Registration (MCA)</t>
        </is>
      </c>
      <c r="E21" s="15" t="inlineStr"/>
      <c r="F21" s="16" t="inlineStr">
        <is>
          <t>Completed</t>
        </is>
      </c>
      <c r="G21" s="16" t="inlineStr"/>
      <c r="H21" s="16" t="inlineStr"/>
      <c r="I21" s="15" t="inlineStr"/>
    </row>
    <row r="22" ht="22" customHeight="1">
      <c r="B22" s="8" t="inlineStr">
        <is>
          <t>STRTUP/018</t>
        </is>
      </c>
      <c r="C22" s="9" t="inlineStr"/>
      <c r="D22" s="10" t="inlineStr">
        <is>
          <t>LLP Registration</t>
        </is>
      </c>
      <c r="E22" s="9" t="inlineStr"/>
      <c r="F22" s="10" t="inlineStr">
        <is>
          <t>Completed</t>
        </is>
      </c>
      <c r="G22" s="10" t="inlineStr"/>
      <c r="H22" s="10" t="inlineStr"/>
      <c r="I22" s="9" t="inlineStr"/>
    </row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mergeCells count="2">
    <mergeCell ref="B3:I3"/>
    <mergeCell ref="B2:I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EDC-23: INDUSTRY PARTNER, INVESTOR &amp; ECOSYSTEM NETWORK REGISTER</t>
        </is>
      </c>
    </row>
    <row r="3" ht="25" customHeight="1">
      <c r="B3" s="2" t="inlineStr">
        <is>
          <t>A.Y.: _______  EDC Industry Liaison: ___________________  Last Updated: _______</t>
        </is>
      </c>
    </row>
    <row r="4" ht="25" customHeight="1">
      <c r="B4" s="13" t="inlineStr">
        <is>
          <t>Partner
Ref.</t>
        </is>
      </c>
      <c r="C4" s="13" t="inlineStr">
        <is>
          <t>Name / Organisation</t>
        </is>
      </c>
      <c r="D4" s="13" t="inlineStr">
        <is>
          <t>Type</t>
        </is>
      </c>
      <c r="E4" s="13" t="inlineStr">
        <is>
          <t>Domain / Sector</t>
        </is>
      </c>
      <c r="F4" s="13" t="inlineStr">
        <is>
          <t>Contact Person</t>
        </is>
      </c>
      <c r="G4" s="13" t="inlineStr">
        <is>
          <t>Email / Phone</t>
        </is>
      </c>
      <c r="H4" s="13" t="inlineStr">
        <is>
          <t>Engagement
Level</t>
        </is>
      </c>
      <c r="I4" s="13" t="inlineStr">
        <is>
          <t>Startups
Supported</t>
        </is>
      </c>
      <c r="J4" s="13" t="inlineStr">
        <is>
          <t>Status</t>
        </is>
      </c>
    </row>
    <row r="5" ht="22" customHeight="1">
      <c r="B5" s="14" t="inlineStr">
        <is>
          <t>PRTN/001</t>
        </is>
      </c>
      <c r="C5" s="15" t="inlineStr"/>
      <c r="D5" s="16" t="inlineStr">
        <is>
          <t>Angel Investor</t>
        </is>
      </c>
      <c r="E5" s="16" t="inlineStr"/>
      <c r="F5" s="15" t="inlineStr"/>
      <c r="G5" s="15" t="inlineStr"/>
      <c r="H5" s="16" t="inlineStr">
        <is>
          <t>Active — Regular</t>
        </is>
      </c>
      <c r="I5" s="16" t="inlineStr"/>
      <c r="J5" s="16" t="inlineStr">
        <is>
          <t>Active</t>
        </is>
      </c>
    </row>
    <row r="6" ht="22" customHeight="1">
      <c r="B6" s="8" t="inlineStr">
        <is>
          <t>PRTN/002</t>
        </is>
      </c>
      <c r="C6" s="9" t="inlineStr"/>
      <c r="D6" s="10" t="inlineStr">
        <is>
          <t>Venture Capital</t>
        </is>
      </c>
      <c r="E6" s="10" t="inlineStr"/>
      <c r="F6" s="9" t="inlineStr"/>
      <c r="G6" s="9" t="inlineStr"/>
      <c r="H6" s="10" t="inlineStr">
        <is>
          <t>Occasional — On Request</t>
        </is>
      </c>
      <c r="I6" s="10" t="inlineStr"/>
      <c r="J6" s="10" t="inlineStr">
        <is>
          <t>Active</t>
        </is>
      </c>
    </row>
    <row r="7" ht="22" customHeight="1">
      <c r="B7" s="14" t="inlineStr">
        <is>
          <t>PRTN/003</t>
        </is>
      </c>
      <c r="C7" s="15" t="inlineStr"/>
      <c r="D7" s="16" t="inlineStr">
        <is>
          <t>Corporate Innovation Lab</t>
        </is>
      </c>
      <c r="E7" s="16" t="inlineStr"/>
      <c r="F7" s="15" t="inlineStr"/>
      <c r="G7" s="15" t="inlineStr"/>
      <c r="H7" s="16" t="inlineStr">
        <is>
          <t>MoU Signed</t>
        </is>
      </c>
      <c r="I7" s="16" t="inlineStr"/>
      <c r="J7" s="16" t="inlineStr">
        <is>
          <t>Active</t>
        </is>
      </c>
    </row>
    <row r="8" ht="22" customHeight="1">
      <c r="B8" s="8" t="inlineStr">
        <is>
          <t>PRTN/004</t>
        </is>
      </c>
      <c r="C8" s="9" t="inlineStr"/>
      <c r="D8" s="10" t="inlineStr">
        <is>
          <t>Industry Association</t>
        </is>
      </c>
      <c r="E8" s="10" t="inlineStr"/>
      <c r="F8" s="9" t="inlineStr"/>
      <c r="G8" s="9" t="inlineStr"/>
      <c r="H8" s="10" t="inlineStr">
        <is>
          <t>Informal — Networked</t>
        </is>
      </c>
      <c r="I8" s="10" t="inlineStr"/>
      <c r="J8" s="10" t="inlineStr">
        <is>
          <t>Active</t>
        </is>
      </c>
    </row>
    <row r="9" ht="22" customHeight="1">
      <c r="B9" s="14" t="inlineStr">
        <is>
          <t>PRTN/005</t>
        </is>
      </c>
      <c r="C9" s="15" t="inlineStr"/>
      <c r="D9" s="16" t="inlineStr">
        <is>
          <t>Startup Accelerator</t>
        </is>
      </c>
      <c r="E9" s="16" t="inlineStr"/>
      <c r="F9" s="15" t="inlineStr"/>
      <c r="G9" s="15" t="inlineStr"/>
      <c r="H9" s="16" t="inlineStr">
        <is>
          <t>Prospective</t>
        </is>
      </c>
      <c r="I9" s="16" t="inlineStr"/>
      <c r="J9" s="16" t="inlineStr">
        <is>
          <t>Active</t>
        </is>
      </c>
    </row>
    <row r="10" ht="22" customHeight="1">
      <c r="B10" s="8" t="inlineStr">
        <is>
          <t>PRTN/006</t>
        </is>
      </c>
      <c r="C10" s="9" t="inlineStr"/>
      <c r="D10" s="10" t="inlineStr">
        <is>
          <t>Government Body (SIDBI/DPIIT)</t>
        </is>
      </c>
      <c r="E10" s="10" t="inlineStr"/>
      <c r="F10" s="9" t="inlineStr"/>
      <c r="G10" s="9" t="inlineStr"/>
      <c r="H10" s="10" t="inlineStr">
        <is>
          <t>Active — Regular</t>
        </is>
      </c>
      <c r="I10" s="10" t="inlineStr"/>
      <c r="J10" s="10" t="inlineStr">
        <is>
          <t>Active</t>
        </is>
      </c>
    </row>
    <row r="11" ht="22" customHeight="1">
      <c r="B11" s="14" t="inlineStr">
        <is>
          <t>PRTN/007</t>
        </is>
      </c>
      <c r="C11" s="15" t="inlineStr"/>
      <c r="D11" s="16" t="inlineStr">
        <is>
          <t>MSME Support Centre</t>
        </is>
      </c>
      <c r="E11" s="16" t="inlineStr"/>
      <c r="F11" s="15" t="inlineStr"/>
      <c r="G11" s="15" t="inlineStr"/>
      <c r="H11" s="16" t="inlineStr">
        <is>
          <t>Occasional — On Request</t>
        </is>
      </c>
      <c r="I11" s="16" t="inlineStr"/>
      <c r="J11" s="16" t="inlineStr">
        <is>
          <t>Active</t>
        </is>
      </c>
    </row>
    <row r="12" ht="22" customHeight="1">
      <c r="B12" s="8" t="inlineStr">
        <is>
          <t>PRTN/008</t>
        </is>
      </c>
      <c r="C12" s="9" t="inlineStr"/>
      <c r="D12" s="10" t="inlineStr">
        <is>
          <t>Export Promotion Council</t>
        </is>
      </c>
      <c r="E12" s="10" t="inlineStr"/>
      <c r="F12" s="9" t="inlineStr"/>
      <c r="G12" s="9" t="inlineStr"/>
      <c r="H12" s="10" t="inlineStr">
        <is>
          <t>MoU Signed</t>
        </is>
      </c>
      <c r="I12" s="10" t="inlineStr"/>
      <c r="J12" s="10" t="inlineStr">
        <is>
          <t>Active</t>
        </is>
      </c>
    </row>
    <row r="13" ht="22" customHeight="1">
      <c r="B13" s="14" t="inlineStr">
        <is>
          <t>PRTN/009</t>
        </is>
      </c>
      <c r="C13" s="15" t="inlineStr"/>
      <c r="D13" s="16" t="inlineStr">
        <is>
          <t>Technology Partner</t>
        </is>
      </c>
      <c r="E13" s="16" t="inlineStr"/>
      <c r="F13" s="15" t="inlineStr"/>
      <c r="G13" s="15" t="inlineStr"/>
      <c r="H13" s="16" t="inlineStr">
        <is>
          <t>Informal — Networked</t>
        </is>
      </c>
      <c r="I13" s="16" t="inlineStr"/>
      <c r="J13" s="16" t="inlineStr">
        <is>
          <t>Active</t>
        </is>
      </c>
    </row>
    <row r="14" ht="22" customHeight="1">
      <c r="B14" s="8" t="inlineStr">
        <is>
          <t>PRTN/010</t>
        </is>
      </c>
      <c r="C14" s="9" t="inlineStr"/>
      <c r="D14" s="10" t="inlineStr">
        <is>
          <t>Co-working Space Provider</t>
        </is>
      </c>
      <c r="E14" s="10" t="inlineStr"/>
      <c r="F14" s="9" t="inlineStr"/>
      <c r="G14" s="9" t="inlineStr"/>
      <c r="H14" s="10" t="inlineStr">
        <is>
          <t>Prospective</t>
        </is>
      </c>
      <c r="I14" s="10" t="inlineStr"/>
      <c r="J14" s="10" t="inlineStr">
        <is>
          <t>Active</t>
        </is>
      </c>
    </row>
    <row r="15" ht="22" customHeight="1">
      <c r="B15" s="14" t="inlineStr">
        <is>
          <t>PRTN/011</t>
        </is>
      </c>
      <c r="C15" s="15" t="inlineStr"/>
      <c r="D15" s="16" t="inlineStr">
        <is>
          <t>Legal / CA Firm</t>
        </is>
      </c>
      <c r="E15" s="16" t="inlineStr"/>
      <c r="F15" s="15" t="inlineStr"/>
      <c r="G15" s="15" t="inlineStr"/>
      <c r="H15" s="16" t="inlineStr">
        <is>
          <t>Active — Regular</t>
        </is>
      </c>
      <c r="I15" s="16" t="inlineStr"/>
      <c r="J15" s="16" t="inlineStr">
        <is>
          <t>Active</t>
        </is>
      </c>
    </row>
    <row r="16" ht="22" customHeight="1">
      <c r="B16" s="8" t="inlineStr">
        <is>
          <t>PRTN/012</t>
        </is>
      </c>
      <c r="C16" s="9" t="inlineStr"/>
      <c r="D16" s="10" t="inlineStr">
        <is>
          <t>Mentor (Industry)</t>
        </is>
      </c>
      <c r="E16" s="10" t="inlineStr"/>
      <c r="F16" s="9" t="inlineStr"/>
      <c r="G16" s="9" t="inlineStr"/>
      <c r="H16" s="10" t="inlineStr">
        <is>
          <t>Occasional — On Request</t>
        </is>
      </c>
      <c r="I16" s="10" t="inlineStr"/>
      <c r="J16" s="10" t="inlineStr">
        <is>
          <t>Active</t>
        </is>
      </c>
    </row>
    <row r="17" ht="22" customHeight="1">
      <c r="B17" s="14" t="inlineStr">
        <is>
          <t>PRTN/013</t>
        </is>
      </c>
      <c r="C17" s="15" t="inlineStr"/>
      <c r="D17" s="16" t="inlineStr">
        <is>
          <t>Angel Investor</t>
        </is>
      </c>
      <c r="E17" s="16" t="inlineStr"/>
      <c r="F17" s="15" t="inlineStr"/>
      <c r="G17" s="15" t="inlineStr"/>
      <c r="H17" s="16" t="inlineStr">
        <is>
          <t>MoU Signed</t>
        </is>
      </c>
      <c r="I17" s="16" t="inlineStr"/>
      <c r="J17" s="16" t="inlineStr">
        <is>
          <t>Active</t>
        </is>
      </c>
    </row>
    <row r="18" ht="22" customHeight="1">
      <c r="B18" s="8" t="inlineStr">
        <is>
          <t>PRTN/014</t>
        </is>
      </c>
      <c r="C18" s="9" t="inlineStr"/>
      <c r="D18" s="10" t="inlineStr">
        <is>
          <t>Venture Capital</t>
        </is>
      </c>
      <c r="E18" s="10" t="inlineStr"/>
      <c r="F18" s="9" t="inlineStr"/>
      <c r="G18" s="9" t="inlineStr"/>
      <c r="H18" s="10" t="inlineStr">
        <is>
          <t>Informal — Networked</t>
        </is>
      </c>
      <c r="I18" s="10" t="inlineStr"/>
      <c r="J18" s="10" t="inlineStr">
        <is>
          <t>Active</t>
        </is>
      </c>
    </row>
    <row r="19" ht="22" customHeight="1">
      <c r="B19" s="14" t="inlineStr">
        <is>
          <t>PRTN/015</t>
        </is>
      </c>
      <c r="C19" s="15" t="inlineStr"/>
      <c r="D19" s="16" t="inlineStr">
        <is>
          <t>Corporate Innovation Lab</t>
        </is>
      </c>
      <c r="E19" s="16" t="inlineStr"/>
      <c r="F19" s="15" t="inlineStr"/>
      <c r="G19" s="15" t="inlineStr"/>
      <c r="H19" s="16" t="inlineStr">
        <is>
          <t>Prospective</t>
        </is>
      </c>
      <c r="I19" s="16" t="inlineStr"/>
      <c r="J19" s="16" t="inlineStr">
        <is>
          <t>Active</t>
        </is>
      </c>
    </row>
    <row r="20" ht="22" customHeight="1">
      <c r="B20" s="8" t="inlineStr">
        <is>
          <t>PRTN/016</t>
        </is>
      </c>
      <c r="C20" s="9" t="inlineStr"/>
      <c r="D20" s="10" t="inlineStr">
        <is>
          <t>Industry Association</t>
        </is>
      </c>
      <c r="E20" s="10" t="inlineStr"/>
      <c r="F20" s="9" t="inlineStr"/>
      <c r="G20" s="9" t="inlineStr"/>
      <c r="H20" s="10" t="inlineStr">
        <is>
          <t>Active — Regular</t>
        </is>
      </c>
      <c r="I20" s="10" t="inlineStr"/>
      <c r="J20" s="10" t="inlineStr">
        <is>
          <t>Active</t>
        </is>
      </c>
    </row>
    <row r="21" ht="22" customHeight="1">
      <c r="B21" s="14" t="inlineStr">
        <is>
          <t>PRTN/017</t>
        </is>
      </c>
      <c r="C21" s="15" t="inlineStr"/>
      <c r="D21" s="16" t="inlineStr">
        <is>
          <t>Startup Accelerator</t>
        </is>
      </c>
      <c r="E21" s="16" t="inlineStr"/>
      <c r="F21" s="15" t="inlineStr"/>
      <c r="G21" s="15" t="inlineStr"/>
      <c r="H21" s="16" t="inlineStr">
        <is>
          <t>Occasional — On Request</t>
        </is>
      </c>
      <c r="I21" s="16" t="inlineStr"/>
      <c r="J21" s="16" t="inlineStr">
        <is>
          <t>Active</t>
        </is>
      </c>
    </row>
    <row r="22" ht="22" customHeight="1">
      <c r="B22" s="8" t="inlineStr">
        <is>
          <t>PRTN/018</t>
        </is>
      </c>
      <c r="C22" s="9" t="inlineStr"/>
      <c r="D22" s="10" t="inlineStr">
        <is>
          <t>Government Body (SIDBI/DPIIT)</t>
        </is>
      </c>
      <c r="E22" s="10" t="inlineStr"/>
      <c r="F22" s="9" t="inlineStr"/>
      <c r="G22" s="9" t="inlineStr"/>
      <c r="H22" s="10" t="inlineStr">
        <is>
          <t>MoU Signed</t>
        </is>
      </c>
      <c r="I22" s="10" t="inlineStr"/>
      <c r="J22" s="10" t="inlineStr">
        <is>
          <t>Active</t>
        </is>
      </c>
    </row>
    <row r="23" ht="22" customHeight="1">
      <c r="B23" s="14" t="inlineStr">
        <is>
          <t>PRTN/019</t>
        </is>
      </c>
      <c r="C23" s="15" t="inlineStr"/>
      <c r="D23" s="16" t="inlineStr">
        <is>
          <t>MSME Support Centre</t>
        </is>
      </c>
      <c r="E23" s="16" t="inlineStr"/>
      <c r="F23" s="15" t="inlineStr"/>
      <c r="G23" s="15" t="inlineStr"/>
      <c r="H23" s="16" t="inlineStr">
        <is>
          <t>Informal — Networked</t>
        </is>
      </c>
      <c r="I23" s="16" t="inlineStr"/>
      <c r="J23" s="16" t="inlineStr">
        <is>
          <t>Active</t>
        </is>
      </c>
    </row>
    <row r="24" ht="22" customHeight="1">
      <c r="B24" s="8" t="inlineStr">
        <is>
          <t>PRTN/020</t>
        </is>
      </c>
      <c r="C24" s="9" t="inlineStr"/>
      <c r="D24" s="10" t="inlineStr">
        <is>
          <t>Export Promotion Council</t>
        </is>
      </c>
      <c r="E24" s="10" t="inlineStr"/>
      <c r="F24" s="9" t="inlineStr"/>
      <c r="G24" s="9" t="inlineStr"/>
      <c r="H24" s="10" t="inlineStr">
        <is>
          <t>Prospective</t>
        </is>
      </c>
      <c r="I24" s="10" t="inlineStr"/>
      <c r="J24" s="10" t="inlineStr">
        <is>
          <t>Active</t>
        </is>
      </c>
    </row>
    <row r="25" ht="22" customHeight="1">
      <c r="B25" s="14" t="inlineStr">
        <is>
          <t>PRTN/021</t>
        </is>
      </c>
      <c r="C25" s="15" t="inlineStr"/>
      <c r="D25" s="16" t="inlineStr">
        <is>
          <t>Technology Partner</t>
        </is>
      </c>
      <c r="E25" s="16" t="inlineStr"/>
      <c r="F25" s="15" t="inlineStr"/>
      <c r="G25" s="15" t="inlineStr"/>
      <c r="H25" s="16" t="inlineStr">
        <is>
          <t>Active — Regular</t>
        </is>
      </c>
      <c r="I25" s="16" t="inlineStr"/>
      <c r="J25" s="16" t="inlineStr">
        <is>
          <t>Active</t>
        </is>
      </c>
    </row>
    <row r="26" ht="22" customHeight="1">
      <c r="B26" s="8" t="inlineStr">
        <is>
          <t>PRTN/022</t>
        </is>
      </c>
      <c r="C26" s="9" t="inlineStr"/>
      <c r="D26" s="10" t="inlineStr">
        <is>
          <t>Co-working Space Provider</t>
        </is>
      </c>
      <c r="E26" s="10" t="inlineStr"/>
      <c r="F26" s="9" t="inlineStr"/>
      <c r="G26" s="9" t="inlineStr"/>
      <c r="H26" s="10" t="inlineStr">
        <is>
          <t>Occasional — On Request</t>
        </is>
      </c>
      <c r="I26" s="10" t="inlineStr"/>
      <c r="J26" s="10" t="inlineStr">
        <is>
          <t>Active</t>
        </is>
      </c>
    </row>
    <row r="27" ht="22" customHeight="1"/>
    <row r="28" ht="24" customHeight="1">
      <c r="B28" s="34" t="inlineStr">
        <is>
          <t>INVESTOR ENGAGEMENT LOG</t>
        </is>
      </c>
    </row>
    <row r="29" ht="22" customHeight="1">
      <c r="B29" s="30" t="inlineStr">
        <is>
          <t>Investor
Ref.</t>
        </is>
      </c>
      <c r="C29" s="30" t="inlineStr">
        <is>
          <t>Investor Name</t>
        </is>
      </c>
      <c r="D29" s="30" t="inlineStr">
        <is>
          <t>Type</t>
        </is>
      </c>
      <c r="E29" s="30" t="inlineStr">
        <is>
          <t>Pitch Date</t>
        </is>
      </c>
      <c r="F29" s="30" t="inlineStr">
        <is>
          <t>Startup Pitched</t>
        </is>
      </c>
      <c r="G29" s="30" t="inlineStr">
        <is>
          <t>Investment
Interest</t>
        </is>
      </c>
      <c r="H29" s="30" t="inlineStr">
        <is>
          <t>Due Diligence
Status</t>
        </is>
      </c>
      <c r="I29" s="30" t="inlineStr">
        <is>
          <t>Investment
Closed (₹L)</t>
        </is>
      </c>
      <c r="J29" s="30" t="inlineStr">
        <is>
          <t>Stage</t>
        </is>
      </c>
    </row>
    <row r="30" ht="22" customHeight="1"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</row>
    <row r="31" ht="22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22" customHeight="1"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</row>
    <row r="33" ht="22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 ht="22" customHeight="1"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</row>
    <row r="35" ht="22" customHeight="1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22" customHeight="1"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</row>
    <row r="37" ht="22" customHeight="1"/>
  </sheetData>
  <mergeCells count="3">
    <mergeCell ref="B28:J28"/>
    <mergeCell ref="B3:J3"/>
    <mergeCell ref="B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EDC-26: EDC KPI DASHBOARD — QUARTERLY MONITORING</t>
        </is>
      </c>
    </row>
    <row r="3" ht="25" customHeight="1">
      <c r="B3" s="2" t="inlineStr">
        <is>
          <t>A.Y.: _______  Quarter: Q1 / Q2 / Q3 / Q4  EDC Chairperson: ___________________  Date: _______</t>
        </is>
      </c>
    </row>
    <row r="4" ht="24" customHeight="1">
      <c r="B4" s="19" t="inlineStr">
        <is>
          <t>ECOSYSTEM &amp; INFRASTRUCTURE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Annual
Target</t>
        </is>
      </c>
      <c r="F5" s="13" t="inlineStr">
        <is>
          <t>Prev. Year
Actual</t>
        </is>
      </c>
      <c r="G5" s="13" t="inlineStr">
        <is>
          <t>Q-to-Date
Actual</t>
        </is>
      </c>
      <c r="H5" s="13" t="inlineStr">
        <is>
          <t>Status</t>
        </is>
      </c>
      <c r="I5" s="13" t="inlineStr">
        <is>
          <t>EDC Action Required</t>
        </is>
      </c>
    </row>
    <row r="6" ht="22" customHeight="1">
      <c r="B6" s="14" t="n">
        <v>1</v>
      </c>
      <c r="C6" s="15" t="inlineStr">
        <is>
          <t>E-Cell / Club active membership</t>
        </is>
      </c>
      <c r="D6" s="16" t="inlineStr">
        <is>
          <t>No. of students</t>
        </is>
      </c>
      <c r="E6" s="16" t="inlineStr">
        <is>
          <t>≥100 members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Startups registered with EDC</t>
        </is>
      </c>
      <c r="D7" s="10" t="inlineStr">
        <is>
          <t>No. active</t>
        </is>
      </c>
      <c r="E7" s="10" t="inlineStr">
        <is>
          <t>≥15 startups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Startups in incubation</t>
        </is>
      </c>
      <c r="D8" s="16" t="inlineStr">
        <is>
          <t>No. incubated</t>
        </is>
      </c>
      <c r="E8" s="16" t="inlineStr">
        <is>
          <t>≥8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Incubation facility utilisation</t>
        </is>
      </c>
      <c r="D9" s="10" t="inlineStr">
        <is>
          <t>% occupancy</t>
        </is>
      </c>
      <c r="E9" s="10" t="inlineStr">
        <is>
          <t>≥75%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Active mentors in panel</t>
        </is>
      </c>
      <c r="D10" s="16" t="inlineStr">
        <is>
          <t>No. mentors</t>
        </is>
      </c>
      <c r="E10" s="16" t="inlineStr">
        <is>
          <t>≥20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MoUs with industry / investors</t>
        </is>
      </c>
      <c r="D11" s="10" t="inlineStr">
        <is>
          <t>No. active</t>
        </is>
      </c>
      <c r="E11" s="10" t="inlineStr">
        <is>
          <t>≥10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34" t="inlineStr">
        <is>
          <t>AWARENESS &amp; EDUCATION KPIs</t>
        </is>
      </c>
    </row>
    <row r="14" ht="22" customHeight="1">
      <c r="B14" s="30" t="inlineStr">
        <is>
          <t>Sl.</t>
        </is>
      </c>
      <c r="C14" s="30" t="inlineStr">
        <is>
          <t>Key Performance Indicator</t>
        </is>
      </c>
      <c r="D14" s="30" t="inlineStr">
        <is>
          <t>Unit</t>
        </is>
      </c>
      <c r="E14" s="30" t="inlineStr">
        <is>
          <t>Annual
Target</t>
        </is>
      </c>
      <c r="F14" s="30" t="inlineStr">
        <is>
          <t>Prev. Year
Actual</t>
        </is>
      </c>
      <c r="G14" s="30" t="inlineStr">
        <is>
          <t>Q-to-Date
Actual</t>
        </is>
      </c>
      <c r="H14" s="30" t="inlineStr">
        <is>
          <t>Status</t>
        </is>
      </c>
      <c r="I14" s="30" t="inlineStr">
        <is>
          <t>EDC Action Required</t>
        </is>
      </c>
    </row>
    <row r="15" ht="22" customHeight="1">
      <c r="B15" s="31" t="n">
        <v>1</v>
      </c>
      <c r="C15" s="32" t="inlineStr">
        <is>
          <t>Entrepreneurship events conducted</t>
        </is>
      </c>
      <c r="D15" s="33" t="inlineStr">
        <is>
          <t>No. per year</t>
        </is>
      </c>
      <c r="E15" s="33" t="inlineStr">
        <is>
          <t>≥20</t>
        </is>
      </c>
      <c r="F15" s="33" t="inlineStr"/>
      <c r="G15" s="33" t="inlineStr"/>
      <c r="H15" s="33" t="inlineStr">
        <is>
          <t>On Track</t>
        </is>
      </c>
      <c r="I15" s="32" t="inlineStr"/>
    </row>
    <row r="16" ht="22" customHeight="1">
      <c r="B16" s="8" t="n">
        <v>2</v>
      </c>
      <c r="C16" s="9" t="inlineStr">
        <is>
          <t>Total event participants</t>
        </is>
      </c>
      <c r="D16" s="10" t="inlineStr">
        <is>
          <t>No. students</t>
        </is>
      </c>
      <c r="E16" s="10" t="inlineStr">
        <is>
          <t>≥1000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31" t="n">
        <v>3</v>
      </c>
      <c r="C17" s="32" t="inlineStr">
        <is>
          <t>E'ship courses / electives offered</t>
        </is>
      </c>
      <c r="D17" s="33" t="inlineStr">
        <is>
          <t>No. per semester</t>
        </is>
      </c>
      <c r="E17" s="33" t="inlineStr">
        <is>
          <t>≥2</t>
        </is>
      </c>
      <c r="F17" s="33" t="inlineStr"/>
      <c r="G17" s="33" t="inlineStr"/>
      <c r="H17" s="33" t="inlineStr">
        <is>
          <t>On Track</t>
        </is>
      </c>
      <c r="I17" s="32" t="inlineStr"/>
    </row>
    <row r="18" ht="22" customHeight="1">
      <c r="B18" s="8" t="n">
        <v>4</v>
      </c>
      <c r="C18" s="9" t="inlineStr">
        <is>
          <t>Faculty trained in E'ship pedagogy</t>
        </is>
      </c>
      <c r="D18" s="10" t="inlineStr">
        <is>
          <t>No. faculty</t>
        </is>
      </c>
      <c r="E18" s="10" t="inlineStr">
        <is>
          <t>≥10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31" t="n">
        <v>5</v>
      </c>
      <c r="C19" s="32" t="inlineStr">
        <is>
          <t>Guest lectures by entrepreneurs</t>
        </is>
      </c>
      <c r="D19" s="33" t="inlineStr">
        <is>
          <t>No. per year</t>
        </is>
      </c>
      <c r="E19" s="33" t="inlineStr">
        <is>
          <t>≥12</t>
        </is>
      </c>
      <c r="F19" s="33" t="inlineStr"/>
      <c r="G19" s="33" t="inlineStr"/>
      <c r="H19" s="33" t="inlineStr">
        <is>
          <t>On Track</t>
        </is>
      </c>
      <c r="I19" s="32" t="inlineStr"/>
    </row>
    <row r="20" ht="22" customHeight="1">
      <c r="B20" s="8" t="n">
        <v>6</v>
      </c>
      <c r="C20" s="9" t="inlineStr">
        <is>
          <t>Field visits to startups / parks</t>
        </is>
      </c>
      <c r="D20" s="10" t="inlineStr">
        <is>
          <t>No. per year</t>
        </is>
      </c>
      <c r="E20" s="10" t="inlineStr">
        <is>
          <t>≥4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/>
    <row r="22" ht="24" customHeight="1">
      <c r="B22" s="38" t="inlineStr">
        <is>
          <t>STARTUP SUPPORT KPIs</t>
        </is>
      </c>
    </row>
    <row r="23" ht="22" customHeight="1">
      <c r="B23" s="65" t="inlineStr">
        <is>
          <t>Sl.</t>
        </is>
      </c>
      <c r="C23" s="65" t="inlineStr">
        <is>
          <t>Key Performance Indicator</t>
        </is>
      </c>
      <c r="D23" s="65" t="inlineStr">
        <is>
          <t>Unit</t>
        </is>
      </c>
      <c r="E23" s="65" t="inlineStr">
        <is>
          <t>Annual
Target</t>
        </is>
      </c>
      <c r="F23" s="65" t="inlineStr">
        <is>
          <t>Prev. Year
Actual</t>
        </is>
      </c>
      <c r="G23" s="65" t="inlineStr">
        <is>
          <t>Q-to-Date
Actual</t>
        </is>
      </c>
      <c r="H23" s="65" t="inlineStr">
        <is>
          <t>Status</t>
        </is>
      </c>
      <c r="I23" s="65" t="inlineStr">
        <is>
          <t>EDC Action Required</t>
        </is>
      </c>
    </row>
    <row r="24" ht="22" customHeight="1">
      <c r="B24" s="66" t="n">
        <v>1</v>
      </c>
      <c r="C24" s="40" t="inlineStr">
        <is>
          <t>Business ideas screened</t>
        </is>
      </c>
      <c r="D24" s="39" t="inlineStr">
        <is>
          <t>No. per year</t>
        </is>
      </c>
      <c r="E24" s="39" t="inlineStr">
        <is>
          <t>≥50</t>
        </is>
      </c>
      <c r="F24" s="39" t="inlineStr"/>
      <c r="G24" s="39" t="inlineStr"/>
      <c r="H24" s="39" t="inlineStr">
        <is>
          <t>On Track</t>
        </is>
      </c>
      <c r="I24" s="40" t="inlineStr"/>
    </row>
    <row r="25" ht="22" customHeight="1">
      <c r="B25" s="8" t="n">
        <v>2</v>
      </c>
      <c r="C25" s="9" t="inlineStr">
        <is>
          <t>Ideas converted to registered startups</t>
        </is>
      </c>
      <c r="D25" s="10" t="inlineStr">
        <is>
          <t>No. (%)</t>
        </is>
      </c>
      <c r="E25" s="10" t="inlineStr">
        <is>
          <t>≥30%</t>
        </is>
      </c>
      <c r="F25" s="10" t="inlineStr"/>
      <c r="G25" s="10" t="inlineStr"/>
      <c r="H25" s="10" t="inlineStr">
        <is>
          <t>On Track</t>
        </is>
      </c>
      <c r="I25" s="9" t="inlineStr"/>
    </row>
    <row r="26" ht="22" customHeight="1">
      <c r="B26" s="66" t="n">
        <v>3</v>
      </c>
      <c r="C26" s="40" t="inlineStr">
        <is>
          <t>Mentorship sessions conducted</t>
        </is>
      </c>
      <c r="D26" s="39" t="inlineStr">
        <is>
          <t>No. per year</t>
        </is>
      </c>
      <c r="E26" s="39" t="inlineStr">
        <is>
          <t>≥100</t>
        </is>
      </c>
      <c r="F26" s="39" t="inlineStr"/>
      <c r="G26" s="39" t="inlineStr"/>
      <c r="H26" s="39" t="inlineStr">
        <is>
          <t>On Track</t>
        </is>
      </c>
      <c r="I26" s="40" t="inlineStr"/>
    </row>
    <row r="27" ht="22" customHeight="1">
      <c r="B27" s="8" t="n">
        <v>4</v>
      </c>
      <c r="C27" s="9" t="inlineStr">
        <is>
          <t>Average mentorship hours per startup</t>
        </is>
      </c>
      <c r="D27" s="10" t="inlineStr">
        <is>
          <t>Hrs / startup / month</t>
        </is>
      </c>
      <c r="E27" s="10" t="inlineStr">
        <is>
          <t>≥4 hrs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66" t="n">
        <v>5</v>
      </c>
      <c r="C28" s="40" t="inlineStr">
        <is>
          <t>Prototypes developed</t>
        </is>
      </c>
      <c r="D28" s="39" t="inlineStr">
        <is>
          <t>No. per year</t>
        </is>
      </c>
      <c r="E28" s="39" t="inlineStr">
        <is>
          <t>≥10</t>
        </is>
      </c>
      <c r="F28" s="39" t="inlineStr"/>
      <c r="G28" s="39" t="inlineStr"/>
      <c r="H28" s="39" t="inlineStr">
        <is>
          <t>On Track</t>
        </is>
      </c>
      <c r="I28" s="40" t="inlineStr"/>
    </row>
    <row r="29" ht="22" customHeight="1">
      <c r="B29" s="8" t="n">
        <v>6</v>
      </c>
      <c r="C29" s="9" t="inlineStr">
        <is>
          <t>IPR filings supported</t>
        </is>
      </c>
      <c r="D29" s="10" t="inlineStr">
        <is>
          <t>No. per year</t>
        </is>
      </c>
      <c r="E29" s="10" t="inlineStr">
        <is>
          <t>≥5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/>
    <row r="31" ht="24" customHeight="1">
      <c r="B31" s="20" t="inlineStr">
        <is>
          <t>FUNDING &amp; FINANCIAL KPIs</t>
        </is>
      </c>
    </row>
    <row r="32" ht="22" customHeight="1">
      <c r="B32" s="21" t="inlineStr">
        <is>
          <t>Sl.</t>
        </is>
      </c>
      <c r="C32" s="21" t="inlineStr">
        <is>
          <t>Key Performance Indicator</t>
        </is>
      </c>
      <c r="D32" s="21" t="inlineStr">
        <is>
          <t>Unit</t>
        </is>
      </c>
      <c r="E32" s="21" t="inlineStr">
        <is>
          <t>Annual
Target</t>
        </is>
      </c>
      <c r="F32" s="21" t="inlineStr">
        <is>
          <t>Prev. Year
Actual</t>
        </is>
      </c>
      <c r="G32" s="21" t="inlineStr">
        <is>
          <t>Q-to-Date
Actual</t>
        </is>
      </c>
      <c r="H32" s="21" t="inlineStr">
        <is>
          <t>Status</t>
        </is>
      </c>
      <c r="I32" s="21" t="inlineStr">
        <is>
          <t>EDC Action Required</t>
        </is>
      </c>
    </row>
    <row r="33" ht="22" customHeight="1">
      <c r="B33" s="67" t="n">
        <v>1</v>
      </c>
      <c r="C33" s="47" t="inlineStr">
        <is>
          <t>Seed fund applications received</t>
        </is>
      </c>
      <c r="D33" s="22" t="inlineStr">
        <is>
          <t>No. per year</t>
        </is>
      </c>
      <c r="E33" s="22" t="inlineStr">
        <is>
          <t>≥20</t>
        </is>
      </c>
      <c r="F33" s="22" t="inlineStr"/>
      <c r="G33" s="22" t="inlineStr"/>
      <c r="H33" s="22" t="inlineStr">
        <is>
          <t>On Track</t>
        </is>
      </c>
      <c r="I33" s="47" t="inlineStr"/>
    </row>
    <row r="34" ht="22" customHeight="1">
      <c r="B34" s="8" t="n">
        <v>2</v>
      </c>
      <c r="C34" s="9" t="inlineStr">
        <is>
          <t>Seed fund disbursed (₹L)</t>
        </is>
      </c>
      <c r="D34" s="10" t="inlineStr">
        <is>
          <t>₹L per year</t>
        </is>
      </c>
      <c r="E34" s="10" t="inlineStr">
        <is>
          <t>≥10</t>
        </is>
      </c>
      <c r="F34" s="10" t="inlineStr"/>
      <c r="G34" s="10" t="inlineStr"/>
      <c r="H34" s="10" t="inlineStr">
        <is>
          <t>On Track</t>
        </is>
      </c>
      <c r="I34" s="9" t="inlineStr"/>
    </row>
    <row r="35" ht="22" customHeight="1">
      <c r="B35" s="67" t="n">
        <v>3</v>
      </c>
      <c r="C35" s="47" t="inlineStr">
        <is>
          <t>External funding won (₹L)</t>
        </is>
      </c>
      <c r="D35" s="22" t="inlineStr">
        <is>
          <t>₹L per year</t>
        </is>
      </c>
      <c r="E35" s="22" t="inlineStr">
        <is>
          <t>≥25</t>
        </is>
      </c>
      <c r="F35" s="22" t="inlineStr"/>
      <c r="G35" s="22" t="inlineStr"/>
      <c r="H35" s="22" t="inlineStr">
        <is>
          <t>On Track</t>
        </is>
      </c>
      <c r="I35" s="47" t="inlineStr"/>
    </row>
    <row r="36" ht="22" customHeight="1">
      <c r="B36" s="8" t="n">
        <v>4</v>
      </c>
      <c r="C36" s="9" t="inlineStr">
        <is>
          <t>Startups with positive revenue</t>
        </is>
      </c>
      <c r="D36" s="10" t="inlineStr">
        <is>
          <t>No. (%)</t>
        </is>
      </c>
      <c r="E36" s="10" t="inlineStr">
        <is>
          <t>≥40%</t>
        </is>
      </c>
      <c r="F36" s="10" t="inlineStr"/>
      <c r="G36" s="10" t="inlineStr"/>
      <c r="H36" s="10" t="inlineStr">
        <is>
          <t>On Track</t>
        </is>
      </c>
      <c r="I36" s="9" t="inlineStr"/>
    </row>
    <row r="37" ht="22" customHeight="1">
      <c r="B37" s="67" t="n">
        <v>5</v>
      </c>
      <c r="C37" s="47" t="inlineStr">
        <is>
          <t>Total startup portfolio revenue (₹L)</t>
        </is>
      </c>
      <c r="D37" s="22" t="inlineStr">
        <is>
          <t>₹L per year</t>
        </is>
      </c>
      <c r="E37" s="22" t="inlineStr">
        <is>
          <t>≥50</t>
        </is>
      </c>
      <c r="F37" s="22" t="inlineStr"/>
      <c r="G37" s="22" t="inlineStr"/>
      <c r="H37" s="22" t="inlineStr">
        <is>
          <t>On Track</t>
        </is>
      </c>
      <c r="I37" s="47" t="inlineStr"/>
    </row>
    <row r="38" ht="22" customHeight="1">
      <c r="B38" s="8" t="n">
        <v>6</v>
      </c>
      <c r="C38" s="9" t="inlineStr">
        <is>
          <t>Investment attracted from investors (₹L)</t>
        </is>
      </c>
      <c r="D38" s="10" t="inlineStr">
        <is>
          <t>₹L per year</t>
        </is>
      </c>
      <c r="E38" s="10" t="inlineStr">
        <is>
          <t>≥50</t>
        </is>
      </c>
      <c r="F38" s="10" t="inlineStr"/>
      <c r="G38" s="10" t="inlineStr"/>
      <c r="H38" s="10" t="inlineStr">
        <is>
          <t>On Track</t>
        </is>
      </c>
      <c r="I38" s="9" t="inlineStr"/>
    </row>
    <row r="39" ht="22" customHeight="1"/>
    <row r="40" ht="24" customHeight="1">
      <c r="B40" s="41" t="inlineStr">
        <is>
          <t>IMPACT &amp; OUTCOME KPIs</t>
        </is>
      </c>
    </row>
    <row r="41" ht="22" customHeight="1">
      <c r="B41" s="68" t="inlineStr">
        <is>
          <t>Sl.</t>
        </is>
      </c>
      <c r="C41" s="68" t="inlineStr">
        <is>
          <t>Key Performance Indicator</t>
        </is>
      </c>
      <c r="D41" s="68" t="inlineStr">
        <is>
          <t>Unit</t>
        </is>
      </c>
      <c r="E41" s="68" t="inlineStr">
        <is>
          <t>Annual
Target</t>
        </is>
      </c>
      <c r="F41" s="68" t="inlineStr">
        <is>
          <t>Prev. Year
Actual</t>
        </is>
      </c>
      <c r="G41" s="68" t="inlineStr">
        <is>
          <t>Q-to-Date
Actual</t>
        </is>
      </c>
      <c r="H41" s="68" t="inlineStr">
        <is>
          <t>Status</t>
        </is>
      </c>
      <c r="I41" s="68" t="inlineStr">
        <is>
          <t>EDC Action Required</t>
        </is>
      </c>
    </row>
    <row r="42" ht="22" customHeight="1">
      <c r="B42" s="69" t="n">
        <v>1</v>
      </c>
      <c r="C42" s="43" t="inlineStr">
        <is>
          <t>Jobs created by startups</t>
        </is>
      </c>
      <c r="D42" s="42" t="inlineStr">
        <is>
          <t>No. FTE</t>
        </is>
      </c>
      <c r="E42" s="42" t="inlineStr">
        <is>
          <t>≥25</t>
        </is>
      </c>
      <c r="F42" s="42" t="inlineStr"/>
      <c r="G42" s="42" t="inlineStr"/>
      <c r="H42" s="42" t="inlineStr">
        <is>
          <t>On Track</t>
        </is>
      </c>
      <c r="I42" s="43" t="inlineStr"/>
    </row>
    <row r="43" ht="22" customHeight="1">
      <c r="B43" s="8" t="n">
        <v>2</v>
      </c>
      <c r="C43" s="9" t="inlineStr">
        <is>
          <t>Startups graduated from incubation</t>
        </is>
      </c>
      <c r="D43" s="10" t="inlineStr">
        <is>
          <t>No. per year</t>
        </is>
      </c>
      <c r="E43" s="10" t="inlineStr">
        <is>
          <t>≥3</t>
        </is>
      </c>
      <c r="F43" s="10" t="inlineStr"/>
      <c r="G43" s="10" t="inlineStr"/>
      <c r="H43" s="10" t="inlineStr">
        <is>
          <t>On Track</t>
        </is>
      </c>
      <c r="I43" s="9" t="inlineStr"/>
    </row>
    <row r="44" ht="22" customHeight="1">
      <c r="B44" s="69" t="n">
        <v>3</v>
      </c>
      <c r="C44" s="43" t="inlineStr">
        <is>
          <t>Startups nationally / intl. recognised</t>
        </is>
      </c>
      <c r="D44" s="42" t="inlineStr">
        <is>
          <t>No. awards</t>
        </is>
      </c>
      <c r="E44" s="42" t="inlineStr">
        <is>
          <t>≥5</t>
        </is>
      </c>
      <c r="F44" s="42" t="inlineStr"/>
      <c r="G44" s="42" t="inlineStr"/>
      <c r="H44" s="42" t="inlineStr">
        <is>
          <t>On Track</t>
        </is>
      </c>
      <c r="I44" s="43" t="inlineStr"/>
    </row>
    <row r="45" ht="22" customHeight="1">
      <c r="B45" s="8" t="n">
        <v>4</v>
      </c>
      <c r="C45" s="9" t="inlineStr">
        <is>
          <t>Alumni entrepreneurs mentoring current students</t>
        </is>
      </c>
      <c r="D45" s="10" t="inlineStr">
        <is>
          <t>No.</t>
        </is>
      </c>
      <c r="E45" s="10" t="inlineStr">
        <is>
          <t>≥10</t>
        </is>
      </c>
      <c r="F45" s="10" t="inlineStr"/>
      <c r="G45" s="10" t="inlineStr"/>
      <c r="H45" s="10" t="inlineStr">
        <is>
          <t>On Track</t>
        </is>
      </c>
      <c r="I45" s="9" t="inlineStr"/>
    </row>
    <row r="46" ht="22" customHeight="1">
      <c r="B46" s="69" t="n">
        <v>5</v>
      </c>
      <c r="C46" s="43" t="inlineStr">
        <is>
          <t>Social / community impact beneficiaries</t>
        </is>
      </c>
      <c r="D46" s="42" t="inlineStr">
        <is>
          <t>No. reached</t>
        </is>
      </c>
      <c r="E46" s="42" t="inlineStr">
        <is>
          <t>≥500</t>
        </is>
      </c>
      <c r="F46" s="42" t="inlineStr"/>
      <c r="G46" s="42" t="inlineStr"/>
      <c r="H46" s="42" t="inlineStr">
        <is>
          <t>On Track</t>
        </is>
      </c>
      <c r="I46" s="43" t="inlineStr"/>
    </row>
    <row r="47" ht="22" customHeight="1">
      <c r="B47" s="8" t="n">
        <v>6</v>
      </c>
      <c r="C47" s="9" t="inlineStr">
        <is>
          <t>NAAC / NIRF relevant data score</t>
        </is>
      </c>
      <c r="D47" s="10" t="inlineStr">
        <is>
          <t>Score / compliance</t>
        </is>
      </c>
      <c r="E47" s="10" t="inlineStr">
        <is>
          <t>Max possible</t>
        </is>
      </c>
      <c r="F47" s="10" t="inlineStr"/>
      <c r="G47" s="10" t="inlineStr"/>
      <c r="H47" s="10" t="inlineStr">
        <is>
          <t>On Track</t>
        </is>
      </c>
      <c r="I47" s="9" t="inlineStr"/>
    </row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</sheetData>
  <mergeCells count="7">
    <mergeCell ref="B13:I13"/>
    <mergeCell ref="B2:I2"/>
    <mergeCell ref="B3:I3"/>
    <mergeCell ref="B22:I22"/>
    <mergeCell ref="B31:I31"/>
    <mergeCell ref="B4:I4"/>
    <mergeCell ref="B40:I4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EDC-27: STARTUP LIFECYCLE &amp; GRADUATION TRACKER</t>
        </is>
      </c>
    </row>
    <row r="3" ht="25" customHeight="1">
      <c r="B3" s="2" t="inlineStr">
        <is>
          <t>A.Y.: _______  EDC Coordinator: ___________________  Review: Quarterly</t>
        </is>
      </c>
    </row>
    <row r="4" ht="25" customHeight="1">
      <c r="B4" s="13" t="inlineStr">
        <is>
          <t>Startup
Ref.</t>
        </is>
      </c>
      <c r="C4" s="13" t="inlineStr">
        <is>
          <t>Startup Name</t>
        </is>
      </c>
      <c r="D4" s="13" t="inlineStr">
        <is>
          <t>Incubation
Start</t>
        </is>
      </c>
      <c r="E4" s="13" t="inlineStr">
        <is>
          <t>Current Stage</t>
        </is>
      </c>
      <c r="F4" s="13" t="inlineStr">
        <is>
          <t>Revenue
(₹L)</t>
        </is>
      </c>
      <c r="G4" s="13" t="inlineStr">
        <is>
          <t>Funding
Raised (₹L)</t>
        </is>
      </c>
      <c r="H4" s="13" t="inlineStr">
        <is>
          <t>Team
Size</t>
        </is>
      </c>
      <c r="I4" s="13" t="inlineStr">
        <is>
          <t>Customers</t>
        </is>
      </c>
      <c r="J4" s="13" t="inlineStr">
        <is>
          <t>IPR
Filed</t>
        </is>
      </c>
      <c r="K4" s="13" t="inlineStr">
        <is>
          <t>Graduation
Date</t>
        </is>
      </c>
    </row>
    <row r="5" ht="22" customHeight="1">
      <c r="B5" s="14" t="inlineStr">
        <is>
          <t>STRTUP/001</t>
        </is>
      </c>
      <c r="C5" s="15" t="inlineStr"/>
      <c r="D5" s="16" t="inlineStr"/>
      <c r="E5" s="14" t="inlineStr">
        <is>
          <t>Idea</t>
        </is>
      </c>
      <c r="F5" s="16" t="inlineStr"/>
      <c r="G5" s="16" t="inlineStr"/>
      <c r="H5" s="16" t="inlineStr"/>
      <c r="I5" s="16" t="inlineStr"/>
      <c r="J5" s="16" t="inlineStr"/>
      <c r="K5" s="16" t="inlineStr"/>
    </row>
    <row r="6" ht="22" customHeight="1">
      <c r="B6" s="8" t="inlineStr">
        <is>
          <t>STRTUP/002</t>
        </is>
      </c>
      <c r="C6" s="9" t="inlineStr"/>
      <c r="D6" s="10" t="inlineStr"/>
      <c r="E6" s="8" t="inlineStr">
        <is>
          <t>Pre-Incubation</t>
        </is>
      </c>
      <c r="F6" s="10" t="inlineStr"/>
      <c r="G6" s="10" t="inlineStr"/>
      <c r="H6" s="10" t="inlineStr"/>
      <c r="I6" s="10" t="inlineStr"/>
      <c r="J6" s="10" t="inlineStr"/>
      <c r="K6" s="10" t="inlineStr"/>
    </row>
    <row r="7" ht="22" customHeight="1">
      <c r="B7" s="14" t="inlineStr">
        <is>
          <t>STRTUP/003</t>
        </is>
      </c>
      <c r="C7" s="15" t="inlineStr"/>
      <c r="D7" s="16" t="inlineStr"/>
      <c r="E7" s="14" t="inlineStr">
        <is>
          <t>Incubation — Early</t>
        </is>
      </c>
      <c r="F7" s="16" t="inlineStr"/>
      <c r="G7" s="16" t="inlineStr"/>
      <c r="H7" s="16" t="inlineStr"/>
      <c r="I7" s="16" t="inlineStr"/>
      <c r="J7" s="16" t="inlineStr"/>
      <c r="K7" s="16" t="inlineStr"/>
    </row>
    <row r="8" ht="22" customHeight="1">
      <c r="B8" s="8" t="inlineStr">
        <is>
          <t>STRTUP/004</t>
        </is>
      </c>
      <c r="C8" s="9" t="inlineStr"/>
      <c r="D8" s="10" t="inlineStr"/>
      <c r="E8" s="8" t="inlineStr">
        <is>
          <t>Incubation — Active</t>
        </is>
      </c>
      <c r="F8" s="10" t="inlineStr"/>
      <c r="G8" s="10" t="inlineStr"/>
      <c r="H8" s="10" t="inlineStr"/>
      <c r="I8" s="10" t="inlineStr"/>
      <c r="J8" s="10" t="inlineStr"/>
      <c r="K8" s="10" t="inlineStr"/>
    </row>
    <row r="9" ht="22" customHeight="1">
      <c r="B9" s="14" t="inlineStr">
        <is>
          <t>STRTUP/005</t>
        </is>
      </c>
      <c r="C9" s="15" t="inlineStr"/>
      <c r="D9" s="16" t="inlineStr"/>
      <c r="E9" s="14" t="inlineStr">
        <is>
          <t>Early Revenue</t>
        </is>
      </c>
      <c r="F9" s="16" t="inlineStr"/>
      <c r="G9" s="16" t="inlineStr"/>
      <c r="H9" s="16" t="inlineStr"/>
      <c r="I9" s="16" t="inlineStr"/>
      <c r="J9" s="16" t="inlineStr"/>
      <c r="K9" s="16" t="inlineStr"/>
    </row>
    <row r="10" ht="22" customHeight="1">
      <c r="B10" s="8" t="inlineStr">
        <is>
          <t>STRTUP/006</t>
        </is>
      </c>
      <c r="C10" s="9" t="inlineStr"/>
      <c r="D10" s="10" t="inlineStr"/>
      <c r="E10" s="8" t="inlineStr">
        <is>
          <t>Scaling</t>
        </is>
      </c>
      <c r="F10" s="10" t="inlineStr"/>
      <c r="G10" s="10" t="inlineStr"/>
      <c r="H10" s="10" t="inlineStr"/>
      <c r="I10" s="10" t="inlineStr"/>
      <c r="J10" s="10" t="inlineStr"/>
      <c r="K10" s="10" t="inlineStr"/>
    </row>
    <row r="11" ht="22" customHeight="1">
      <c r="B11" s="14" t="inlineStr">
        <is>
          <t>STRTUP/007</t>
        </is>
      </c>
      <c r="C11" s="15" t="inlineStr"/>
      <c r="D11" s="16" t="inlineStr"/>
      <c r="E11" s="14" t="inlineStr">
        <is>
          <t>Graduated</t>
        </is>
      </c>
      <c r="F11" s="16" t="inlineStr"/>
      <c r="G11" s="16" t="inlineStr"/>
      <c r="H11" s="16" t="inlineStr"/>
      <c r="I11" s="16" t="inlineStr"/>
      <c r="J11" s="16" t="inlineStr"/>
      <c r="K11" s="16" t="inlineStr"/>
    </row>
    <row r="12" ht="22" customHeight="1">
      <c r="B12" s="8" t="inlineStr">
        <is>
          <t>STRTUP/008</t>
        </is>
      </c>
      <c r="C12" s="9" t="inlineStr"/>
      <c r="D12" s="10" t="inlineStr"/>
      <c r="E12" s="8" t="inlineStr">
        <is>
          <t>Dormant</t>
        </is>
      </c>
      <c r="F12" s="10" t="inlineStr"/>
      <c r="G12" s="10" t="inlineStr"/>
      <c r="H12" s="10" t="inlineStr"/>
      <c r="I12" s="10" t="inlineStr"/>
      <c r="J12" s="10" t="inlineStr"/>
      <c r="K12" s="10" t="inlineStr"/>
    </row>
    <row r="13" ht="22" customHeight="1">
      <c r="B13" s="14" t="inlineStr">
        <is>
          <t>STRTUP/009</t>
        </is>
      </c>
      <c r="C13" s="15" t="inlineStr"/>
      <c r="D13" s="16" t="inlineStr"/>
      <c r="E13" s="14" t="inlineStr">
        <is>
          <t>Closed</t>
        </is>
      </c>
      <c r="F13" s="16" t="inlineStr"/>
      <c r="G13" s="16" t="inlineStr"/>
      <c r="H13" s="16" t="inlineStr"/>
      <c r="I13" s="16" t="inlineStr"/>
      <c r="J13" s="16" t="inlineStr"/>
      <c r="K13" s="16" t="inlineStr"/>
    </row>
    <row r="14" ht="22" customHeight="1">
      <c r="B14" s="8" t="inlineStr">
        <is>
          <t>STRTUP/010</t>
        </is>
      </c>
      <c r="C14" s="9" t="inlineStr"/>
      <c r="D14" s="10" t="inlineStr"/>
      <c r="E14" s="8" t="inlineStr">
        <is>
          <t>Idea</t>
        </is>
      </c>
      <c r="F14" s="10" t="inlineStr"/>
      <c r="G14" s="10" t="inlineStr"/>
      <c r="H14" s="10" t="inlineStr"/>
      <c r="I14" s="10" t="inlineStr"/>
      <c r="J14" s="10" t="inlineStr"/>
      <c r="K14" s="10" t="inlineStr"/>
    </row>
    <row r="15" ht="22" customHeight="1">
      <c r="B15" s="14" t="inlineStr">
        <is>
          <t>STRTUP/011</t>
        </is>
      </c>
      <c r="C15" s="15" t="inlineStr"/>
      <c r="D15" s="16" t="inlineStr"/>
      <c r="E15" s="14" t="inlineStr">
        <is>
          <t>Pre-Incubation</t>
        </is>
      </c>
      <c r="F15" s="16" t="inlineStr"/>
      <c r="G15" s="16" t="inlineStr"/>
      <c r="H15" s="16" t="inlineStr"/>
      <c r="I15" s="16" t="inlineStr"/>
      <c r="J15" s="16" t="inlineStr"/>
      <c r="K15" s="16" t="inlineStr"/>
    </row>
    <row r="16" ht="22" customHeight="1">
      <c r="B16" s="8" t="inlineStr">
        <is>
          <t>STRTUP/012</t>
        </is>
      </c>
      <c r="C16" s="9" t="inlineStr"/>
      <c r="D16" s="10" t="inlineStr"/>
      <c r="E16" s="8" t="inlineStr">
        <is>
          <t>Incubation — Early</t>
        </is>
      </c>
      <c r="F16" s="10" t="inlineStr"/>
      <c r="G16" s="10" t="inlineStr"/>
      <c r="H16" s="10" t="inlineStr"/>
      <c r="I16" s="10" t="inlineStr"/>
      <c r="J16" s="10" t="inlineStr"/>
      <c r="K16" s="10" t="inlineStr"/>
    </row>
    <row r="17" ht="22" customHeight="1">
      <c r="B17" s="14" t="inlineStr">
        <is>
          <t>STRTUP/013</t>
        </is>
      </c>
      <c r="C17" s="15" t="inlineStr"/>
      <c r="D17" s="16" t="inlineStr"/>
      <c r="E17" s="14" t="inlineStr">
        <is>
          <t>Incubation — Active</t>
        </is>
      </c>
      <c r="F17" s="16" t="inlineStr"/>
      <c r="G17" s="16" t="inlineStr"/>
      <c r="H17" s="16" t="inlineStr"/>
      <c r="I17" s="16" t="inlineStr"/>
      <c r="J17" s="16" t="inlineStr"/>
      <c r="K17" s="16" t="inlineStr"/>
    </row>
    <row r="18" ht="22" customHeight="1">
      <c r="B18" s="8" t="inlineStr">
        <is>
          <t>STRTUP/014</t>
        </is>
      </c>
      <c r="C18" s="9" t="inlineStr"/>
      <c r="D18" s="10" t="inlineStr"/>
      <c r="E18" s="8" t="inlineStr">
        <is>
          <t>Early Revenue</t>
        </is>
      </c>
      <c r="F18" s="10" t="inlineStr"/>
      <c r="G18" s="10" t="inlineStr"/>
      <c r="H18" s="10" t="inlineStr"/>
      <c r="I18" s="10" t="inlineStr"/>
      <c r="J18" s="10" t="inlineStr"/>
      <c r="K18" s="10" t="inlineStr"/>
    </row>
    <row r="19" ht="22" customHeight="1">
      <c r="B19" s="14" t="inlineStr">
        <is>
          <t>STRTUP/015</t>
        </is>
      </c>
      <c r="C19" s="15" t="inlineStr"/>
      <c r="D19" s="16" t="inlineStr"/>
      <c r="E19" s="14" t="inlineStr">
        <is>
          <t>Scaling</t>
        </is>
      </c>
      <c r="F19" s="16" t="inlineStr"/>
      <c r="G19" s="16" t="inlineStr"/>
      <c r="H19" s="16" t="inlineStr"/>
      <c r="I19" s="16" t="inlineStr"/>
      <c r="J19" s="16" t="inlineStr"/>
      <c r="K19" s="16" t="inlineStr"/>
    </row>
    <row r="20" ht="22" customHeight="1">
      <c r="B20" s="8" t="inlineStr">
        <is>
          <t>STRTUP/016</t>
        </is>
      </c>
      <c r="C20" s="9" t="inlineStr"/>
      <c r="D20" s="10" t="inlineStr"/>
      <c r="E20" s="8" t="inlineStr">
        <is>
          <t>Graduated</t>
        </is>
      </c>
      <c r="F20" s="10" t="inlineStr"/>
      <c r="G20" s="10" t="inlineStr"/>
      <c r="H20" s="10" t="inlineStr"/>
      <c r="I20" s="10" t="inlineStr"/>
      <c r="J20" s="10" t="inlineStr"/>
      <c r="K20" s="10" t="inlineStr"/>
    </row>
    <row r="21" ht="22" customHeight="1">
      <c r="B21" s="14" t="inlineStr">
        <is>
          <t>STRTUP/017</t>
        </is>
      </c>
      <c r="C21" s="15" t="inlineStr"/>
      <c r="D21" s="16" t="inlineStr"/>
      <c r="E21" s="14" t="inlineStr">
        <is>
          <t>Dormant</t>
        </is>
      </c>
      <c r="F21" s="16" t="inlineStr"/>
      <c r="G21" s="16" t="inlineStr"/>
      <c r="H21" s="16" t="inlineStr"/>
      <c r="I21" s="16" t="inlineStr"/>
      <c r="J21" s="16" t="inlineStr"/>
      <c r="K21" s="16" t="inlineStr"/>
    </row>
    <row r="22" ht="22" customHeight="1">
      <c r="B22" s="8" t="inlineStr">
        <is>
          <t>STRTUP/018</t>
        </is>
      </c>
      <c r="C22" s="9" t="inlineStr"/>
      <c r="D22" s="10" t="inlineStr"/>
      <c r="E22" s="8" t="inlineStr">
        <is>
          <t>Closed</t>
        </is>
      </c>
      <c r="F22" s="10" t="inlineStr"/>
      <c r="G22" s="10" t="inlineStr"/>
      <c r="H22" s="10" t="inlineStr"/>
      <c r="I22" s="10" t="inlineStr"/>
      <c r="J22" s="10" t="inlineStr"/>
      <c r="K22" s="10" t="inlineStr"/>
    </row>
    <row r="23" ht="22" customHeight="1">
      <c r="B23" s="14" t="inlineStr">
        <is>
          <t>STRTUP/019</t>
        </is>
      </c>
      <c r="C23" s="15" t="inlineStr"/>
      <c r="D23" s="16" t="inlineStr"/>
      <c r="E23" s="14" t="inlineStr">
        <is>
          <t>Idea</t>
        </is>
      </c>
      <c r="F23" s="16" t="inlineStr"/>
      <c r="G23" s="16" t="inlineStr"/>
      <c r="H23" s="16" t="inlineStr"/>
      <c r="I23" s="16" t="inlineStr"/>
      <c r="J23" s="16" t="inlineStr"/>
      <c r="K23" s="16" t="inlineStr"/>
    </row>
    <row r="24" ht="22" customHeight="1">
      <c r="B24" s="8" t="inlineStr">
        <is>
          <t>STRTUP/020</t>
        </is>
      </c>
      <c r="C24" s="9" t="inlineStr"/>
      <c r="D24" s="10" t="inlineStr"/>
      <c r="E24" s="8" t="inlineStr">
        <is>
          <t>Pre-Incubation</t>
        </is>
      </c>
      <c r="F24" s="10" t="inlineStr"/>
      <c r="G24" s="10" t="inlineStr"/>
      <c r="H24" s="10" t="inlineStr"/>
      <c r="I24" s="10" t="inlineStr"/>
      <c r="J24" s="10" t="inlineStr"/>
      <c r="K24" s="10" t="inlineStr"/>
    </row>
    <row r="25" ht="22" customHeight="1"/>
    <row r="26" ht="24" customHeight="1">
      <c r="B26" s="34" t="inlineStr">
        <is>
          <t>GRADUATION CRITERIA &amp; PORTFOLIO SUMMARY</t>
        </is>
      </c>
    </row>
    <row r="27" ht="22" customHeight="1">
      <c r="B27" s="30" t="inlineStr">
        <is>
          <t>Stage</t>
        </is>
      </c>
      <c r="C27" s="30" t="inlineStr">
        <is>
          <t>No. of Startups</t>
        </is>
      </c>
      <c r="D27" s="30" t="inlineStr">
        <is>
          <t>% of Portfolio</t>
        </is>
      </c>
      <c r="E27" s="30" t="inlineStr">
        <is>
          <t>Avg. Revenue
(₹L)</t>
        </is>
      </c>
      <c r="F27" s="30" t="inlineStr">
        <is>
          <t>Avg. Funding
(₹L)</t>
        </is>
      </c>
      <c r="G27" s="30" t="inlineStr">
        <is>
          <t>Avg. Team
Size</t>
        </is>
      </c>
      <c r="H27" s="30" t="inlineStr">
        <is>
          <t>Avg. Customers</t>
        </is>
      </c>
      <c r="I27" s="30" t="inlineStr">
        <is>
          <t>Action</t>
        </is>
      </c>
    </row>
    <row r="28" ht="22" customHeight="1">
      <c r="B28" s="31" t="inlineStr">
        <is>
          <t>Idea</t>
        </is>
      </c>
      <c r="C28" s="33" t="inlineStr"/>
      <c r="D28" s="33">
        <f>IFERROR(ROUND(C28/SUM(C28:C36)*100,1),"")</f>
        <v/>
      </c>
      <c r="E28" s="33" t="inlineStr"/>
      <c r="F28" s="33" t="inlineStr"/>
      <c r="G28" s="33" t="inlineStr"/>
      <c r="H28" s="33" t="inlineStr"/>
      <c r="I28" s="32" t="inlineStr"/>
      <c r="J28" s="51" t="n"/>
      <c r="K28" s="51" t="n"/>
    </row>
    <row r="29" ht="22" customHeight="1">
      <c r="B29" s="8" t="inlineStr">
        <is>
          <t>Pre-Incubation</t>
        </is>
      </c>
      <c r="C29" s="10" t="inlineStr"/>
      <c r="D29" s="10">
        <f>IFERROR(ROUND(C29/SUM(C28:C36)*100,1),"")</f>
        <v/>
      </c>
      <c r="E29" s="10" t="inlineStr"/>
      <c r="F29" s="10" t="inlineStr"/>
      <c r="G29" s="10" t="inlineStr"/>
      <c r="H29" s="10" t="inlineStr"/>
      <c r="I29" s="9" t="inlineStr"/>
      <c r="J29" s="52" t="n"/>
      <c r="K29" s="52" t="n"/>
    </row>
    <row r="30" ht="22" customHeight="1">
      <c r="B30" s="31" t="inlineStr">
        <is>
          <t>Incubation — Early</t>
        </is>
      </c>
      <c r="C30" s="33" t="inlineStr"/>
      <c r="D30" s="33">
        <f>IFERROR(ROUND(C30/SUM(C28:C36)*100,1),"")</f>
        <v/>
      </c>
      <c r="E30" s="33" t="inlineStr"/>
      <c r="F30" s="33" t="inlineStr"/>
      <c r="G30" s="33" t="inlineStr"/>
      <c r="H30" s="33" t="inlineStr"/>
      <c r="I30" s="32" t="inlineStr"/>
      <c r="J30" s="51" t="n"/>
      <c r="K30" s="51" t="n"/>
    </row>
    <row r="31" ht="22" customHeight="1">
      <c r="B31" s="8" t="inlineStr">
        <is>
          <t>Incubation — Active</t>
        </is>
      </c>
      <c r="C31" s="10" t="inlineStr"/>
      <c r="D31" s="10">
        <f>IFERROR(ROUND(C31/SUM(C28:C36)*100,1),"")</f>
        <v/>
      </c>
      <c r="E31" s="10" t="inlineStr"/>
      <c r="F31" s="10" t="inlineStr"/>
      <c r="G31" s="10" t="inlineStr"/>
      <c r="H31" s="10" t="inlineStr"/>
      <c r="I31" s="9" t="inlineStr"/>
      <c r="J31" s="52" t="n"/>
      <c r="K31" s="52" t="n"/>
    </row>
    <row r="32" ht="22" customHeight="1">
      <c r="B32" s="31" t="inlineStr">
        <is>
          <t>Early Revenue</t>
        </is>
      </c>
      <c r="C32" s="33" t="inlineStr"/>
      <c r="D32" s="33">
        <f>IFERROR(ROUND(C32/SUM(C28:C36)*100,1),"")</f>
        <v/>
      </c>
      <c r="E32" s="33" t="inlineStr"/>
      <c r="F32" s="33" t="inlineStr"/>
      <c r="G32" s="33" t="inlineStr"/>
      <c r="H32" s="33" t="inlineStr"/>
      <c r="I32" s="32" t="inlineStr"/>
      <c r="J32" s="51" t="n"/>
      <c r="K32" s="51" t="n"/>
    </row>
    <row r="33" ht="22" customHeight="1">
      <c r="B33" s="8" t="inlineStr">
        <is>
          <t>Scaling</t>
        </is>
      </c>
      <c r="C33" s="10" t="inlineStr"/>
      <c r="D33" s="10">
        <f>IFERROR(ROUND(C33/SUM(C28:C36)*100,1),"")</f>
        <v/>
      </c>
      <c r="E33" s="10" t="inlineStr"/>
      <c r="F33" s="10" t="inlineStr"/>
      <c r="G33" s="10" t="inlineStr"/>
      <c r="H33" s="10" t="inlineStr"/>
      <c r="I33" s="9" t="inlineStr"/>
      <c r="J33" s="52" t="n"/>
      <c r="K33" s="52" t="n"/>
    </row>
    <row r="34" ht="22" customHeight="1">
      <c r="B34" s="31" t="inlineStr">
        <is>
          <t>Graduated</t>
        </is>
      </c>
      <c r="C34" s="33" t="inlineStr"/>
      <c r="D34" s="33">
        <f>IFERROR(ROUND(C34/SUM(C28:C36)*100,1),"")</f>
        <v/>
      </c>
      <c r="E34" s="33" t="inlineStr"/>
      <c r="F34" s="33" t="inlineStr"/>
      <c r="G34" s="33" t="inlineStr"/>
      <c r="H34" s="33" t="inlineStr"/>
      <c r="I34" s="32" t="inlineStr"/>
      <c r="J34" s="51" t="n"/>
      <c r="K34" s="51" t="n"/>
    </row>
    <row r="35" ht="22" customHeight="1">
      <c r="B35" s="8" t="inlineStr">
        <is>
          <t>Dormant</t>
        </is>
      </c>
      <c r="C35" s="10" t="inlineStr"/>
      <c r="D35" s="10">
        <f>IFERROR(ROUND(C35/SUM(C28:C36)*100,1),"")</f>
        <v/>
      </c>
      <c r="E35" s="10" t="inlineStr"/>
      <c r="F35" s="10" t="inlineStr"/>
      <c r="G35" s="10" t="inlineStr"/>
      <c r="H35" s="10" t="inlineStr"/>
      <c r="I35" s="9" t="inlineStr"/>
      <c r="J35" s="52" t="n"/>
      <c r="K35" s="52" t="n"/>
    </row>
    <row r="36" ht="22" customHeight="1">
      <c r="B36" s="31" t="inlineStr">
        <is>
          <t>Closed</t>
        </is>
      </c>
      <c r="C36" s="33" t="inlineStr"/>
      <c r="D36" s="33">
        <f>IFERROR(ROUND(C36/SUM(C28:C36)*100,1),"")</f>
        <v/>
      </c>
      <c r="E36" s="33" t="inlineStr"/>
      <c r="F36" s="33" t="inlineStr"/>
      <c r="G36" s="33" t="inlineStr"/>
      <c r="H36" s="33" t="inlineStr"/>
      <c r="I36" s="32" t="inlineStr"/>
      <c r="J36" s="51" t="n"/>
      <c r="K36" s="51" t="n"/>
    </row>
    <row r="37" ht="22" customHeight="1"/>
  </sheetData>
  <mergeCells count="3">
    <mergeCell ref="B26:K26"/>
    <mergeCell ref="B3:K3"/>
    <mergeCell ref="B2:K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EDC-28: SOCIAL IMPACT &amp; SDG CONTRIBUTION MAPPING FORM</t>
        </is>
      </c>
    </row>
    <row r="3" ht="25" customHeight="1">
      <c r="B3" s="2" t="inlineStr">
        <is>
          <t>A.Y.: _______  EDC Coordinator: ___________________  IQAC Ref.: NAAC Criterion III.4</t>
        </is>
      </c>
    </row>
    <row r="4" ht="24" customHeight="1">
      <c r="B4" s="19" t="inlineStr">
        <is>
          <t>STARTUP SDG CONTRIBUTION REGISTER</t>
        </is>
      </c>
    </row>
    <row r="5" ht="22" customHeight="1">
      <c r="B5" s="13" t="inlineStr">
        <is>
          <t>Startup
Ref.</t>
        </is>
      </c>
      <c r="C5" s="13" t="inlineStr">
        <is>
          <t>Startup Name</t>
        </is>
      </c>
      <c r="D5" s="13" t="inlineStr">
        <is>
          <t>Primary
SDG</t>
        </is>
      </c>
      <c r="E5" s="13" t="inlineStr">
        <is>
          <t>Secondary
SDG</t>
        </is>
      </c>
      <c r="F5" s="13" t="inlineStr">
        <is>
          <t>Impact Area</t>
        </is>
      </c>
      <c r="G5" s="13" t="inlineStr">
        <is>
          <t>Beneficiaries
Reached</t>
        </is>
      </c>
      <c r="H5" s="13" t="inlineStr">
        <is>
          <t>Social
Value (₹L)</t>
        </is>
      </c>
      <c r="I5" s="13" t="inlineStr">
        <is>
          <t>Evidence / Metric</t>
        </is>
      </c>
    </row>
    <row r="6" ht="22" customHeight="1">
      <c r="B6" s="14" t="inlineStr">
        <is>
          <t>STRTUP/001</t>
        </is>
      </c>
      <c r="C6" s="15" t="inlineStr"/>
      <c r="D6" s="16" t="inlineStr">
        <is>
          <t>SDG 1</t>
        </is>
      </c>
      <c r="E6" s="16" t="inlineStr"/>
      <c r="F6" s="16" t="inlineStr">
        <is>
          <t>Poverty Alleviation</t>
        </is>
      </c>
      <c r="G6" s="16" t="inlineStr"/>
      <c r="H6" s="16" t="inlineStr"/>
      <c r="I6" s="15" t="inlineStr"/>
    </row>
    <row r="7" ht="22" customHeight="1">
      <c r="B7" s="8" t="inlineStr">
        <is>
          <t>STRTUP/002</t>
        </is>
      </c>
      <c r="C7" s="9" t="inlineStr"/>
      <c r="D7" s="10" t="inlineStr">
        <is>
          <t>SDG 2</t>
        </is>
      </c>
      <c r="E7" s="10" t="inlineStr"/>
      <c r="F7" s="10" t="inlineStr">
        <is>
          <t>Food Security</t>
        </is>
      </c>
      <c r="G7" s="10" t="inlineStr"/>
      <c r="H7" s="10" t="inlineStr"/>
      <c r="I7" s="9" t="inlineStr"/>
    </row>
    <row r="8" ht="22" customHeight="1">
      <c r="B8" s="14" t="inlineStr">
        <is>
          <t>STRTUP/003</t>
        </is>
      </c>
      <c r="C8" s="15" t="inlineStr"/>
      <c r="D8" s="16" t="inlineStr">
        <is>
          <t>SDG 3</t>
        </is>
      </c>
      <c r="E8" s="16" t="inlineStr"/>
      <c r="F8" s="16" t="inlineStr">
        <is>
          <t>Healthcare Access</t>
        </is>
      </c>
      <c r="G8" s="16" t="inlineStr"/>
      <c r="H8" s="16" t="inlineStr"/>
      <c r="I8" s="15" t="inlineStr"/>
    </row>
    <row r="9" ht="22" customHeight="1">
      <c r="B9" s="8" t="inlineStr">
        <is>
          <t>STRTUP/004</t>
        </is>
      </c>
      <c r="C9" s="9" t="inlineStr"/>
      <c r="D9" s="10" t="inlineStr">
        <is>
          <t>SDG 4</t>
        </is>
      </c>
      <c r="E9" s="10" t="inlineStr"/>
      <c r="F9" s="10" t="inlineStr">
        <is>
          <t>Quality Education</t>
        </is>
      </c>
      <c r="G9" s="10" t="inlineStr"/>
      <c r="H9" s="10" t="inlineStr"/>
      <c r="I9" s="9" t="inlineStr"/>
    </row>
    <row r="10" ht="22" customHeight="1">
      <c r="B10" s="14" t="inlineStr">
        <is>
          <t>STRTUP/005</t>
        </is>
      </c>
      <c r="C10" s="15" t="inlineStr"/>
      <c r="D10" s="16" t="inlineStr">
        <is>
          <t>SDG 5</t>
        </is>
      </c>
      <c r="E10" s="16" t="inlineStr"/>
      <c r="F10" s="16" t="inlineStr">
        <is>
          <t>Gender Equality</t>
        </is>
      </c>
      <c r="G10" s="16" t="inlineStr"/>
      <c r="H10" s="16" t="inlineStr"/>
      <c r="I10" s="15" t="inlineStr"/>
    </row>
    <row r="11" ht="22" customHeight="1">
      <c r="B11" s="8" t="inlineStr">
        <is>
          <t>STRTUP/006</t>
        </is>
      </c>
      <c r="C11" s="9" t="inlineStr"/>
      <c r="D11" s="10" t="inlineStr">
        <is>
          <t>SDG 6</t>
        </is>
      </c>
      <c r="E11" s="10" t="inlineStr"/>
      <c r="F11" s="10" t="inlineStr">
        <is>
          <t>Clean Water</t>
        </is>
      </c>
      <c r="G11" s="10" t="inlineStr"/>
      <c r="H11" s="10" t="inlineStr"/>
      <c r="I11" s="9" t="inlineStr"/>
    </row>
    <row r="12" ht="22" customHeight="1">
      <c r="B12" s="14" t="inlineStr">
        <is>
          <t>STRTUP/007</t>
        </is>
      </c>
      <c r="C12" s="15" t="inlineStr"/>
      <c r="D12" s="16" t="inlineStr">
        <is>
          <t>SDG 7</t>
        </is>
      </c>
      <c r="E12" s="16" t="inlineStr"/>
      <c r="F12" s="16" t="inlineStr">
        <is>
          <t>Clean Energy</t>
        </is>
      </c>
      <c r="G12" s="16" t="inlineStr"/>
      <c r="H12" s="16" t="inlineStr"/>
      <c r="I12" s="15" t="inlineStr"/>
    </row>
    <row r="13" ht="22" customHeight="1">
      <c r="B13" s="8" t="inlineStr">
        <is>
          <t>STRTUP/008</t>
        </is>
      </c>
      <c r="C13" s="9" t="inlineStr"/>
      <c r="D13" s="10" t="inlineStr">
        <is>
          <t>SDG 8</t>
        </is>
      </c>
      <c r="E13" s="10" t="inlineStr"/>
      <c r="F13" s="10" t="inlineStr">
        <is>
          <t>Decent Work</t>
        </is>
      </c>
      <c r="G13" s="10" t="inlineStr"/>
      <c r="H13" s="10" t="inlineStr"/>
      <c r="I13" s="9" t="inlineStr"/>
    </row>
    <row r="14" ht="22" customHeight="1">
      <c r="B14" s="14" t="inlineStr">
        <is>
          <t>STRTUP/009</t>
        </is>
      </c>
      <c r="C14" s="15" t="inlineStr"/>
      <c r="D14" s="16" t="inlineStr">
        <is>
          <t>SDG 9</t>
        </is>
      </c>
      <c r="E14" s="16" t="inlineStr"/>
      <c r="F14" s="16" t="inlineStr">
        <is>
          <t>Innovation</t>
        </is>
      </c>
      <c r="G14" s="16" t="inlineStr"/>
      <c r="H14" s="16" t="inlineStr"/>
      <c r="I14" s="15" t="inlineStr"/>
    </row>
    <row r="15" ht="22" customHeight="1">
      <c r="B15" s="8" t="inlineStr">
        <is>
          <t>STRTUP/010</t>
        </is>
      </c>
      <c r="C15" s="9" t="inlineStr"/>
      <c r="D15" s="10" t="inlineStr">
        <is>
          <t>SDG 10</t>
        </is>
      </c>
      <c r="E15" s="10" t="inlineStr"/>
      <c r="F15" s="10" t="inlineStr">
        <is>
          <t>Reduced Inequality</t>
        </is>
      </c>
      <c r="G15" s="10" t="inlineStr"/>
      <c r="H15" s="10" t="inlineStr"/>
      <c r="I15" s="9" t="inlineStr"/>
    </row>
    <row r="16" ht="22" customHeight="1">
      <c r="B16" s="14" t="inlineStr">
        <is>
          <t>STRTUP/011</t>
        </is>
      </c>
      <c r="C16" s="15" t="inlineStr"/>
      <c r="D16" s="16" t="inlineStr">
        <is>
          <t>SDG 11</t>
        </is>
      </c>
      <c r="E16" s="16" t="inlineStr"/>
      <c r="F16" s="16" t="inlineStr">
        <is>
          <t>Sustainable Cities</t>
        </is>
      </c>
      <c r="G16" s="16" t="inlineStr"/>
      <c r="H16" s="16" t="inlineStr"/>
      <c r="I16" s="15" t="inlineStr"/>
    </row>
    <row r="17" ht="22" customHeight="1">
      <c r="B17" s="8" t="inlineStr">
        <is>
          <t>STRTUP/012</t>
        </is>
      </c>
      <c r="C17" s="9" t="inlineStr"/>
      <c r="D17" s="10" t="inlineStr">
        <is>
          <t>SDG 12</t>
        </is>
      </c>
      <c r="E17" s="10" t="inlineStr"/>
      <c r="F17" s="10" t="inlineStr">
        <is>
          <t>Responsible Consumption</t>
        </is>
      </c>
      <c r="G17" s="10" t="inlineStr"/>
      <c r="H17" s="10" t="inlineStr"/>
      <c r="I17" s="9" t="inlineStr"/>
    </row>
    <row r="18" ht="22" customHeight="1">
      <c r="B18" s="14" t="inlineStr">
        <is>
          <t>STRTUP/013</t>
        </is>
      </c>
      <c r="C18" s="15" t="inlineStr"/>
      <c r="D18" s="16" t="inlineStr">
        <is>
          <t>SDG 13</t>
        </is>
      </c>
      <c r="E18" s="16" t="inlineStr"/>
      <c r="F18" s="16" t="inlineStr">
        <is>
          <t>Climate Action</t>
        </is>
      </c>
      <c r="G18" s="16" t="inlineStr"/>
      <c r="H18" s="16" t="inlineStr"/>
      <c r="I18" s="15" t="inlineStr"/>
    </row>
    <row r="19" ht="22" customHeight="1">
      <c r="B19" s="8" t="inlineStr">
        <is>
          <t>STRTUP/014</t>
        </is>
      </c>
      <c r="C19" s="9" t="inlineStr"/>
      <c r="D19" s="10" t="inlineStr">
        <is>
          <t>SDG 14</t>
        </is>
      </c>
      <c r="E19" s="10" t="inlineStr"/>
      <c r="F19" s="10" t="inlineStr">
        <is>
          <t>Life below Water</t>
        </is>
      </c>
      <c r="G19" s="10" t="inlineStr"/>
      <c r="H19" s="10" t="inlineStr"/>
      <c r="I19" s="9" t="inlineStr"/>
    </row>
    <row r="20" ht="22" customHeight="1">
      <c r="B20" s="14" t="inlineStr">
        <is>
          <t>STRTUP/015</t>
        </is>
      </c>
      <c r="C20" s="15" t="inlineStr"/>
      <c r="D20" s="16" t="inlineStr">
        <is>
          <t>SDG 15</t>
        </is>
      </c>
      <c r="E20" s="16" t="inlineStr"/>
      <c r="F20" s="16" t="inlineStr">
        <is>
          <t>Life on Land</t>
        </is>
      </c>
      <c r="G20" s="16" t="inlineStr"/>
      <c r="H20" s="16" t="inlineStr"/>
      <c r="I20" s="15" t="inlineStr"/>
    </row>
    <row r="21" ht="22" customHeight="1">
      <c r="B21" s="8" t="inlineStr">
        <is>
          <t>STRTUP/016</t>
        </is>
      </c>
      <c r="C21" s="9" t="inlineStr"/>
      <c r="D21" s="10" t="inlineStr">
        <is>
          <t>SDG 16</t>
        </is>
      </c>
      <c r="E21" s="10" t="inlineStr"/>
      <c r="F21" s="10" t="inlineStr">
        <is>
          <t>Peace &amp; Justice</t>
        </is>
      </c>
      <c r="G21" s="10" t="inlineStr"/>
      <c r="H21" s="10" t="inlineStr"/>
      <c r="I21" s="9" t="inlineStr"/>
    </row>
    <row r="22" ht="22" customHeight="1"/>
    <row r="23" ht="24" customHeight="1">
      <c r="B23" s="34" t="inlineStr">
        <is>
          <t>SDG-WISE PORTFOLIO IMPACT SUMMARY</t>
        </is>
      </c>
    </row>
    <row r="24" ht="22" customHeight="1">
      <c r="B24" s="30" t="inlineStr">
        <is>
          <t>SDG</t>
        </is>
      </c>
      <c r="C24" s="30" t="inlineStr">
        <is>
          <t>SDG Title</t>
        </is>
      </c>
      <c r="D24" s="30" t="inlineStr">
        <is>
          <t>No. of Startups
Contributing</t>
        </is>
      </c>
      <c r="E24" s="30" t="inlineStr">
        <is>
          <t>Beneficiaries
Reached</t>
        </is>
      </c>
      <c r="F24" s="30" t="inlineStr">
        <is>
          <t>Economic
Value (₹L)</t>
        </is>
      </c>
      <c r="G24" s="30" t="inlineStr">
        <is>
          <t>Best Practice
Startup</t>
        </is>
      </c>
      <c r="H24" s="30" t="inlineStr">
        <is>
          <t>Remarks</t>
        </is>
      </c>
    </row>
    <row r="25" ht="22" customHeight="1">
      <c r="B25" s="31" t="inlineStr">
        <is>
          <t>SDG 1</t>
        </is>
      </c>
      <c r="C25" s="32" t="inlineStr">
        <is>
          <t>No Poverty</t>
        </is>
      </c>
      <c r="D25" s="33" t="inlineStr"/>
      <c r="E25" s="33" t="inlineStr"/>
      <c r="F25" s="33" t="inlineStr"/>
      <c r="G25" s="32" t="inlineStr"/>
      <c r="H25" s="32" t="inlineStr"/>
      <c r="I25" s="51" t="n"/>
    </row>
    <row r="26" ht="22" customHeight="1">
      <c r="B26" s="8" t="inlineStr">
        <is>
          <t>SDG 2</t>
        </is>
      </c>
      <c r="C26" s="9" t="inlineStr">
        <is>
          <t>Zero Hunger</t>
        </is>
      </c>
      <c r="D26" s="10" t="inlineStr"/>
      <c r="E26" s="10" t="inlineStr"/>
      <c r="F26" s="10" t="inlineStr"/>
      <c r="G26" s="9" t="inlineStr"/>
      <c r="H26" s="9" t="inlineStr"/>
      <c r="I26" s="52" t="n"/>
    </row>
    <row r="27" ht="22" customHeight="1">
      <c r="B27" s="31" t="inlineStr">
        <is>
          <t>SDG 3</t>
        </is>
      </c>
      <c r="C27" s="32" t="inlineStr">
        <is>
          <t>Good Health</t>
        </is>
      </c>
      <c r="D27" s="33" t="inlineStr"/>
      <c r="E27" s="33" t="inlineStr"/>
      <c r="F27" s="33" t="inlineStr"/>
      <c r="G27" s="32" t="inlineStr"/>
      <c r="H27" s="32" t="inlineStr"/>
      <c r="I27" s="51" t="n"/>
    </row>
    <row r="28" ht="22" customHeight="1">
      <c r="B28" s="8" t="inlineStr">
        <is>
          <t>SDG 4</t>
        </is>
      </c>
      <c r="C28" s="9" t="inlineStr">
        <is>
          <t>Quality Education</t>
        </is>
      </c>
      <c r="D28" s="10" t="inlineStr"/>
      <c r="E28" s="10" t="inlineStr"/>
      <c r="F28" s="10" t="inlineStr"/>
      <c r="G28" s="9" t="inlineStr"/>
      <c r="H28" s="9" t="inlineStr"/>
      <c r="I28" s="52" t="n"/>
    </row>
    <row r="29" ht="22" customHeight="1">
      <c r="B29" s="31" t="inlineStr">
        <is>
          <t>SDG 5</t>
        </is>
      </c>
      <c r="C29" s="32" t="inlineStr">
        <is>
          <t>Gender Equality</t>
        </is>
      </c>
      <c r="D29" s="33" t="inlineStr"/>
      <c r="E29" s="33" t="inlineStr"/>
      <c r="F29" s="33" t="inlineStr"/>
      <c r="G29" s="32" t="inlineStr"/>
      <c r="H29" s="32" t="inlineStr"/>
      <c r="I29" s="51" t="n"/>
    </row>
    <row r="30" ht="22" customHeight="1">
      <c r="B30" s="8" t="inlineStr">
        <is>
          <t>SDG 6</t>
        </is>
      </c>
      <c r="C30" s="9" t="inlineStr">
        <is>
          <t>Clean Water</t>
        </is>
      </c>
      <c r="D30" s="10" t="inlineStr"/>
      <c r="E30" s="10" t="inlineStr"/>
      <c r="F30" s="10" t="inlineStr"/>
      <c r="G30" s="9" t="inlineStr"/>
      <c r="H30" s="9" t="inlineStr"/>
      <c r="I30" s="52" t="n"/>
    </row>
    <row r="31" ht="22" customHeight="1">
      <c r="B31" s="31" t="inlineStr">
        <is>
          <t>SDG 7</t>
        </is>
      </c>
      <c r="C31" s="32" t="inlineStr">
        <is>
          <t>Clean Energy</t>
        </is>
      </c>
      <c r="D31" s="33" t="inlineStr"/>
      <c r="E31" s="33" t="inlineStr"/>
      <c r="F31" s="33" t="inlineStr"/>
      <c r="G31" s="32" t="inlineStr"/>
      <c r="H31" s="32" t="inlineStr"/>
      <c r="I31" s="51" t="n"/>
    </row>
    <row r="32" ht="22" customHeight="1">
      <c r="B32" s="8" t="inlineStr">
        <is>
          <t>SDG 9</t>
        </is>
      </c>
      <c r="C32" s="9" t="inlineStr">
        <is>
          <t>Industry &amp; Innovation</t>
        </is>
      </c>
      <c r="D32" s="10" t="inlineStr"/>
      <c r="E32" s="10" t="inlineStr"/>
      <c r="F32" s="10" t="inlineStr"/>
      <c r="G32" s="9" t="inlineStr"/>
      <c r="H32" s="9" t="inlineStr"/>
      <c r="I32" s="52" t="n"/>
    </row>
    <row r="33" ht="22" customHeight="1">
      <c r="B33" s="31" t="inlineStr">
        <is>
          <t>SDG 10</t>
        </is>
      </c>
      <c r="C33" s="32" t="inlineStr">
        <is>
          <t>Reduced Inequality</t>
        </is>
      </c>
      <c r="D33" s="33" t="inlineStr"/>
      <c r="E33" s="33" t="inlineStr"/>
      <c r="F33" s="33" t="inlineStr"/>
      <c r="G33" s="32" t="inlineStr"/>
      <c r="H33" s="32" t="inlineStr"/>
      <c r="I33" s="51" t="n"/>
    </row>
    <row r="34" ht="22" customHeight="1">
      <c r="B34" s="8" t="inlineStr">
        <is>
          <t>SDG 11</t>
        </is>
      </c>
      <c r="C34" s="9" t="inlineStr">
        <is>
          <t>Sustainable Cities</t>
        </is>
      </c>
      <c r="D34" s="10" t="inlineStr"/>
      <c r="E34" s="10" t="inlineStr"/>
      <c r="F34" s="10" t="inlineStr"/>
      <c r="G34" s="9" t="inlineStr"/>
      <c r="H34" s="9" t="inlineStr"/>
      <c r="I34" s="52" t="n"/>
    </row>
    <row r="35" ht="22" customHeight="1">
      <c r="B35" s="31" t="inlineStr">
        <is>
          <t>SDG 13</t>
        </is>
      </c>
      <c r="C35" s="32" t="inlineStr">
        <is>
          <t>Climate Action</t>
        </is>
      </c>
      <c r="D35" s="33" t="inlineStr"/>
      <c r="E35" s="33" t="inlineStr"/>
      <c r="F35" s="33" t="inlineStr"/>
      <c r="G35" s="32" t="inlineStr"/>
      <c r="H35" s="32" t="inlineStr"/>
      <c r="I35" s="51" t="n"/>
    </row>
    <row r="36" ht="22" customHeight="1">
      <c r="B36" s="8" t="inlineStr">
        <is>
          <t>SDG 17</t>
        </is>
      </c>
      <c r="C36" s="9" t="inlineStr">
        <is>
          <t>Partnerships</t>
        </is>
      </c>
      <c r="D36" s="10" t="inlineStr"/>
      <c r="E36" s="10" t="inlineStr"/>
      <c r="F36" s="10" t="inlineStr"/>
      <c r="G36" s="9" t="inlineStr"/>
      <c r="H36" s="9" t="inlineStr"/>
      <c r="I36" s="52" t="n"/>
    </row>
    <row r="37" ht="22" customHeight="1"/>
    <row r="38" ht="22" customHeight="1"/>
    <row r="39" ht="22" customHeight="1"/>
    <row r="40" ht="22" customHeight="1"/>
    <row r="41" ht="22" customHeight="1"/>
  </sheetData>
  <mergeCells count="4">
    <mergeCell ref="B23:I23"/>
    <mergeCell ref="B3:I3"/>
    <mergeCell ref="B2:I2"/>
    <mergeCell ref="B4:I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EDC-29: ALUMNI ENTREPRENEUR ENGAGEMENT REGISTER</t>
        </is>
      </c>
    </row>
    <row r="3" ht="25" customHeight="1">
      <c r="B3" s="2" t="inlineStr">
        <is>
          <t>A.Y.: _______  EDC Alumni Liaison: ___________________  Linked to: IQ-16 Alumni Engagement</t>
        </is>
      </c>
    </row>
    <row r="4" ht="25" customHeight="1">
      <c r="B4" s="13" t="inlineStr">
        <is>
          <t>Alumni
Ref.</t>
        </is>
      </c>
      <c r="C4" s="13" t="inlineStr">
        <is>
          <t>Alumni Name</t>
        </is>
      </c>
      <c r="D4" s="13" t="inlineStr">
        <is>
          <t>Batch / Programme</t>
        </is>
      </c>
      <c r="E4" s="13" t="inlineStr">
        <is>
          <t>Startup / Company</t>
        </is>
      </c>
      <c r="F4" s="13" t="inlineStr">
        <is>
          <t>Sector</t>
        </is>
      </c>
      <c r="G4" s="13" t="inlineStr">
        <is>
          <t>Sessions
Mentored</t>
        </is>
      </c>
      <c r="H4" s="13" t="inlineStr">
        <is>
          <t>Investment
Made (₹L)</t>
        </is>
      </c>
      <c r="I4" s="13" t="inlineStr">
        <is>
          <t>Students
Hired</t>
        </is>
      </c>
      <c r="J4" s="13" t="inlineStr">
        <is>
          <t>Engagement Type</t>
        </is>
      </c>
    </row>
    <row r="5" ht="22" customHeight="1">
      <c r="B5" s="14" t="inlineStr">
        <is>
          <t>ALUM-E/001</t>
        </is>
      </c>
      <c r="C5" s="15" t="inlineStr"/>
      <c r="D5" s="16" t="inlineStr"/>
      <c r="E5" s="15" t="inlineStr"/>
      <c r="F5" s="16" t="inlineStr">
        <is>
          <t>AgriTech</t>
        </is>
      </c>
      <c r="G5" s="16" t="inlineStr"/>
      <c r="H5" s="16" t="inlineStr"/>
      <c r="I5" s="16" t="inlineStr"/>
      <c r="J5" s="16" t="inlineStr">
        <is>
          <t>Mentor</t>
        </is>
      </c>
    </row>
    <row r="6" ht="22" customHeight="1">
      <c r="B6" s="8" t="inlineStr">
        <is>
          <t>ALUM-E/002</t>
        </is>
      </c>
      <c r="C6" s="9" t="inlineStr"/>
      <c r="D6" s="10" t="inlineStr"/>
      <c r="E6" s="9" t="inlineStr"/>
      <c r="F6" s="10" t="inlineStr">
        <is>
          <t>EdTech</t>
        </is>
      </c>
      <c r="G6" s="10" t="inlineStr"/>
      <c r="H6" s="10" t="inlineStr"/>
      <c r="I6" s="10" t="inlineStr"/>
      <c r="J6" s="10" t="inlineStr">
        <is>
          <t>Guest Lecturer</t>
        </is>
      </c>
    </row>
    <row r="7" ht="22" customHeight="1">
      <c r="B7" s="14" t="inlineStr">
        <is>
          <t>ALUM-E/003</t>
        </is>
      </c>
      <c r="C7" s="15" t="inlineStr"/>
      <c r="D7" s="16" t="inlineStr"/>
      <c r="E7" s="15" t="inlineStr"/>
      <c r="F7" s="16" t="inlineStr">
        <is>
          <t>HealthTech</t>
        </is>
      </c>
      <c r="G7" s="16" t="inlineStr"/>
      <c r="H7" s="16" t="inlineStr"/>
      <c r="I7" s="16" t="inlineStr"/>
      <c r="J7" s="16" t="inlineStr">
        <is>
          <t>Seed Investor</t>
        </is>
      </c>
    </row>
    <row r="8" ht="22" customHeight="1">
      <c r="B8" s="8" t="inlineStr">
        <is>
          <t>ALUM-E/004</t>
        </is>
      </c>
      <c r="C8" s="9" t="inlineStr"/>
      <c r="D8" s="10" t="inlineStr"/>
      <c r="E8" s="9" t="inlineStr"/>
      <c r="F8" s="10" t="inlineStr">
        <is>
          <t>FinTech</t>
        </is>
      </c>
      <c r="G8" s="10" t="inlineStr"/>
      <c r="H8" s="10" t="inlineStr"/>
      <c r="I8" s="10" t="inlineStr"/>
      <c r="J8" s="10" t="inlineStr">
        <is>
          <t>Advisory Board</t>
        </is>
      </c>
    </row>
    <row r="9" ht="22" customHeight="1">
      <c r="B9" s="14" t="inlineStr">
        <is>
          <t>ALUM-E/005</t>
        </is>
      </c>
      <c r="C9" s="15" t="inlineStr"/>
      <c r="D9" s="16" t="inlineStr"/>
      <c r="E9" s="15" t="inlineStr"/>
      <c r="F9" s="16" t="inlineStr">
        <is>
          <t>GreenTech</t>
        </is>
      </c>
      <c r="G9" s="16" t="inlineStr"/>
      <c r="H9" s="16" t="inlineStr"/>
      <c r="I9" s="16" t="inlineStr"/>
      <c r="J9" s="16" t="inlineStr">
        <is>
          <t>MoU Partner</t>
        </is>
      </c>
    </row>
    <row r="10" ht="22" customHeight="1">
      <c r="B10" s="8" t="inlineStr">
        <is>
          <t>ALUM-E/006</t>
        </is>
      </c>
      <c r="C10" s="9" t="inlineStr"/>
      <c r="D10" s="10" t="inlineStr"/>
      <c r="E10" s="9" t="inlineStr"/>
      <c r="F10" s="10" t="inlineStr">
        <is>
          <t>MedTech</t>
        </is>
      </c>
      <c r="G10" s="10" t="inlineStr"/>
      <c r="H10" s="10" t="inlineStr"/>
      <c r="I10" s="10" t="inlineStr"/>
      <c r="J10" s="10" t="inlineStr">
        <is>
          <t>Competition Judge</t>
        </is>
      </c>
    </row>
    <row r="11" ht="22" customHeight="1">
      <c r="B11" s="14" t="inlineStr">
        <is>
          <t>ALUM-E/007</t>
        </is>
      </c>
      <c r="C11" s="15" t="inlineStr"/>
      <c r="D11" s="16" t="inlineStr"/>
      <c r="E11" s="15" t="inlineStr"/>
      <c r="F11" s="16" t="inlineStr">
        <is>
          <t>AI/ML</t>
        </is>
      </c>
      <c r="G11" s="16" t="inlineStr"/>
      <c r="H11" s="16" t="inlineStr"/>
      <c r="I11" s="16" t="inlineStr"/>
      <c r="J11" s="16" t="inlineStr">
        <is>
          <t>Campus Recruiter</t>
        </is>
      </c>
    </row>
    <row r="12" ht="22" customHeight="1">
      <c r="B12" s="8" t="inlineStr">
        <is>
          <t>ALUM-E/008</t>
        </is>
      </c>
      <c r="C12" s="9" t="inlineStr"/>
      <c r="D12" s="10" t="inlineStr"/>
      <c r="E12" s="9" t="inlineStr"/>
      <c r="F12" s="10" t="inlineStr">
        <is>
          <t>Manufacturing</t>
        </is>
      </c>
      <c r="G12" s="10" t="inlineStr"/>
      <c r="H12" s="10" t="inlineStr"/>
      <c r="I12" s="10" t="inlineStr"/>
      <c r="J12" s="10" t="inlineStr">
        <is>
          <t>Scholarship Donor</t>
        </is>
      </c>
    </row>
    <row r="13" ht="22" customHeight="1">
      <c r="B13" s="14" t="inlineStr">
        <is>
          <t>ALUM-E/009</t>
        </is>
      </c>
      <c r="C13" s="15" t="inlineStr"/>
      <c r="D13" s="16" t="inlineStr"/>
      <c r="E13" s="15" t="inlineStr"/>
      <c r="F13" s="16" t="inlineStr">
        <is>
          <t>Retail</t>
        </is>
      </c>
      <c r="G13" s="16" t="inlineStr"/>
      <c r="H13" s="16" t="inlineStr"/>
      <c r="I13" s="16" t="inlineStr"/>
      <c r="J13" s="16" t="inlineStr">
        <is>
          <t>Board Member</t>
        </is>
      </c>
    </row>
    <row r="14" ht="22" customHeight="1">
      <c r="B14" s="8" t="inlineStr">
        <is>
          <t>ALUM-E/010</t>
        </is>
      </c>
      <c r="C14" s="9" t="inlineStr"/>
      <c r="D14" s="10" t="inlineStr"/>
      <c r="E14" s="9" t="inlineStr"/>
      <c r="F14" s="10" t="inlineStr">
        <is>
          <t>Social Enterprise</t>
        </is>
      </c>
      <c r="G14" s="10" t="inlineStr"/>
      <c r="H14" s="10" t="inlineStr"/>
      <c r="I14" s="10" t="inlineStr"/>
      <c r="J14" s="10" t="inlineStr">
        <is>
          <t>Informal Networker</t>
        </is>
      </c>
    </row>
    <row r="15" ht="22" customHeight="1">
      <c r="B15" s="14" t="inlineStr">
        <is>
          <t>ALUM-E/011</t>
        </is>
      </c>
      <c r="C15" s="15" t="inlineStr"/>
      <c r="D15" s="16" t="inlineStr"/>
      <c r="E15" s="15" t="inlineStr"/>
      <c r="F15" s="16" t="inlineStr">
        <is>
          <t>Others</t>
        </is>
      </c>
      <c r="G15" s="16" t="inlineStr"/>
      <c r="H15" s="16" t="inlineStr"/>
      <c r="I15" s="16" t="inlineStr"/>
      <c r="J15" s="16" t="inlineStr">
        <is>
          <t>Mentor</t>
        </is>
      </c>
    </row>
    <row r="16" ht="22" customHeight="1">
      <c r="B16" s="8" t="inlineStr">
        <is>
          <t>ALUM-E/012</t>
        </is>
      </c>
      <c r="C16" s="9" t="inlineStr"/>
      <c r="D16" s="10" t="inlineStr"/>
      <c r="E16" s="9" t="inlineStr"/>
      <c r="F16" s="10" t="inlineStr">
        <is>
          <t>AgriTech</t>
        </is>
      </c>
      <c r="G16" s="10" t="inlineStr"/>
      <c r="H16" s="10" t="inlineStr"/>
      <c r="I16" s="10" t="inlineStr"/>
      <c r="J16" s="10" t="inlineStr">
        <is>
          <t>Guest Lecturer</t>
        </is>
      </c>
    </row>
    <row r="17" ht="22" customHeight="1">
      <c r="B17" s="14" t="inlineStr">
        <is>
          <t>ALUM-E/013</t>
        </is>
      </c>
      <c r="C17" s="15" t="inlineStr"/>
      <c r="D17" s="16" t="inlineStr"/>
      <c r="E17" s="15" t="inlineStr"/>
      <c r="F17" s="16" t="inlineStr">
        <is>
          <t>EdTech</t>
        </is>
      </c>
      <c r="G17" s="16" t="inlineStr"/>
      <c r="H17" s="16" t="inlineStr"/>
      <c r="I17" s="16" t="inlineStr"/>
      <c r="J17" s="16" t="inlineStr">
        <is>
          <t>Seed Investor</t>
        </is>
      </c>
    </row>
    <row r="18" ht="22" customHeight="1">
      <c r="B18" s="8" t="inlineStr">
        <is>
          <t>ALUM-E/014</t>
        </is>
      </c>
      <c r="C18" s="9" t="inlineStr"/>
      <c r="D18" s="10" t="inlineStr"/>
      <c r="E18" s="9" t="inlineStr"/>
      <c r="F18" s="10" t="inlineStr">
        <is>
          <t>HealthTech</t>
        </is>
      </c>
      <c r="G18" s="10" t="inlineStr"/>
      <c r="H18" s="10" t="inlineStr"/>
      <c r="I18" s="10" t="inlineStr"/>
      <c r="J18" s="10" t="inlineStr">
        <is>
          <t>Advisory Board</t>
        </is>
      </c>
    </row>
    <row r="19" ht="22" customHeight="1">
      <c r="B19" s="14" t="inlineStr">
        <is>
          <t>ALUM-E/015</t>
        </is>
      </c>
      <c r="C19" s="15" t="inlineStr"/>
      <c r="D19" s="16" t="inlineStr"/>
      <c r="E19" s="15" t="inlineStr"/>
      <c r="F19" s="16" t="inlineStr">
        <is>
          <t>FinTech</t>
        </is>
      </c>
      <c r="G19" s="16" t="inlineStr"/>
      <c r="H19" s="16" t="inlineStr"/>
      <c r="I19" s="16" t="inlineStr"/>
      <c r="J19" s="16" t="inlineStr">
        <is>
          <t>MoU Partner</t>
        </is>
      </c>
    </row>
    <row r="20" ht="22" customHeight="1">
      <c r="B20" s="8" t="inlineStr">
        <is>
          <t>ALUM-E/016</t>
        </is>
      </c>
      <c r="C20" s="9" t="inlineStr"/>
      <c r="D20" s="10" t="inlineStr"/>
      <c r="E20" s="9" t="inlineStr"/>
      <c r="F20" s="10" t="inlineStr">
        <is>
          <t>GreenTech</t>
        </is>
      </c>
      <c r="G20" s="10" t="inlineStr"/>
      <c r="H20" s="10" t="inlineStr"/>
      <c r="I20" s="10" t="inlineStr"/>
      <c r="J20" s="10" t="inlineStr">
        <is>
          <t>Competition Judge</t>
        </is>
      </c>
    </row>
    <row r="21" ht="22" customHeight="1">
      <c r="B21" s="14" t="inlineStr">
        <is>
          <t>ALUM-E/017</t>
        </is>
      </c>
      <c r="C21" s="15" t="inlineStr"/>
      <c r="D21" s="16" t="inlineStr"/>
      <c r="E21" s="15" t="inlineStr"/>
      <c r="F21" s="16" t="inlineStr">
        <is>
          <t>MedTech</t>
        </is>
      </c>
      <c r="G21" s="16" t="inlineStr"/>
      <c r="H21" s="16" t="inlineStr"/>
      <c r="I21" s="16" t="inlineStr"/>
      <c r="J21" s="16" t="inlineStr">
        <is>
          <t>Campus Recruiter</t>
        </is>
      </c>
    </row>
    <row r="22" ht="22" customHeight="1">
      <c r="B22" s="8" t="inlineStr">
        <is>
          <t>ALUM-E/018</t>
        </is>
      </c>
      <c r="C22" s="9" t="inlineStr"/>
      <c r="D22" s="10" t="inlineStr"/>
      <c r="E22" s="9" t="inlineStr"/>
      <c r="F22" s="10" t="inlineStr">
        <is>
          <t>AI/ML</t>
        </is>
      </c>
      <c r="G22" s="10" t="inlineStr"/>
      <c r="H22" s="10" t="inlineStr"/>
      <c r="I22" s="10" t="inlineStr"/>
      <c r="J22" s="10" t="inlineStr">
        <is>
          <t>Scholarship Donor</t>
        </is>
      </c>
    </row>
    <row r="23" ht="22" customHeight="1">
      <c r="B23" s="14" t="inlineStr">
        <is>
          <t>ALUM-E/019</t>
        </is>
      </c>
      <c r="C23" s="15" t="inlineStr"/>
      <c r="D23" s="16" t="inlineStr"/>
      <c r="E23" s="15" t="inlineStr"/>
      <c r="F23" s="16" t="inlineStr">
        <is>
          <t>Manufacturing</t>
        </is>
      </c>
      <c r="G23" s="16" t="inlineStr"/>
      <c r="H23" s="16" t="inlineStr"/>
      <c r="I23" s="16" t="inlineStr"/>
      <c r="J23" s="16" t="inlineStr">
        <is>
          <t>Board Member</t>
        </is>
      </c>
    </row>
    <row r="24" ht="22" customHeight="1">
      <c r="B24" s="8" t="inlineStr">
        <is>
          <t>ALUM-E/020</t>
        </is>
      </c>
      <c r="C24" s="9" t="inlineStr"/>
      <c r="D24" s="10" t="inlineStr"/>
      <c r="E24" s="9" t="inlineStr"/>
      <c r="F24" s="10" t="inlineStr">
        <is>
          <t>Retail</t>
        </is>
      </c>
      <c r="G24" s="10" t="inlineStr"/>
      <c r="H24" s="10" t="inlineStr"/>
      <c r="I24" s="10" t="inlineStr"/>
      <c r="J24" s="10" t="inlineStr">
        <is>
          <t>Informal Networker</t>
        </is>
      </c>
    </row>
    <row r="25" ht="22" customHeight="1"/>
    <row r="26" ht="24" customHeight="1">
      <c r="B26" s="34" t="inlineStr">
        <is>
          <t>ALUMNI ENTREPRENEUR ENGAGEMENT SUMMARY</t>
        </is>
      </c>
    </row>
    <row r="27" ht="22" customHeight="1">
      <c r="B27" s="54" t="inlineStr">
        <is>
          <t>Total Alumni Entrepreneurs Registered</t>
        </is>
      </c>
      <c r="F27" s="36">
        <f>COUNTA(B5:B24)</f>
        <v/>
      </c>
    </row>
    <row r="28" ht="22" customHeight="1">
      <c r="B28" s="25" t="inlineStr">
        <is>
          <t>Active Mentors from Alumni</t>
        </is>
      </c>
      <c r="F28" s="37">
        <f>COUNTIF(J5:J24,"Mentor")</f>
        <v/>
      </c>
    </row>
    <row r="29" ht="22" customHeight="1">
      <c r="B29" s="54" t="inlineStr">
        <is>
          <t>Total Mentorship Sessions by Alumni</t>
        </is>
      </c>
      <c r="F29" s="36" t="inlineStr"/>
    </row>
    <row r="30" ht="22" customHeight="1">
      <c r="B30" s="25" t="inlineStr">
        <is>
          <t>Alumni Investment in Startups (₹L)</t>
        </is>
      </c>
      <c r="F30" s="37">
        <f>IFERROR(SUM(H5:H24),"")</f>
        <v/>
      </c>
    </row>
    <row r="31" ht="22" customHeight="1">
      <c r="B31" s="54" t="inlineStr">
        <is>
          <t>Students Hired by Alumni Startups</t>
        </is>
      </c>
      <c r="F31" s="36">
        <f>IFERROR(SUM(I5:I24),"")</f>
        <v/>
      </c>
    </row>
    <row r="32" ht="22" customHeight="1"/>
    <row r="33" ht="22" customHeight="1"/>
    <row r="34" ht="22" customHeight="1"/>
    <row r="35" ht="22" customHeight="1"/>
  </sheetData>
  <mergeCells count="13">
    <mergeCell ref="B31:E31"/>
    <mergeCell ref="F30:J30"/>
    <mergeCell ref="B27:E27"/>
    <mergeCell ref="B3:J3"/>
    <mergeCell ref="F29:J29"/>
    <mergeCell ref="B28:E28"/>
    <mergeCell ref="B30:E30"/>
    <mergeCell ref="B26:J26"/>
    <mergeCell ref="F28:J28"/>
    <mergeCell ref="B29:E29"/>
    <mergeCell ref="F31:J31"/>
    <mergeCell ref="B2:J2"/>
    <mergeCell ref="F27:J2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EDC-30: EDC ANNUAL REPORT COMPILATION FORM</t>
        </is>
      </c>
    </row>
    <row r="3" ht="25" customHeight="1">
      <c r="B3" s="2" t="inlineStr">
        <is>
          <t>A.Y.: _______  Compiled by: EDC Coordinator  Reviewed by: EDC Chairperson  Submitted to: Management / IQAC / NAAC</t>
        </is>
      </c>
    </row>
    <row r="4" ht="24" customHeight="1">
      <c r="B4" s="19" t="inlineStr">
        <is>
          <t>SECTION 1 — ECOSYSTEM &amp; INFRASTRUCTURE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E-Cell active membership</t>
        </is>
      </c>
      <c r="D6" s="16" t="inlineStr">
        <is>
          <t>No.</t>
        </is>
      </c>
      <c r="E6" s="16" t="inlineStr"/>
      <c r="F6" s="16" t="inlineStr"/>
      <c r="G6" s="16">
        <f>IFERROR(ROUND((E6-F6)/F6*100,1),"")</f>
        <v/>
      </c>
      <c r="H6" s="16" t="inlineStr"/>
    </row>
    <row r="7" ht="22" customHeight="1">
      <c r="B7" s="8" t="n">
        <v>2</v>
      </c>
      <c r="C7" s="9" t="inlineStr">
        <is>
          <t>Startups registered with EDC</t>
        </is>
      </c>
      <c r="D7" s="10" t="inlineStr">
        <is>
          <t>No.</t>
        </is>
      </c>
      <c r="E7" s="10" t="inlineStr"/>
      <c r="F7" s="10" t="inlineStr"/>
      <c r="G7" s="10">
        <f>IFERROR(ROUND((E7-F7)/F7*100,1),"")</f>
        <v/>
      </c>
      <c r="H7" s="10" t="inlineStr"/>
    </row>
    <row r="8" ht="22" customHeight="1">
      <c r="B8" s="14" t="n">
        <v>3</v>
      </c>
      <c r="C8" s="15" t="inlineStr">
        <is>
          <t>Startups in incubation</t>
        </is>
      </c>
      <c r="D8" s="16" t="inlineStr">
        <is>
          <t>No.</t>
        </is>
      </c>
      <c r="E8" s="16" t="inlineStr"/>
      <c r="F8" s="16" t="inlineStr"/>
      <c r="G8" s="16">
        <f>IFERROR(ROUND((E8-F8)/F8*100,1),"")</f>
        <v/>
      </c>
      <c r="H8" s="16" t="inlineStr"/>
    </row>
    <row r="9" ht="22" customHeight="1">
      <c r="B9" s="8" t="n">
        <v>4</v>
      </c>
      <c r="C9" s="9" t="inlineStr">
        <is>
          <t>Incubation centre utilisation (%)</t>
        </is>
      </c>
      <c r="D9" s="10" t="inlineStr">
        <is>
          <t>% occupancy</t>
        </is>
      </c>
      <c r="E9" s="10" t="inlineStr"/>
      <c r="F9" s="10" t="inlineStr"/>
      <c r="G9" s="10">
        <f>IFERROR(ROUND((E9-F9)/F9*100,1),"")</f>
        <v/>
      </c>
      <c r="H9" s="10" t="inlineStr"/>
    </row>
    <row r="10" ht="22" customHeight="1">
      <c r="B10" s="14" t="n">
        <v>5</v>
      </c>
      <c r="C10" s="15" t="inlineStr">
        <is>
          <t>Active mentors in panel</t>
        </is>
      </c>
      <c r="D10" s="16" t="inlineStr">
        <is>
          <t>No.</t>
        </is>
      </c>
      <c r="E10" s="16" t="inlineStr"/>
      <c r="F10" s="16" t="inlineStr"/>
      <c r="G10" s="16">
        <f>IFERROR(ROUND((E10-F10)/F10*100,1),"")</f>
        <v/>
      </c>
      <c r="H10" s="16" t="inlineStr"/>
    </row>
    <row r="11" ht="22" customHeight="1">
      <c r="B11" s="8" t="n">
        <v>6</v>
      </c>
      <c r="C11" s="9" t="inlineStr">
        <is>
          <t>New MoUs with industry / investors</t>
        </is>
      </c>
      <c r="D11" s="10" t="inlineStr">
        <is>
          <t>No.</t>
        </is>
      </c>
      <c r="E11" s="10" t="inlineStr"/>
      <c r="F11" s="10" t="inlineStr"/>
      <c r="G11" s="10">
        <f>IFERROR(ROUND((E11-F11)/F11*100,1),"")</f>
        <v/>
      </c>
      <c r="H11" s="10" t="inlineStr"/>
    </row>
    <row r="12" ht="22" customHeight="1"/>
    <row r="13" ht="24" customHeight="1">
      <c r="B13" s="34" t="inlineStr">
        <is>
          <t>SECTION 2 — AWARENESS &amp; EDUCATION</t>
        </is>
      </c>
    </row>
    <row r="14" ht="22" customHeight="1">
      <c r="B14" s="30" t="inlineStr">
        <is>
          <t>Sl.</t>
        </is>
      </c>
      <c r="C14" s="30" t="inlineStr">
        <is>
          <t>Performance Metric</t>
        </is>
      </c>
      <c r="D14" s="30" t="inlineStr">
        <is>
          <t>Unit</t>
        </is>
      </c>
      <c r="E14" s="30" t="inlineStr">
        <is>
          <t>Current A.Y.</t>
        </is>
      </c>
      <c r="F14" s="30" t="inlineStr">
        <is>
          <t>Previous A.Y.</t>
        </is>
      </c>
      <c r="G14" s="30" t="inlineStr">
        <is>
          <t>Growth %</t>
        </is>
      </c>
      <c r="H14" s="30" t="inlineStr">
        <is>
          <t>Target Next Year</t>
        </is>
      </c>
    </row>
    <row r="15" ht="22" customHeight="1">
      <c r="B15" s="31" t="n">
        <v>1</v>
      </c>
      <c r="C15" s="32" t="inlineStr">
        <is>
          <t>Awareness events conducted</t>
        </is>
      </c>
      <c r="D15" s="33" t="inlineStr">
        <is>
          <t>No.</t>
        </is>
      </c>
      <c r="E15" s="33" t="inlineStr"/>
      <c r="F15" s="33" t="inlineStr"/>
      <c r="G15" s="33">
        <f>IFERROR(ROUND((E15-F15)/F15*100,1),"")</f>
        <v/>
      </c>
      <c r="H15" s="33" t="inlineStr"/>
    </row>
    <row r="16" ht="22" customHeight="1">
      <c r="B16" s="8" t="n">
        <v>2</v>
      </c>
      <c r="C16" s="9" t="inlineStr">
        <is>
          <t>Total event participants</t>
        </is>
      </c>
      <c r="D16" s="10" t="inlineStr">
        <is>
          <t>No.</t>
        </is>
      </c>
      <c r="E16" s="10" t="inlineStr"/>
      <c r="F16" s="10" t="inlineStr"/>
      <c r="G16" s="10">
        <f>IFERROR(ROUND((E16-F16)/F16*100,1),"")</f>
        <v/>
      </c>
      <c r="H16" s="10" t="inlineStr"/>
    </row>
    <row r="17" ht="22" customHeight="1">
      <c r="B17" s="31" t="n">
        <v>3</v>
      </c>
      <c r="C17" s="32" t="inlineStr">
        <is>
          <t>Entrepreneurship courses offered</t>
        </is>
      </c>
      <c r="D17" s="33" t="inlineStr">
        <is>
          <t>No.</t>
        </is>
      </c>
      <c r="E17" s="33" t="inlineStr"/>
      <c r="F17" s="33" t="inlineStr"/>
      <c r="G17" s="33">
        <f>IFERROR(ROUND((E17-F17)/F17*100,1),"")</f>
        <v/>
      </c>
      <c r="H17" s="33" t="inlineStr"/>
    </row>
    <row r="18" ht="22" customHeight="1">
      <c r="B18" s="8" t="n">
        <v>4</v>
      </c>
      <c r="C18" s="9" t="inlineStr">
        <is>
          <t>Faculty trained (FDP)</t>
        </is>
      </c>
      <c r="D18" s="10" t="inlineStr">
        <is>
          <t>No.</t>
        </is>
      </c>
      <c r="E18" s="10" t="inlineStr"/>
      <c r="F18" s="10" t="inlineStr"/>
      <c r="G18" s="10">
        <f>IFERROR(ROUND((E18-F18)/F18*100,1),"")</f>
        <v/>
      </c>
      <c r="H18" s="10" t="inlineStr"/>
    </row>
    <row r="19" ht="22" customHeight="1">
      <c r="B19" s="31" t="n">
        <v>5</v>
      </c>
      <c r="C19" s="32" t="inlineStr">
        <is>
          <t>Guest lectures by entrepreneurs</t>
        </is>
      </c>
      <c r="D19" s="33" t="inlineStr">
        <is>
          <t>No.</t>
        </is>
      </c>
      <c r="E19" s="33" t="inlineStr"/>
      <c r="F19" s="33" t="inlineStr"/>
      <c r="G19" s="33">
        <f>IFERROR(ROUND((E19-F19)/F19*100,1),"")</f>
        <v/>
      </c>
      <c r="H19" s="33" t="inlineStr"/>
    </row>
    <row r="20" ht="22" customHeight="1">
      <c r="B20" s="8" t="n">
        <v>6</v>
      </c>
      <c r="C20" s="9" t="inlineStr">
        <is>
          <t>Field visits organised</t>
        </is>
      </c>
      <c r="D20" s="10" t="inlineStr">
        <is>
          <t>No.</t>
        </is>
      </c>
      <c r="E20" s="10" t="inlineStr"/>
      <c r="F20" s="10" t="inlineStr"/>
      <c r="G20" s="10">
        <f>IFERROR(ROUND((E20-F20)/F20*100,1),"")</f>
        <v/>
      </c>
      <c r="H20" s="10" t="inlineStr"/>
    </row>
    <row r="21" ht="22" customHeight="1"/>
    <row r="22" ht="24" customHeight="1">
      <c r="B22" s="38" t="inlineStr">
        <is>
          <t>SECTION 3 — STARTUP SUPPORT</t>
        </is>
      </c>
    </row>
    <row r="23" ht="22" customHeight="1">
      <c r="B23" s="65" t="inlineStr">
        <is>
          <t>Sl.</t>
        </is>
      </c>
      <c r="C23" s="65" t="inlineStr">
        <is>
          <t>Performance Metric</t>
        </is>
      </c>
      <c r="D23" s="65" t="inlineStr">
        <is>
          <t>Unit</t>
        </is>
      </c>
      <c r="E23" s="65" t="inlineStr">
        <is>
          <t>Current A.Y.</t>
        </is>
      </c>
      <c r="F23" s="65" t="inlineStr">
        <is>
          <t>Previous A.Y.</t>
        </is>
      </c>
      <c r="G23" s="65" t="inlineStr">
        <is>
          <t>Growth %</t>
        </is>
      </c>
      <c r="H23" s="65" t="inlineStr">
        <is>
          <t>Target Next Year</t>
        </is>
      </c>
    </row>
    <row r="24" ht="22" customHeight="1">
      <c r="B24" s="66" t="n">
        <v>1</v>
      </c>
      <c r="C24" s="40" t="inlineStr">
        <is>
          <t>Business ideas screened</t>
        </is>
      </c>
      <c r="D24" s="39" t="inlineStr">
        <is>
          <t>No.</t>
        </is>
      </c>
      <c r="E24" s="39" t="inlineStr"/>
      <c r="F24" s="39" t="inlineStr"/>
      <c r="G24" s="39">
        <f>IFERROR(ROUND((E24-F24)/F24*100,1),"")</f>
        <v/>
      </c>
      <c r="H24" s="39" t="inlineStr"/>
    </row>
    <row r="25" ht="22" customHeight="1">
      <c r="B25" s="8" t="n">
        <v>2</v>
      </c>
      <c r="C25" s="9" t="inlineStr">
        <is>
          <t>New startups registered</t>
        </is>
      </c>
      <c r="D25" s="10" t="inlineStr">
        <is>
          <t>No.</t>
        </is>
      </c>
      <c r="E25" s="10" t="inlineStr"/>
      <c r="F25" s="10" t="inlineStr"/>
      <c r="G25" s="10">
        <f>IFERROR(ROUND((E25-F25)/F25*100,1),"")</f>
        <v/>
      </c>
      <c r="H25" s="10" t="inlineStr"/>
    </row>
    <row r="26" ht="22" customHeight="1">
      <c r="B26" s="66" t="n">
        <v>3</v>
      </c>
      <c r="C26" s="40" t="inlineStr">
        <is>
          <t>Mentorship sessions conducted</t>
        </is>
      </c>
      <c r="D26" s="39" t="inlineStr">
        <is>
          <t>No.</t>
        </is>
      </c>
      <c r="E26" s="39" t="inlineStr"/>
      <c r="F26" s="39" t="inlineStr"/>
      <c r="G26" s="39">
        <f>IFERROR(ROUND((E26-F26)/F26*100,1),"")</f>
        <v/>
      </c>
      <c r="H26" s="39" t="inlineStr"/>
    </row>
    <row r="27" ht="22" customHeight="1">
      <c r="B27" s="8" t="n">
        <v>4</v>
      </c>
      <c r="C27" s="9" t="inlineStr">
        <is>
          <t>IPR filings supported</t>
        </is>
      </c>
      <c r="D27" s="10" t="inlineStr">
        <is>
          <t>No.</t>
        </is>
      </c>
      <c r="E27" s="10" t="inlineStr"/>
      <c r="F27" s="10" t="inlineStr"/>
      <c r="G27" s="10">
        <f>IFERROR(ROUND((E27-F27)/F27*100,1),"")</f>
        <v/>
      </c>
      <c r="H27" s="10" t="inlineStr"/>
    </row>
    <row r="28" ht="22" customHeight="1">
      <c r="B28" s="66" t="n">
        <v>5</v>
      </c>
      <c r="C28" s="40" t="inlineStr">
        <is>
          <t>Legal support cases handled</t>
        </is>
      </c>
      <c r="D28" s="39" t="inlineStr">
        <is>
          <t>No.</t>
        </is>
      </c>
      <c r="E28" s="39" t="inlineStr"/>
      <c r="F28" s="39" t="inlineStr"/>
      <c r="G28" s="39">
        <f>IFERROR(ROUND((E28-F28)/F28*100,1),"")</f>
        <v/>
      </c>
      <c r="H28" s="39" t="inlineStr"/>
    </row>
    <row r="29" ht="22" customHeight="1">
      <c r="B29" s="8" t="n">
        <v>6</v>
      </c>
      <c r="C29" s="9" t="inlineStr">
        <is>
          <t>Prototypes completed</t>
        </is>
      </c>
      <c r="D29" s="10" t="inlineStr">
        <is>
          <t>No.</t>
        </is>
      </c>
      <c r="E29" s="10" t="inlineStr"/>
      <c r="F29" s="10" t="inlineStr"/>
      <c r="G29" s="10">
        <f>IFERROR(ROUND((E29-F29)/F29*100,1),"")</f>
        <v/>
      </c>
      <c r="H29" s="10" t="inlineStr"/>
    </row>
    <row r="30" ht="22" customHeight="1"/>
    <row r="31" ht="24" customHeight="1">
      <c r="B31" s="20" t="inlineStr">
        <is>
          <t>SECTION 4 — FUNDING &amp; FINANCIALS</t>
        </is>
      </c>
    </row>
    <row r="32" ht="22" customHeight="1">
      <c r="B32" s="21" t="inlineStr">
        <is>
          <t>Sl.</t>
        </is>
      </c>
      <c r="C32" s="21" t="inlineStr">
        <is>
          <t>Performance Metric</t>
        </is>
      </c>
      <c r="D32" s="21" t="inlineStr">
        <is>
          <t>Unit</t>
        </is>
      </c>
      <c r="E32" s="21" t="inlineStr">
        <is>
          <t>Current A.Y.</t>
        </is>
      </c>
      <c r="F32" s="21" t="inlineStr">
        <is>
          <t>Previous A.Y.</t>
        </is>
      </c>
      <c r="G32" s="21" t="inlineStr">
        <is>
          <t>Growth %</t>
        </is>
      </c>
      <c r="H32" s="21" t="inlineStr">
        <is>
          <t>Target Next Year</t>
        </is>
      </c>
    </row>
    <row r="33" ht="22" customHeight="1">
      <c r="B33" s="67" t="n">
        <v>1</v>
      </c>
      <c r="C33" s="47" t="inlineStr">
        <is>
          <t>Seed fund disbursed (₹L)</t>
        </is>
      </c>
      <c r="D33" s="22" t="inlineStr">
        <is>
          <t>₹L</t>
        </is>
      </c>
      <c r="E33" s="22" t="inlineStr"/>
      <c r="F33" s="22" t="inlineStr"/>
      <c r="G33" s="22">
        <f>IFERROR(ROUND((E33-F33)/F33*100,1),"")</f>
        <v/>
      </c>
      <c r="H33" s="22" t="inlineStr"/>
    </row>
    <row r="34" ht="22" customHeight="1">
      <c r="B34" s="8" t="n">
        <v>2</v>
      </c>
      <c r="C34" s="9" t="inlineStr">
        <is>
          <t>External grants won (₹L)</t>
        </is>
      </c>
      <c r="D34" s="10" t="inlineStr">
        <is>
          <t>₹L</t>
        </is>
      </c>
      <c r="E34" s="10" t="inlineStr"/>
      <c r="F34" s="10" t="inlineStr"/>
      <c r="G34" s="10">
        <f>IFERROR(ROUND((E34-F34)/F34*100,1),"")</f>
        <v/>
      </c>
      <c r="H34" s="10" t="inlineStr"/>
    </row>
    <row r="35" ht="22" customHeight="1">
      <c r="B35" s="67" t="n">
        <v>3</v>
      </c>
      <c r="C35" s="47" t="inlineStr">
        <is>
          <t>Competition prize money won (₹L)</t>
        </is>
      </c>
      <c r="D35" s="22" t="inlineStr">
        <is>
          <t>₹L</t>
        </is>
      </c>
      <c r="E35" s="22" t="inlineStr"/>
      <c r="F35" s="22" t="inlineStr"/>
      <c r="G35" s="22">
        <f>IFERROR(ROUND((E35-F35)/F35*100,1),"")</f>
        <v/>
      </c>
      <c r="H35" s="22" t="inlineStr"/>
    </row>
    <row r="36" ht="22" customHeight="1">
      <c r="B36" s="8" t="n">
        <v>4</v>
      </c>
      <c r="C36" s="9" t="inlineStr">
        <is>
          <t>Total investment attracted (₹L)</t>
        </is>
      </c>
      <c r="D36" s="10" t="inlineStr">
        <is>
          <t>₹L</t>
        </is>
      </c>
      <c r="E36" s="10" t="inlineStr"/>
      <c r="F36" s="10" t="inlineStr"/>
      <c r="G36" s="10">
        <f>IFERROR(ROUND((E36-F36)/F36*100,1),"")</f>
        <v/>
      </c>
      <c r="H36" s="10" t="inlineStr"/>
    </row>
    <row r="37" ht="22" customHeight="1">
      <c r="B37" s="67" t="n">
        <v>5</v>
      </c>
      <c r="C37" s="47" t="inlineStr">
        <is>
          <t>Portfolio revenue (₹L)</t>
        </is>
      </c>
      <c r="D37" s="22" t="inlineStr">
        <is>
          <t>₹L</t>
        </is>
      </c>
      <c r="E37" s="22" t="inlineStr"/>
      <c r="F37" s="22" t="inlineStr"/>
      <c r="G37" s="22">
        <f>IFERROR(ROUND((E37-F37)/F37*100,1),"")</f>
        <v/>
      </c>
      <c r="H37" s="22" t="inlineStr"/>
    </row>
    <row r="38" ht="22" customHeight="1">
      <c r="B38" s="8" t="n">
        <v>6</v>
      </c>
      <c r="C38" s="9" t="inlineStr">
        <is>
          <t>Consultancy / B2B revenue (₹L)</t>
        </is>
      </c>
      <c r="D38" s="10" t="inlineStr">
        <is>
          <t>₹L</t>
        </is>
      </c>
      <c r="E38" s="10" t="inlineStr"/>
      <c r="F38" s="10" t="inlineStr"/>
      <c r="G38" s="10">
        <f>IFERROR(ROUND((E38-F38)/F38*100,1),"")</f>
        <v/>
      </c>
      <c r="H38" s="10" t="inlineStr"/>
    </row>
    <row r="39" ht="22" customHeight="1"/>
    <row r="40" ht="24" customHeight="1">
      <c r="B40" s="41" t="inlineStr">
        <is>
          <t>SECTION 5 — IMPACT &amp; OUTCOMES</t>
        </is>
      </c>
    </row>
    <row r="41" ht="22" customHeight="1">
      <c r="B41" s="68" t="inlineStr">
        <is>
          <t>Sl.</t>
        </is>
      </c>
      <c r="C41" s="68" t="inlineStr">
        <is>
          <t>Performance Metric</t>
        </is>
      </c>
      <c r="D41" s="68" t="inlineStr">
        <is>
          <t>Unit</t>
        </is>
      </c>
      <c r="E41" s="68" t="inlineStr">
        <is>
          <t>Current A.Y.</t>
        </is>
      </c>
      <c r="F41" s="68" t="inlineStr">
        <is>
          <t>Previous A.Y.</t>
        </is>
      </c>
      <c r="G41" s="68" t="inlineStr">
        <is>
          <t>Growth %</t>
        </is>
      </c>
      <c r="H41" s="68" t="inlineStr">
        <is>
          <t>Target Next Year</t>
        </is>
      </c>
    </row>
    <row r="42" ht="22" customHeight="1">
      <c r="B42" s="69" t="n">
        <v>1</v>
      </c>
      <c r="C42" s="43" t="inlineStr">
        <is>
          <t>Startups graduated / exited incubation</t>
        </is>
      </c>
      <c r="D42" s="42" t="inlineStr">
        <is>
          <t>No.</t>
        </is>
      </c>
      <c r="E42" s="42" t="inlineStr"/>
      <c r="F42" s="42" t="inlineStr"/>
      <c r="G42" s="42">
        <f>IFERROR(ROUND((E42-F42)/F42*100,1),"")</f>
        <v/>
      </c>
      <c r="H42" s="42" t="inlineStr"/>
    </row>
    <row r="43" ht="22" customHeight="1">
      <c r="B43" s="8" t="n">
        <v>2</v>
      </c>
      <c r="C43" s="9" t="inlineStr">
        <is>
          <t>Jobs created by startups</t>
        </is>
      </c>
      <c r="D43" s="10" t="inlineStr">
        <is>
          <t>No. FTE</t>
        </is>
      </c>
      <c r="E43" s="10" t="inlineStr"/>
      <c r="F43" s="10" t="inlineStr"/>
      <c r="G43" s="10">
        <f>IFERROR(ROUND((E43-F43)/F43*100,1),"")</f>
        <v/>
      </c>
      <c r="H43" s="10" t="inlineStr"/>
    </row>
    <row r="44" ht="22" customHeight="1">
      <c r="B44" s="69" t="n">
        <v>3</v>
      </c>
      <c r="C44" s="43" t="inlineStr">
        <is>
          <t>Awards / recognition received</t>
        </is>
      </c>
      <c r="D44" s="42" t="inlineStr">
        <is>
          <t>No.</t>
        </is>
      </c>
      <c r="E44" s="42" t="inlineStr"/>
      <c r="F44" s="42" t="inlineStr"/>
      <c r="G44" s="42">
        <f>IFERROR(ROUND((E44-F44)/F44*100,1),"")</f>
        <v/>
      </c>
      <c r="H44" s="42" t="inlineStr"/>
    </row>
    <row r="45" ht="22" customHeight="1">
      <c r="B45" s="8" t="n">
        <v>4</v>
      </c>
      <c r="C45" s="9" t="inlineStr">
        <is>
          <t>SDG-linked startups</t>
        </is>
      </c>
      <c r="D45" s="10" t="inlineStr">
        <is>
          <t>No.</t>
        </is>
      </c>
      <c r="E45" s="10" t="inlineStr"/>
      <c r="F45" s="10" t="inlineStr"/>
      <c r="G45" s="10">
        <f>IFERROR(ROUND((E45-F45)/F45*100,1),"")</f>
        <v/>
      </c>
      <c r="H45" s="10" t="inlineStr"/>
    </row>
    <row r="46" ht="22" customHeight="1">
      <c r="B46" s="69" t="n">
        <v>5</v>
      </c>
      <c r="C46" s="43" t="inlineStr">
        <is>
          <t>Alumni entrepreneurs mentoring</t>
        </is>
      </c>
      <c r="D46" s="42" t="inlineStr">
        <is>
          <t>No.</t>
        </is>
      </c>
      <c r="E46" s="42" t="inlineStr"/>
      <c r="F46" s="42" t="inlineStr"/>
      <c r="G46" s="42">
        <f>IFERROR(ROUND((E46-F46)/F46*100,1),"")</f>
        <v/>
      </c>
      <c r="H46" s="42" t="inlineStr"/>
    </row>
    <row r="47" ht="22" customHeight="1">
      <c r="B47" s="8" t="n">
        <v>6</v>
      </c>
      <c r="C47" s="9" t="inlineStr">
        <is>
          <t>DPIIT-recognised startups</t>
        </is>
      </c>
      <c r="D47" s="10" t="inlineStr">
        <is>
          <t>No.</t>
        </is>
      </c>
      <c r="E47" s="10" t="inlineStr"/>
      <c r="F47" s="10" t="inlineStr"/>
      <c r="G47" s="10">
        <f>IFERROR(ROUND((E47-F47)/F47*100,1),"")</f>
        <v/>
      </c>
      <c r="H47" s="10" t="inlineStr"/>
    </row>
    <row r="48" ht="22" customHeight="1"/>
    <row r="49" ht="20" customHeight="1">
      <c r="B49" s="17" t="inlineStr">
        <is>
          <t>Annual Report to be submitted to: Management, IQAC (for AQAR Criterion III), NAAC SSR, NIRF, DPIIT and Governing Body before April 30 each year.</t>
        </is>
      </c>
    </row>
    <row r="50" ht="22" customHeight="1">
      <c r="B50" s="29" t="inlineStr">
        <is>
          <t>Certified by: EDC Coordinator ___________________    Chairperson ___________________    IQAC Coordinator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2026-04-19T15:34:58Z</dcterms:created>
  <dcterms:modified xmlns:dcterms="http://purl.org/dc/terms/" xmlns:xsi="http://www.w3.org/2001/XMLSchema-instance" xsi:type="dcterms:W3CDTF">2026-04-19T15:34:59Z</dcterms:modified>
</cp:coreProperties>
</file>