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 firstSheet="10" activeTab="10"/>
  </bookViews>
  <sheets>
    <sheet name="INDEX" sheetId="1" r:id="rId1"/>
    <sheet name="ICC-00 Composition" sheetId="2" r:id="rId2"/>
    <sheet name="ICC-NA Notice &amp; Agenda" sheetId="3" r:id="rId3"/>
    <sheet name="ICC-AT Attendance" sheetId="4" r:id="rId4"/>
    <sheet name="ICC-MM Minutes" sheetId="5" r:id="rId5"/>
    <sheet name="ICC-ATR Action Report" sheetId="6" r:id="rId6"/>
    <sheet name="ICC-01 Awareness Calendar" sheetId="7" r:id="rId7"/>
    <sheet name="ICC-02 Training Register" sheetId="8" r:id="rId8"/>
    <sheet name="ICC-03 Declaration Register" sheetId="9" r:id="rId9"/>
    <sheet name="ICC-04 Policy Display" sheetId="10" r:id="rId10"/>
    <sheet name="ICC-05 Complaint Receipt" sheetId="11" r:id="rId11"/>
    <sheet name="ICC-06 Acknowledgement" sheetId="12" r:id="rId12"/>
    <sheet name="ICC-07 Conciliation Form" sheetId="13" r:id="rId13"/>
    <sheet name="ICC-08 Inquiry Committee" sheetId="14" r:id="rId14"/>
    <sheet name="ICC-09 Respondent Notice" sheetId="15" r:id="rId15"/>
    <sheet name="ICC-10 Witness Statements" sheetId="16" r:id="rId16"/>
    <sheet name="ICC-11 Evidence Register" sheetId="17" r:id="rId17"/>
    <sheet name="ICC-12 Proceedings Log" sheetId="18" r:id="rId18"/>
    <sheet name="ICC-13 Inquiry Report" sheetId="19" r:id="rId19"/>
    <sheet name="ICC-14 Decision Register" sheetId="20" r:id="rId20"/>
    <sheet name="ICC-15 Appeal Register" sheetId="21" r:id="rId21"/>
    <sheet name="ICC-16 Relief Monitoring" sheetId="22" r:id="rId22"/>
    <sheet name="ICC-17 Case Closure" sheetId="23" r:id="rId23"/>
    <sheet name="ICC-18 Annual Report" sheetId="24" r:id="rId24"/>
    <sheet name="ICC-19 Case Dashboard" sheetId="25" r:id="rId25"/>
    <sheet name="ICC-20 Support Tracker" sheetId="26" r:id="rId26"/>
    <sheet name="ICC-21 Non-Retaliation" sheetId="27" r:id="rId27"/>
    <sheet name="ICC-22 Compliance Checklist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<sst xmlns="http://schemas.openxmlformats.org/spreadsheetml/2006/main" count="2529" uniqueCount="976">
  <si>
    <t>INTERNAL COMPLAINTS COMMITTEE (ICC)
Data Collection Formats — Master Workbook
Prevention, Protection &amp; Redressal of Sexual Harassment at Workplace Act, 2013</t>
  </si>
  <si>
    <t>Institution: _________________________  ICC Chairperson: _____________  A.Y.: _______  Version: _____</t>
  </si>
  <si>
    <t>⚠  STRICTLY CONFIDENTIAL — Access restricted to ICC members only. Handled per POSH Act 2013 &amp; institutional privacy policy.</t>
  </si>
  <si>
    <t>Form No.</t>
  </si>
  <si>
    <t>Format / Form Title</t>
  </si>
  <si>
    <t>Purpose / Usage</t>
  </si>
  <si>
    <t>Frequency / Stage</t>
  </si>
  <si>
    <t>── GOVERNANCE &amp; ADMINISTRATION ──</t>
  </si>
  <si>
    <t>ICC-00</t>
  </si>
  <si>
    <t>ICC Composition &amp; Members Register</t>
  </si>
  <si>
    <t>Record Chairperson, members, roles, terms &amp; mandate</t>
  </si>
  <si>
    <t>Annual / On Change</t>
  </si>
  <si>
    <t>ICC-NA</t>
  </si>
  <si>
    <t>ICC Meeting Notice &amp; Agenda</t>
  </si>
  <si>
    <t>Formal notice and agenda for ICC meetings</t>
  </si>
  <si>
    <t>Each Meeting (Min 2/yr)</t>
  </si>
  <si>
    <t>ICC-AT</t>
  </si>
  <si>
    <t>ICC Attendance &amp; Quorum Register</t>
  </si>
  <si>
    <t>Confirm attendance, quorum and proxy</t>
  </si>
  <si>
    <t>Each Meeting</t>
  </si>
  <si>
    <t>ICC-MM</t>
  </si>
  <si>
    <t>ICC Meeting Minutes &amp; Resolutions</t>
  </si>
  <si>
    <t>Record discussions, resolutions &amp; directives</t>
  </si>
  <si>
    <t>ICC-ATR</t>
  </si>
  <si>
    <t>ICC Action Taken Report</t>
  </si>
  <si>
    <t>Track implementation of ICC resolutions</t>
  </si>
  <si>
    <t>── AWARENESS &amp; PREVENTION ──</t>
  </si>
  <si>
    <t>ICC-01</t>
  </si>
  <si>
    <t>Annual Awareness Calendar</t>
  </si>
  <si>
    <t>Plan POSH awareness events, workshops &amp; training</t>
  </si>
  <si>
    <t>Annual</t>
  </si>
  <si>
    <t>ICC-02</t>
  </si>
  <si>
    <t>POSH Awareness &amp; Training Register</t>
  </si>
  <si>
    <t>Record all awareness programmes &amp; participation</t>
  </si>
  <si>
    <t>Continuous</t>
  </si>
  <si>
    <t>ICC-03</t>
  </si>
  <si>
    <t>Employee Awareness Declaration Register</t>
  </si>
  <si>
    <t>Capture signed declarations of POSH policy receipt</t>
  </si>
  <si>
    <t>Annual / On Joining</t>
  </si>
  <si>
    <t>ICC-04</t>
  </si>
  <si>
    <t>Internal POSH Policy &amp; Display Register</t>
  </si>
  <si>
    <t>Document policy display at all locations</t>
  </si>
  <si>
    <t>── COMPLAINT INTAKE &amp; REGISTRATION ──</t>
  </si>
  <si>
    <t>ICC-05</t>
  </si>
  <si>
    <t>Complaint Receipt &amp; Registration Form</t>
  </si>
  <si>
    <t>Register formal written complaint under POSH Act</t>
  </si>
  <si>
    <t>Per Complaint</t>
  </si>
  <si>
    <t>ICC-06</t>
  </si>
  <si>
    <t>Complaint Acknowledgement &amp; Interim Relief</t>
  </si>
  <si>
    <t>Acknowledge receipt and assess need for interim measures</t>
  </si>
  <si>
    <t>Within 7 Days</t>
  </si>
  <si>
    <t>ICC-07</t>
  </si>
  <si>
    <t>Conciliation / Settlement Request Form</t>
  </si>
  <si>
    <t>Initiate conciliation if complainant opts for it</t>
  </si>
  <si>
    <t>Per Request</t>
  </si>
  <si>
    <t>── INQUIRY PROCESS ──</t>
  </si>
  <si>
    <t>ICC-08</t>
  </si>
  <si>
    <t>Inquiry Committee Constitution Form</t>
  </si>
  <si>
    <t>Constitute inquiry panel for formal investigation</t>
  </si>
  <si>
    <t>Per Case</t>
  </si>
  <si>
    <t>ICC-09</t>
  </si>
  <si>
    <t>Respondent Notice &amp; Response Form</t>
  </si>
  <si>
    <t>Issue notice to respondent &amp; record written reply</t>
  </si>
  <si>
    <t>ICC-10</t>
  </si>
  <si>
    <t>Witness Statement Record</t>
  </si>
  <si>
    <t>Capture sworn statements from witnesses</t>
  </si>
  <si>
    <t>Per Witness</t>
  </si>
  <si>
    <t>ICC-11</t>
  </si>
  <si>
    <t>Evidence &amp; Document Register</t>
  </si>
  <si>
    <t>Log all documents and evidence submitted</t>
  </si>
  <si>
    <t>ICC-12</t>
  </si>
  <si>
    <t>Inquiry Proceedings Log</t>
  </si>
  <si>
    <t>Minute-by-minute record of inquiry sessions</t>
  </si>
  <si>
    <t>Each Sitting</t>
  </si>
  <si>
    <t>ICC-13</t>
  </si>
  <si>
    <t>Inquiry Report Template</t>
  </si>
  <si>
    <t>Draft findings, recommendations &amp; sanctions</t>
  </si>
  <si>
    <t>End of Inquiry</t>
  </si>
  <si>
    <t>── DECISIONS &amp; FOLLOW-UP ──</t>
  </si>
  <si>
    <t>ICC-14</t>
  </si>
  <si>
    <t>Case Decision &amp; Action Register</t>
  </si>
  <si>
    <t>Record final decision, sanction imposed &amp; rationale</t>
  </si>
  <si>
    <t>ICC-15</t>
  </si>
  <si>
    <t>Appeal Register</t>
  </si>
  <si>
    <t>Track appeals filed against ICC decisions</t>
  </si>
  <si>
    <t>Per Appeal</t>
  </si>
  <si>
    <t>ICC-16</t>
  </si>
  <si>
    <t>Interim &amp; Final Relief Monitoring Form</t>
  </si>
  <si>
    <t>Monitor implementation of relief and sanctions</t>
  </si>
  <si>
    <t>Post Decision</t>
  </si>
  <si>
    <t>ICC-17</t>
  </si>
  <si>
    <t>Case Closure &amp; Archive Register</t>
  </si>
  <si>
    <t>Formally close case and archive all records</t>
  </si>
  <si>
    <t>── MONITORING &amp; REPORTING ──</t>
  </si>
  <si>
    <t>ICC-18</t>
  </si>
  <si>
    <t>Annual Report Compilation Form</t>
  </si>
  <si>
    <t>Compile mandatory annual report to employer &amp; District Officer</t>
  </si>
  <si>
    <t>ICC-19</t>
  </si>
  <si>
    <t>Case Status Dashboard</t>
  </si>
  <si>
    <t>Real-time summary of all active and closed cases</t>
  </si>
  <si>
    <t>Monthly</t>
  </si>
  <si>
    <t>ICC-20</t>
  </si>
  <si>
    <t>Complainant Support &amp; Welfare Tracker</t>
  </si>
  <si>
    <t>Monitor complainant well-being and support measures</t>
  </si>
  <si>
    <t>Per Case / Ongoing</t>
  </si>
  <si>
    <t>ICC-21</t>
  </si>
  <si>
    <t>Non-Retaliation Monitoring Register</t>
  </si>
  <si>
    <t>Track and prevent any retaliation against complainants</t>
  </si>
  <si>
    <t>ICC-22</t>
  </si>
  <si>
    <t>Compliance &amp; Statutory Checklist</t>
  </si>
  <si>
    <t>Verify all POSH Act statutory requirements annually</t>
  </si>
  <si>
    <t>• ICC = Internal Complaints Committee, constituted under the POSH Act 2013 (Sexual Harassment of Women at Workplace Act).</t>
  </si>
  <si>
    <t>• ICC must be constituted in every workplace with 10 or more employees. Presiding Officer must be a senior woman employee.</t>
  </si>
  <si>
    <t>• Minimum 50% of ICC members must be women. One external member (NGO / woman's cause) is mandatory.</t>
  </si>
  <si>
    <t>• ALL case records are STRICTLY CONFIDENTIAL. Disclosure is a punishable offence under Section 16 of the POSH Act.</t>
  </si>
  <si>
    <t>• Inquiry must be completed within 90 days of receiving complaint. Report to employer within 10 days of inquiry completion.</t>
  </si>
  <si>
    <t>• Annual Report must be submitted to the District Officer (as per Sec. 21) and the employer / Governing Body.</t>
  </si>
  <si>
    <t>• Conciliation is permitted only if requested by the complainant — ICC shall not force / suggest conciliation.</t>
  </si>
  <si>
    <t>• Retaliation against complainant or witnesses is punishable under Section 17 of the POSH Act.</t>
  </si>
  <si>
    <t>ICC-00: INTERNAL COMPLAINTS COMMITTEE — COMPOSITION REGISTER</t>
  </si>
  <si>
    <t>Institution: _________________________  Constituted vide Order No.: _______  Date: _______  Valid upto: _______</t>
  </si>
  <si>
    <t>Sl.</t>
  </si>
  <si>
    <t>Name</t>
  </si>
  <si>
    <t>Designation / Organisation</t>
  </si>
  <si>
    <t>Role in ICC</t>
  </si>
  <si>
    <t>Gender</t>
  </si>
  <si>
    <t>Contact / Email</t>
  </si>
  <si>
    <t>Term (From–To)</t>
  </si>
  <si>
    <t>Signature</t>
  </si>
  <si>
    <t/>
  </si>
  <si>
    <t>Senior Woman Employee (not below Asst. Prof./Mgr.)</t>
  </si>
  <si>
    <t>Presiding Officer</t>
  </si>
  <si>
    <t>F</t>
  </si>
  <si>
    <t>Committed to women's cause / HR / Legal background</t>
  </si>
  <si>
    <t>Member – 1 (Internal)</t>
  </si>
  <si>
    <t>Any</t>
  </si>
  <si>
    <t>Committed to women's cause / Senior Faculty</t>
  </si>
  <si>
    <t>Member – 2 (Internal)</t>
  </si>
  <si>
    <t>Committed to women's cause / Administrative Staff</t>
  </si>
  <si>
    <t>Member – 3 (Internal)</t>
  </si>
  <si>
    <t>NGO / Association working for women's causes</t>
  </si>
  <si>
    <t>External Member (Mandatory)</t>
  </si>
  <si>
    <t>HR Officer / Legal Advisor (Ex-officio)</t>
  </si>
  <si>
    <t>Member – HR / Legal</t>
  </si>
  <si>
    <t>Statutory Requirement: Presiding Officer must be a senior woman employee. Min. 50% members must be women. One external member (from NGO/women's cause) is MANDATORY.</t>
  </si>
  <si>
    <t>Term: 3 years from date of nomination. Cannot be renewed beyond two consecutive terms. Details of reconstitution to be notified to all employees.</t>
  </si>
  <si>
    <t>MANDATE &amp; JURISDICTION</t>
  </si>
  <si>
    <t>Item</t>
  </si>
  <si>
    <t>Details</t>
  </si>
  <si>
    <t>Scope / Coverage</t>
  </si>
  <si>
    <t>All employees, students, contractual &amp; visiting staff of the institution</t>
  </si>
  <si>
    <t>Applicable Law</t>
  </si>
  <si>
    <t>POSH Act, 2013 (Act No. 14 of 2013) &amp; SH Rules, 2013</t>
  </si>
  <si>
    <t>Definitions</t>
  </si>
  <si>
    <t>Sexual Harassment as defined u/s 2(n) of the Act</t>
  </si>
  <si>
    <t>Time Limit for Complaint</t>
  </si>
  <si>
    <t>Within 3 months of incident (extendable to 3 more months for sufficient cause)</t>
  </si>
  <si>
    <t>Inquiry Deadline</t>
  </si>
  <si>
    <t>Complete within 90 days of receiving complaint</t>
  </si>
  <si>
    <t>Report Submission</t>
  </si>
  <si>
    <t>Within 10 days of inquiry completion</t>
  </si>
  <si>
    <t>Annual Report</t>
  </si>
  <si>
    <t>By January 31 / as per District Officer notification</t>
  </si>
  <si>
    <t>Penalty for False Complaint</t>
  </si>
  <si>
    <t>Action as per service rules — not criminal prosecution</t>
  </si>
  <si>
    <t>ICC: MEETING NOTICE, AGENDA &amp; DISPATCH RECORD</t>
  </si>
  <si>
    <t>ICC Meeting No.:</t>
  </si>
  <si>
    <t>Academic Year:</t>
  </si>
  <si>
    <t>Date of Meeting:</t>
  </si>
  <si>
    <t>Time:</t>
  </si>
  <si>
    <t>Venue:</t>
  </si>
  <si>
    <t>Mode:</t>
  </si>
  <si>
    <t>Notice Issued by:</t>
  </si>
  <si>
    <t>Notice Date:</t>
  </si>
  <si>
    <t>AGENDA ITEMS</t>
  </si>
  <si>
    <t>Item
No.</t>
  </si>
  <si>
    <t>Agenda Item / Discussion Topic</t>
  </si>
  <si>
    <t>Presenter / Lead</t>
  </si>
  <si>
    <t>Duration</t>
  </si>
  <si>
    <t>Confirmation of attendance and quorum</t>
  </si>
  <si>
    <t>Confirmation of minutes of previous ICC meeting</t>
  </si>
  <si>
    <t>Action Taken Report — previous meeting resolutions</t>
  </si>
  <si>
    <t>POSH awareness calendar — upcoming events &amp; training status</t>
  </si>
  <si>
    <t>Annual awareness declaration — completion status</t>
  </si>
  <si>
    <t>Policy display compliance check — all campus locations</t>
  </si>
  <si>
    <t>New complaints received — registration status (numbers only, no names in agenda)</t>
  </si>
  <si>
    <t>Active cases — inquiry progress update (reference numbers only)</t>
  </si>
  <si>
    <t>Completed cases — decisions &amp; actions implemented</t>
  </si>
  <si>
    <t>Appeal register — update</t>
  </si>
  <si>
    <t>Complainant support &amp; welfare — monitoring update</t>
  </si>
  <si>
    <t>Non-retaliation monitoring — any incidents reported</t>
  </si>
  <si>
    <t>Annual report preparation — status</t>
  </si>
  <si>
    <t>Statutory compliance checklist — review</t>
  </si>
  <si>
    <t>Any Other Matter with Permission of Presiding Officer</t>
  </si>
  <si>
    <t>DISPATCH RECORD</t>
  </si>
  <si>
    <t>Member Name &amp; Role</t>
  </si>
  <si>
    <t>Mode of Dispatch</t>
  </si>
  <si>
    <t>Acknowledgement</t>
  </si>
  <si>
    <t>ICC: ATTENDANCE &amp; QUORUM REGISTER</t>
  </si>
  <si>
    <t>Meeting No.: _______  Date: _______  Total Strength: _______  Quorum Required (min. 3 members incl. Presiding Officer): _______</t>
  </si>
  <si>
    <t>Role / Designation</t>
  </si>
  <si>
    <t>Present
(P/A)</t>
  </si>
  <si>
    <t>Proxy
(Y/N)</t>
  </si>
  <si>
    <t>Proxy Holder</t>
  </si>
  <si>
    <t>N</t>
  </si>
  <si>
    <t>QUORUM VERIFICATION</t>
  </si>
  <si>
    <t>Total ICC Members</t>
  </si>
  <si>
    <t>Members Present (Physical)</t>
  </si>
  <si>
    <t>Members Present (VC)</t>
  </si>
  <si>
    <t>Total Effective Presence</t>
  </si>
  <si>
    <t>Women Members Present</t>
  </si>
  <si>
    <t>Quorum Achieved? (min 3 incl. PO)</t>
  </si>
  <si>
    <t>ICC: MEETING MINUTES &amp; RESOLUTIONS</t>
  </si>
  <si>
    <t>Meeting No.: _______  Date: _______  Venue: _______  Presiding Officer: ___________________</t>
  </si>
  <si>
    <t>DISCUSSION &amp; RESOLUTIONS</t>
  </si>
  <si>
    <t>Resolution
No.</t>
  </si>
  <si>
    <t>Discussion Summary &amp; Resolution</t>
  </si>
  <si>
    <t>Responsible
Person</t>
  </si>
  <si>
    <t>Voting</t>
  </si>
  <si>
    <t>Target
Date</t>
  </si>
  <si>
    <t>Status</t>
  </si>
  <si>
    <t>ICC/RES/001</t>
  </si>
  <si>
    <t>Pending</t>
  </si>
  <si>
    <t>ICC/RES/002</t>
  </si>
  <si>
    <t>ICC/RES/003</t>
  </si>
  <si>
    <t>ICC/RES/004</t>
  </si>
  <si>
    <t>ICC/RES/005</t>
  </si>
  <si>
    <t>ICC/RES/006</t>
  </si>
  <si>
    <t>ICC/RES/007</t>
  </si>
  <si>
    <t>ICC/RES/008</t>
  </si>
  <si>
    <t>ICC/RES/009</t>
  </si>
  <si>
    <t>ICC/RES/010</t>
  </si>
  <si>
    <t>ICC/RES/011</t>
  </si>
  <si>
    <t>ICC/RES/012</t>
  </si>
  <si>
    <t>Next Meeting on: _______    Presiding Officer: ___________________    Member Secretary: ___________________</t>
  </si>
  <si>
    <t>ICC: ACTION TAKEN REPORT (ATR) ON ICC RESOLUTIONS</t>
  </si>
  <si>
    <t>Current Meeting No.: _______  Date: _______  Previous Meeting Ref.: _______</t>
  </si>
  <si>
    <t>Resolution / Decision (Previous)</t>
  </si>
  <si>
    <t>Action Required</t>
  </si>
  <si>
    <t>Responsible</t>
  </si>
  <si>
    <t>Completion
Date</t>
  </si>
  <si>
    <t>Implemented</t>
  </si>
  <si>
    <t>In Progress</t>
  </si>
  <si>
    <t>Deferred</t>
  </si>
  <si>
    <t>ATR SUMMARY</t>
  </si>
  <si>
    <t>Total Resolutions Under Review</t>
  </si>
  <si>
    <t>Implementation Rate (%)</t>
  </si>
  <si>
    <t>ICC-01: ANNUAL POSH AWARENESS &amp; PREVENTION CALENDAR</t>
  </si>
  <si>
    <t>A.Y.: _______  ICC Chairperson: ___________________  Approved by: ___________________  Date: _______</t>
  </si>
  <si>
    <t>Activity / Programme</t>
  </si>
  <si>
    <t>Target Audience</t>
  </si>
  <si>
    <t>Planned Date</t>
  </si>
  <si>
    <t>Responsible Member</t>
  </si>
  <si>
    <t>Mode</t>
  </si>
  <si>
    <t>Expected
Participants</t>
  </si>
  <si>
    <t>Orientation — POSH Act for new joinees / students</t>
  </si>
  <si>
    <t>New employees / Students</t>
  </si>
  <si>
    <t>At Induction</t>
  </si>
  <si>
    <t>Physical/Online</t>
  </si>
  <si>
    <t>Planned</t>
  </si>
  <si>
    <t>Annual POSH Awareness Workshop — All employees</t>
  </si>
  <si>
    <t>All Staff</t>
  </si>
  <si>
    <t>September</t>
  </si>
  <si>
    <t>Gender Sensitisation Programme</t>
  </si>
  <si>
    <t>All Faculty</t>
  </si>
  <si>
    <t>October</t>
  </si>
  <si>
    <t>Display of ICC notice board — policy &amp; composition</t>
  </si>
  <si>
    <t>All Locations</t>
  </si>
  <si>
    <t>Annual / Updated</t>
  </si>
  <si>
    <t>Circulation of POSH policy — signed acknowledgement</t>
  </si>
  <si>
    <t>All Employees</t>
  </si>
  <si>
    <t>June</t>
  </si>
  <si>
    <t>Internal e-learning module on POSH</t>
  </si>
  <si>
    <t>All Staff / Students</t>
  </si>
  <si>
    <t>Workshop — Bystander Intervention</t>
  </si>
  <si>
    <t>November</t>
  </si>
  <si>
    <t>Session — Unconscious Bias &amp; Workplace Respect</t>
  </si>
  <si>
    <t>HODs / Managers</t>
  </si>
  <si>
    <t>January</t>
  </si>
  <si>
    <t>POSH Quiz / Awareness Campaign (Dept.-level)</t>
  </si>
  <si>
    <t>Department-wise</t>
  </si>
  <si>
    <t>February</t>
  </si>
  <si>
    <t>Webinar — POSH Act for Contractual / Visiting Staff</t>
  </si>
  <si>
    <t>Contract Staff</t>
  </si>
  <si>
    <t>As required</t>
  </si>
  <si>
    <t>Self-defence workshop for women</t>
  </si>
  <si>
    <t>Women Staff / Students</t>
  </si>
  <si>
    <t>March</t>
  </si>
  <si>
    <t>Poster / Communication campaign (digital + physical)</t>
  </si>
  <si>
    <t>Entire Campus</t>
  </si>
  <si>
    <t>Annual Report — displayed / communicated</t>
  </si>
  <si>
    <t>ICC composition notification — renewed / updated</t>
  </si>
  <si>
    <t>On Change</t>
  </si>
  <si>
    <t>AWARENESS EFFECTIVENESS SUMMARY</t>
  </si>
  <si>
    <t>Month</t>
  </si>
  <si>
    <t>Activity Conducted</t>
  </si>
  <si>
    <t>Participants</t>
  </si>
  <si>
    <t>% Attendance</t>
  </si>
  <si>
    <t>Feedback Score
(/5)</t>
  </si>
  <si>
    <t>Follow-up Needed</t>
  </si>
  <si>
    <t>July</t>
  </si>
  <si>
    <t>August</t>
  </si>
  <si>
    <t>December</t>
  </si>
  <si>
    <t>April</t>
  </si>
  <si>
    <t>May</t>
  </si>
  <si>
    <t>ICC-02: POSH AWARENESS PROGRAMME &amp; TRAINING REGISTER</t>
  </si>
  <si>
    <t>A.Y.: _______  ICC Member Coordinator: ___________________</t>
  </si>
  <si>
    <t>Programme Title</t>
  </si>
  <si>
    <t>Date</t>
  </si>
  <si>
    <t>Venue
/ Platform</t>
  </si>
  <si>
    <t>Facilitator</t>
  </si>
  <si>
    <t>Participants
Registered</t>
  </si>
  <si>
    <t>Participants
Attended</t>
  </si>
  <si>
    <t>Feedback
Score (/5)</t>
  </si>
  <si>
    <t>Physical</t>
  </si>
  <si>
    <t>DEPARTMENT-WISE COVERAGE SUMMARY</t>
  </si>
  <si>
    <t>Department</t>
  </si>
  <si>
    <t>Total Employees</t>
  </si>
  <si>
    <t>Trained (this A.Y.)</t>
  </si>
  <si>
    <t>Coverage %</t>
  </si>
  <si>
    <t>Module
Completed</t>
  </si>
  <si>
    <t>Pending
Training</t>
  </si>
  <si>
    <t>Last Training
Date</t>
  </si>
  <si>
    <t>CSE</t>
  </si>
  <si>
    <t>ECE</t>
  </si>
  <si>
    <t>EEE</t>
  </si>
  <si>
    <t>MECH</t>
  </si>
  <si>
    <t>CIVIL</t>
  </si>
  <si>
    <t>S&amp;H</t>
  </si>
  <si>
    <t>MBA</t>
  </si>
  <si>
    <t>MCA</t>
  </si>
  <si>
    <t>Administration</t>
  </si>
  <si>
    <t>INSTITUTION TOTAL</t>
  </si>
  <si>
    <t>ICC-03: EMPLOYEE POSH POLICY ACKNOWLEDGEMENT &amp; DECLARATION REGISTER</t>
  </si>
  <si>
    <t>A.Y.: _______  All new joiners must complete within 30 days of joining. Annual renewal by all staff by June 30.</t>
  </si>
  <si>
    <t>Employee / Staff Name</t>
  </si>
  <si>
    <t>Dept. / Unit</t>
  </si>
  <si>
    <t>Designation
/ Category</t>
  </si>
  <si>
    <t>Employee
ID</t>
  </si>
  <si>
    <t>Date of
Joining</t>
  </si>
  <si>
    <t>Policy
Received (Y/N)</t>
  </si>
  <si>
    <t>Declaration
Signed</t>
  </si>
  <si>
    <t>Date of
Declaration</t>
  </si>
  <si>
    <t>DECLARATION COMPLIANCE SUMMARY</t>
  </si>
  <si>
    <t>Total Employees / Staff on Roll</t>
  </si>
  <si>
    <t>Declarations Received (this A.Y.)</t>
  </si>
  <si>
    <t>Declarations Pending</t>
  </si>
  <si>
    <t>New Joiners — Declarations within 30 days</t>
  </si>
  <si>
    <t>Compliance Rate (%)</t>
  </si>
  <si>
    <t>ICC-04: POSH POLICY &amp; NOTICE BOARD DISPLAY COMPLIANCE REGISTER</t>
  </si>
  <si>
    <t>A.Y.: _______  ICC Compliance Officer: ___________________  Last Verified: _______</t>
  </si>
  <si>
    <t>Location / Area</t>
  </si>
  <si>
    <t>Notice Board
Available</t>
  </si>
  <si>
    <t>ICC Composition
Displayed</t>
  </si>
  <si>
    <t>Complaint
Procedure Displayed</t>
  </si>
  <si>
    <t>Helpline
Numbers</t>
  </si>
  <si>
    <t>Last Updated</t>
  </si>
  <si>
    <t>Remarks</t>
  </si>
  <si>
    <t>Main Entrance / Reception</t>
  </si>
  <si>
    <t>Y</t>
  </si>
  <si>
    <t>Library</t>
  </si>
  <si>
    <t>Cafeteria / Canteen</t>
  </si>
  <si>
    <t>All Dept. Corridors — CSE</t>
  </si>
  <si>
    <t>All Dept. Corridors — ECE</t>
  </si>
  <si>
    <t>All Dept. Corridors — Other</t>
  </si>
  <si>
    <t>Women's Common Room</t>
  </si>
  <si>
    <t>Hostel — Women's Block</t>
  </si>
  <si>
    <t>Administrative Block</t>
  </si>
  <si>
    <t>HR / Registrar's Office</t>
  </si>
  <si>
    <t>Sports Complex</t>
  </si>
  <si>
    <t>Lab Buildings — All</t>
  </si>
  <si>
    <t>Statutory Requirement: ICC composition, complaint procedure, penalty provisions and ICC helpline/email must be displayed at conspicuous locations in the workplace.</t>
  </si>
  <si>
    <t>ICC-05: COMPLAINT RECEIPT &amp; REGISTRATION FORM
(Under Section 9 of the POSH Act, 2013)</t>
  </si>
  <si>
    <t>Complaint Reference No.: ICC/COMP/______/______   Date of Receipt: _____________  Received by: _____________</t>
  </si>
  <si>
    <t>SECTION A — COMPLAINANT DETAILS</t>
  </si>
  <si>
    <t>Full Name of Complainant (as per ID):</t>
  </si>
  <si>
    <t>Employee ID / Student Roll No.:</t>
  </si>
  <si>
    <t>Designation / Class / Programme:</t>
  </si>
  <si>
    <t>Department / Section / Unit:</t>
  </si>
  <si>
    <t>Date of Joining / Enrolment:</t>
  </si>
  <si>
    <t>Nature of Employment:</t>
  </si>
  <si>
    <t>[ ] Regular  [ ] Contract  [ ] Visiting  [ ] Student  [ ] Other</t>
  </si>
  <si>
    <t>Contact Number (confidential):</t>
  </si>
  <si>
    <t>Email Address (confidential):</t>
  </si>
  <si>
    <t>Preferred mode of communication:</t>
  </si>
  <si>
    <t>[ ] In-person  [ ] Email  [ ] Phone</t>
  </si>
  <si>
    <t>Address for correspondence:</t>
  </si>
  <si>
    <t>SECTION B — RESPONDENT DETAILS</t>
  </si>
  <si>
    <t>Full Name of Respondent(s):</t>
  </si>
  <si>
    <t>Designation:</t>
  </si>
  <si>
    <t>Department / Unit:</t>
  </si>
  <si>
    <t>Relationship to Complainant:</t>
  </si>
  <si>
    <t>[ ] Superior  [ ] Colleague  [ ] Subordinate  [ ] Student  [ ] Visitor / Third Party</t>
  </si>
  <si>
    <t>SECTION C — INCIDENT DETAILS</t>
  </si>
  <si>
    <t>Date(s) of Incident(s):</t>
  </si>
  <si>
    <t>Time(s) of Incident(s):</t>
  </si>
  <si>
    <t>Location(s) / Place of Incident:</t>
  </si>
  <si>
    <t>Mode of Harassment:</t>
  </si>
  <si>
    <t>[ ] Physical  [ ] Verbal  [ ] Visual  [ ] Gestural  [ ] Electronic / Online  [ ] Written</t>
  </si>
  <si>
    <t>Nature of Sexual Harassment:</t>
  </si>
  <si>
    <t>[ ] Unwelcome physical contact  [ ] Sexual demand / request  [ ] Sexually coloured remarks</t>
  </si>
  <si>
    <t>(Tick all that apply)</t>
  </si>
  <si>
    <t>[ ] Showing pornography  [ ] Any other unwelcome conduct of sexual nature</t>
  </si>
  <si>
    <t>Was the incident witnessed?</t>
  </si>
  <si>
    <t>[ ] Yes — Witness name(s): _______________________   [ ] No</t>
  </si>
  <si>
    <t>Was the incident reported earlier?</t>
  </si>
  <si>
    <t>[ ] Yes — To whom: _______________________   [ ] No</t>
  </si>
  <si>
    <t>Was there any evidence available?</t>
  </si>
  <si>
    <t>[ ] Written messages  [ ] Emails  [ ] CCTV  [ ] Witnesses  [ ] Other: _______</t>
  </si>
  <si>
    <t>SECTION D — COMPLAINANT STATEMENT (IN OWN WORDS)</t>
  </si>
  <si>
    <t>(Attach separate sheet if required. All information provided will be treated as strictly confidential.)</t>
  </si>
  <si>
    <t>SECTION E — RELIEF SOUGHT</t>
  </si>
  <si>
    <t>[ ]  Transfer of Respondent</t>
  </si>
  <si>
    <t>[ ]  Transfer of Complainant (if desired)</t>
  </si>
  <si>
    <t>[ ]  Suspension of Respondent pending inquiry</t>
  </si>
  <si>
    <t>[ ]  Warning / Censure</t>
  </si>
  <si>
    <t>[ ]  Termination of Employment</t>
  </si>
  <si>
    <t>[ ]  Financial Compensation</t>
  </si>
  <si>
    <t>[ ]  Any other relief (specify):</t>
  </si>
  <si>
    <t>I declare that the information provided above is true to the best of my knowledge. I understand that filing a false complaint is an offence under the Act.</t>
  </si>
  <si>
    <t>Complainant Signature: ___________________    Date: ___________________    Received by ICC: ___________________ Date: ___________________</t>
  </si>
  <si>
    <t>ICC-06: COMPLAINT ACKNOWLEDGEMENT &amp; INTERIM RELIEF ASSESSMENT
(Under Section 12 of the POSH Act, 2013)</t>
  </si>
  <si>
    <t>Complaint Ref. No.: _______  Date of Complaint: _______  Date of Acknowledgement: _______</t>
  </si>
  <si>
    <t>SECTION A — ACKNOWLEDGEMENT OF COMPLAINT</t>
  </si>
  <si>
    <t>Complaint received from:</t>
  </si>
  <si>
    <t>Date of Receipt:</t>
  </si>
  <si>
    <t>Complaint registered as:</t>
  </si>
  <si>
    <t>ICC/COMP/___/___</t>
  </si>
  <si>
    <t>Inquiry Committee to be constituted by:</t>
  </si>
  <si>
    <t>(within 7 days of receipt)</t>
  </si>
  <si>
    <t>Presiding Officer signature:</t>
  </si>
  <si>
    <t>Date of acknowledgement sent to complainant:</t>
  </si>
  <si>
    <t>SECTION B — INTERIM RELIEF ASSESSMENT (u/s 12)</t>
  </si>
  <si>
    <t>Does the complainant need interim relief?</t>
  </si>
  <si>
    <t>[ ] Yes   [ ] No   [ ] Under Assessment</t>
  </si>
  <si>
    <t>Nature of interim relief requested / assessed:</t>
  </si>
  <si>
    <t>[ ] Transfer of Complainant  [ ] Transfer of Respondent  [ ] Grant of Leave  [ ] Restraining Order</t>
  </si>
  <si>
    <t>Grounds for granting interim relief:</t>
  </si>
  <si>
    <t>Interim relief order issued on:</t>
  </si>
  <si>
    <t>Interim relief order reference number:</t>
  </si>
  <si>
    <t>Interim relief granted by:</t>
  </si>
  <si>
    <t>(Employer / Competent Authority)</t>
  </si>
  <si>
    <t>Duration of interim relief:</t>
  </si>
  <si>
    <t>(Till completion of inquiry or as specified)</t>
  </si>
  <si>
    <t>Review date for interim relief:</t>
  </si>
  <si>
    <t>SECTION C — TIMELINE TRACKING</t>
  </si>
  <si>
    <t>Date complaint received</t>
  </si>
  <si>
    <t>Date acknowledgement sent</t>
  </si>
  <si>
    <t>Date inquiry committee constituted</t>
  </si>
  <si>
    <t>Expected inquiry completion date</t>
  </si>
  <si>
    <t>(within 90 days)</t>
  </si>
  <si>
    <t>Date report submitted to employer</t>
  </si>
  <si>
    <t>(within 10 days of completion)</t>
  </si>
  <si>
    <t>Date action taken by employer</t>
  </si>
  <si>
    <t>(within 60 days of report)</t>
  </si>
  <si>
    <t>ICC-07: CONCILIATION / SETTLEMENT REQUEST FORM
(Under Section 10 of the POSH Act, 2013)</t>
  </si>
  <si>
    <t>⚠  Conciliation is ONLY permitted if the COMPLAINANT requests it in writing. ICC shall NOT suggest or pressurize for conciliation. Monetary settlement is NOT a conciliation option.</t>
  </si>
  <si>
    <t>SECTION A — REQUEST DETAILS</t>
  </si>
  <si>
    <t>Complaint Ref. No.:</t>
  </si>
  <si>
    <t>Name of Complainant (internal ref.):</t>
  </si>
  <si>
    <t>Date of Conciliation Request by Complainant:</t>
  </si>
  <si>
    <t>Is request in writing and voluntary?</t>
  </si>
  <si>
    <t>[ ] Yes — Attach written request   [ ] No — Cannot proceed</t>
  </si>
  <si>
    <t>Nature of settlement sought by Complainant:</t>
  </si>
  <si>
    <t>Conciliator assigned (ICC member):</t>
  </si>
  <si>
    <t>Date of first conciliation session:</t>
  </si>
  <si>
    <t>Date of final conciliation session:</t>
  </si>
  <si>
    <t>SECTION B — OUTCOME</t>
  </si>
  <si>
    <t>Outcome of conciliation:</t>
  </si>
  <si>
    <t>[ ] Settlement reached   [ ] No settlement — proceed to inquiry   [ ] Complainant withdrew request</t>
  </si>
  <si>
    <t>Terms of settlement (if reached):</t>
  </si>
  <si>
    <t>(Attach separate signed settlement agreement)</t>
  </si>
  <si>
    <t>Confirmed voluntary agreement by both parties:</t>
  </si>
  <si>
    <t>[ ] Yes   [ ] No</t>
  </si>
  <si>
    <t>Settlement recorded and notified to employer:</t>
  </si>
  <si>
    <t>Date: _______   Ref.: _______</t>
  </si>
  <si>
    <t>Case closed (if settlement reached)?</t>
  </si>
  <si>
    <t>[ ] Yes — Date of closure: _______   [ ] No — Inquiry proceeds</t>
  </si>
  <si>
    <t>A settlement agreement under Section 10 cannot be monetarily compensatory. Any settlement must be fair, just and not obtained through coercion. Records must be maintained for 3 years.</t>
  </si>
  <si>
    <t>Presiding Officer: ___________________    Conciliator: ___________________    Date: ___________________    Both Parties Signed: Y / N</t>
  </si>
  <si>
    <t>ICC-08: INQUIRY COMMITTEE CONSTITUTION FORM
(Under Section 11 of the POSH Act, 2013)</t>
  </si>
  <si>
    <t>Complaint Ref. No.: _______  ICC Constitution Order No.: _______  Date: _______</t>
  </si>
  <si>
    <t>INQUIRY COMMITTEE MEMBERS</t>
  </si>
  <si>
    <t>Designation</t>
  </si>
  <si>
    <t>Role in Inquiry</t>
  </si>
  <si>
    <t>Inquiry Officer (Presiding Member)</t>
  </si>
  <si>
    <t>Member — 1 (ICC)</t>
  </si>
  <si>
    <t>Member — 2 (Subject Expert if required)</t>
  </si>
  <si>
    <t>External Member (if required)</t>
  </si>
  <si>
    <t>INQUIRY TERMS OF REFERENCE</t>
  </si>
  <si>
    <t>Complaint to be inquired into:</t>
  </si>
  <si>
    <t>Allegations to be investigated:</t>
  </si>
  <si>
    <t>(As detailed in complaint registration form)</t>
  </si>
  <si>
    <t>Inquiry to be completed by:</t>
  </si>
  <si>
    <t>(within 90 days of complaint receipt — mandatory)</t>
  </si>
  <si>
    <t>Proceedings to be held at:</t>
  </si>
  <si>
    <t>Confidentiality obligations:</t>
  </si>
  <si>
    <t>All members bound by Section 16 of POSH Act</t>
  </si>
  <si>
    <t>Powers of Inquiry Committee:</t>
  </si>
  <si>
    <t>Civil Court powers u/s 11(3) — summon &amp; examine</t>
  </si>
  <si>
    <t>Report to be submitted to:</t>
  </si>
  <si>
    <t>ICC Presiding Officer → Employer</t>
  </si>
  <si>
    <t>The inquiry shall be conducted in a fair, impartial and transparent manner. No member with conflict of interest shall participate in the inquiry.</t>
  </si>
  <si>
    <t>Constituted by: Presiding Officer ___________________    Date: ___________________    Order Copy to: Employer, Both Parties</t>
  </si>
  <si>
    <t>ICC-09: NOTICE TO RESPONDENT &amp; WRITTEN RESPONSE FORM
(Under Section 11 of the POSH Act, 2013)</t>
  </si>
  <si>
    <t>Complaint Ref. No.: _______  Notice Date: _______  Response Due Date: _______  (Typically 10 working days)</t>
  </si>
  <si>
    <t>SECTION A — NOTICE DETAILS</t>
  </si>
  <si>
    <t>Notice Ref. No.:</t>
  </si>
  <si>
    <t>ICC/NOTICE/___/___</t>
  </si>
  <si>
    <t>Name of Respondent (internal ref.):</t>
  </si>
  <si>
    <t>Date of notice issued:</t>
  </si>
  <si>
    <t>Mode of delivery:</t>
  </si>
  <si>
    <t>[ ] In-person  [ ] Registered Post  [ ] Email with confirmation</t>
  </si>
  <si>
    <t>Date of acknowledgement by Respondent:</t>
  </si>
  <si>
    <t>Allegations communicated:</t>
  </si>
  <si>
    <t>(Summary of complaint — not verbatim if anonymity to be protected)</t>
  </si>
  <si>
    <t>Documents shared with Respondent:</t>
  </si>
  <si>
    <t>(Copy of complaint — Sec. 11(2) requires sharing complaint copy)</t>
  </si>
  <si>
    <t>SECTION B — RESPONDENT'S WRITTEN RESPONSE</t>
  </si>
  <si>
    <t>Date of response received:</t>
  </si>
  <si>
    <t>Does Respondent deny allegations?</t>
  </si>
  <si>
    <t>[ ] Denies all  [ ] Admits in part  [ ] Admits all  [ ] No response</t>
  </si>
  <si>
    <t>Summary of Respondent's defence:</t>
  </si>
  <si>
    <t>Documents / evidence submitted by Respondent:</t>
  </si>
  <si>
    <t>Witnesses cited by Respondent:</t>
  </si>
  <si>
    <t>Has Respondent requested extension?</t>
  </si>
  <si>
    <t>[ ] Yes — Reason: _______   [ ] No</t>
  </si>
  <si>
    <t>Extension granted (if any):</t>
  </si>
  <si>
    <t>[ ] Yes — New deadline: _______   [ ] No</t>
  </si>
  <si>
    <t>The Respondent must be given an opportunity to present defence and cross-examine witnesses. Failure to respond does not mean inquiry is to be decided ex-parte without opportunity being given.</t>
  </si>
  <si>
    <t>Received by: ___________________    ICC Member: ___________________    Date: ___________________</t>
  </si>
  <si>
    <t>ICC-10: WITNESS STATEMENT RECORD
(Inquiry u/s 11 — POSH Act, 2013)</t>
  </si>
  <si>
    <t>Complaint Ref. No.: _______  Witness Statement No.: _______  Date: _______  Inquiry Session No.: _______</t>
  </si>
  <si>
    <t>WITNESS PARTICULARS</t>
  </si>
  <si>
    <t>Witness Name (internal ref. / code):</t>
  </si>
  <si>
    <t>Designation / Role:</t>
  </si>
  <si>
    <t>[ ] Colleague  [ ] Superior  [ ] Friend  [ ] Bystander  [ ] Other</t>
  </si>
  <si>
    <t>Relationship to Respondent:</t>
  </si>
  <si>
    <t>Was the witness sworn / affirmed?</t>
  </si>
  <si>
    <t>Witness summoned by:</t>
  </si>
  <si>
    <t>[ ] Complainant  [ ] Respondent  [ ] ICC suo motu</t>
  </si>
  <si>
    <t>STATEMENT RECORD</t>
  </si>
  <si>
    <t>(Verbatim / summarised account of witness statement. Attach transcript if recorded. All statements are CONFIDENTIAL.)</t>
  </si>
  <si>
    <t>I affirm that the statement given above is true and correct to the best of my knowledge and belief.</t>
  </si>
  <si>
    <t>Witness Signature: ___________________    Date: ___________________    Inquiry Officer: ___________________    Date: ___________________</t>
  </si>
  <si>
    <t>ICC-11: EVIDENCE &amp; DOCUMENT REGISTER
(Inquiry u/s 11 — POSH Act, 2013)</t>
  </si>
  <si>
    <t>Complaint Ref. No.: _______  Evidence Register No.: _______  Custodian: ___________________</t>
  </si>
  <si>
    <t>Evidence
Ref.</t>
  </si>
  <si>
    <t>Description of Document / Evidence</t>
  </si>
  <si>
    <t>Type</t>
  </si>
  <si>
    <t>Submitted by</t>
  </si>
  <si>
    <t>Date
Received</t>
  </si>
  <si>
    <t>Authenticity
Verified</t>
  </si>
  <si>
    <t>Stored As</t>
  </si>
  <si>
    <t>EV/001</t>
  </si>
  <si>
    <t>Written complaint</t>
  </si>
  <si>
    <t>Sealed envelope / Digital</t>
  </si>
  <si>
    <t>EV/002</t>
  </si>
  <si>
    <t>Email screenshot</t>
  </si>
  <si>
    <t>EV/003</t>
  </si>
  <si>
    <t>SMS / WhatsApp</t>
  </si>
  <si>
    <t>EV/004</t>
  </si>
  <si>
    <t>CCTV footage</t>
  </si>
  <si>
    <t>EV/005</t>
  </si>
  <si>
    <t>Photograph</t>
  </si>
  <si>
    <t>EV/006</t>
  </si>
  <si>
    <t>Audio / Video recording</t>
  </si>
  <si>
    <t>EV/007</t>
  </si>
  <si>
    <t>Physical object</t>
  </si>
  <si>
    <t>EV/008</t>
  </si>
  <si>
    <t>Attendance record</t>
  </si>
  <si>
    <t>EV/009</t>
  </si>
  <si>
    <t>HRMS / System log</t>
  </si>
  <si>
    <t>EV/010</t>
  </si>
  <si>
    <t>Letter / Note</t>
  </si>
  <si>
    <t>EV/011</t>
  </si>
  <si>
    <t>Medical record</t>
  </si>
  <si>
    <t>EV/012</t>
  </si>
  <si>
    <t>Third-party document</t>
  </si>
  <si>
    <t>EV/013</t>
  </si>
  <si>
    <t>Witness affidavit</t>
  </si>
  <si>
    <t>EV/014</t>
  </si>
  <si>
    <t>EV/015</t>
  </si>
  <si>
    <t>EV/016</t>
  </si>
  <si>
    <t>All evidence must be kept under lock and key / password protection. Chain of custody to be maintained. Evidence to be preserved for minimum 3 years after case closure (Section 17).</t>
  </si>
  <si>
    <t>ICC-12: INQUIRY PROCEEDINGS LOG
(Sitting-by-sitting record — POSH Act, 2013)</t>
  </si>
  <si>
    <t>Complaint Ref. No.: _______  Sitting No.: _______  Date: _______  Location: _______  Duration: _______</t>
  </si>
  <si>
    <t>SITTING DETAILS</t>
  </si>
  <si>
    <t>Present from Complainant's side:</t>
  </si>
  <si>
    <t>[ ] Complainant  [ ] Complainant's representative  [ ] Not present</t>
  </si>
  <si>
    <t>Present from Respondent's side:</t>
  </si>
  <si>
    <t>[ ] Respondent  [ ] Respondent's representative  [ ] Not present</t>
  </si>
  <si>
    <t>ICC members present:</t>
  </si>
  <si>
    <t>Purpose of this sitting:</t>
  </si>
  <si>
    <t>[ ] Initial hearing  [ ] Evidence recording  [ ] Cross-examination  [ ] Arguments  [ ] Other</t>
  </si>
  <si>
    <t>Witnesses examined this sitting:</t>
  </si>
  <si>
    <t>Documents admitted this sitting (Evidence Ref.):</t>
  </si>
  <si>
    <t>PROCEEDINGS SUMMARY</t>
  </si>
  <si>
    <t>(Detailed minutes of proceedings — attach transcript if recorded)</t>
  </si>
  <si>
    <t>NEXT STEPS</t>
  </si>
  <si>
    <t>Next sitting date:</t>
  </si>
  <si>
    <t>Purpose of next sitting:</t>
  </si>
  <si>
    <t>Documents / witnesses required for next sitting:</t>
  </si>
  <si>
    <t>Any directions / orders given this sitting:</t>
  </si>
  <si>
    <t>Signed — Inquiry Officer: ___________________    Member: ___________________    Member: ___________________    Date: ___________________</t>
  </si>
  <si>
    <t>ICC-13: INQUIRY REPORT TEMPLATE
(Under Section 13 of the POSH Act, 2013)</t>
  </si>
  <si>
    <t>Report No.: ICC/REPORT/___/___   Complaint Ref.: _______   Report Date: _______   Submitted to Employer on: _______</t>
  </si>
  <si>
    <t>I. PRELIMINARY DETAILS</t>
  </si>
  <si>
    <t>Date of complaint</t>
  </si>
  <si>
    <t>Date of registration</t>
  </si>
  <si>
    <t>Inquiry Committee constituted on</t>
  </si>
  <si>
    <t>Inquiry period (from–to)</t>
  </si>
  <si>
    <t>Number of sittings held</t>
  </si>
  <si>
    <t>Was conciliation attempted?</t>
  </si>
  <si>
    <t>Complaint withdrawn? (if applicable)</t>
  </si>
  <si>
    <t>II. BACKGROUND &amp; FACTS</t>
  </si>
  <si>
    <t>Complainant profile (internal ref. only)</t>
  </si>
  <si>
    <t>Respondent profile (internal ref. only)</t>
  </si>
  <si>
    <t>Nature of workplace relationship</t>
  </si>
  <si>
    <t>Summary of allegations</t>
  </si>
  <si>
    <t>Summary of respondent's defence</t>
  </si>
  <si>
    <t>III. EVIDENCE EXAMINED</t>
  </si>
  <si>
    <t>Documentary evidence reviewed</t>
  </si>
  <si>
    <t>Witness statements recorded</t>
  </si>
  <si>
    <t>CCTV / electronic evidence</t>
  </si>
  <si>
    <t>Any other evidence</t>
  </si>
  <si>
    <t>IV. FINDINGS OF FACT</t>
  </si>
  <si>
    <t>Facts found proved</t>
  </si>
  <si>
    <t>Facts not proved</t>
  </si>
  <si>
    <t>Credibility assessment of parties</t>
  </si>
  <si>
    <t>Consistency of evidence</t>
  </si>
  <si>
    <t>V. CONCLUSIONS</t>
  </si>
  <si>
    <t>Was the conduct sexual harassment as defined u/s 2(n)?</t>
  </si>
  <si>
    <t>Balance of probabilities standard applied?</t>
  </si>
  <si>
    <t>Is the complaint malicious / false? (reasons)</t>
  </si>
  <si>
    <t>VI. RECOMMENDATIONS TO EMPLOYER</t>
  </si>
  <si>
    <t>Recommended action against Respondent (if found guilty)</t>
  </si>
  <si>
    <t>Recommended relief to Complainant</t>
  </si>
  <si>
    <t>Recommended action if complaint is false</t>
  </si>
  <si>
    <t>Preventive measures recommended</t>
  </si>
  <si>
    <t>Inquiry Committee Signatures:  Inquiry Officer: ___________________    Member 1: ___________________    Member 2: ___________________    Date: ___________________</t>
  </si>
  <si>
    <t>ICC-14: CASE DECISION &amp; ACTION REGISTER
(Under Sections 13 &amp; 14 of the POSH Act, 2013)</t>
  </si>
  <si>
    <t>Complaint Ref. No.: _______  Decision Date: _______  Employer notified on: _______</t>
  </si>
  <si>
    <t>DECISION DETAILS</t>
  </si>
  <si>
    <t>Case decision:</t>
  </si>
  <si>
    <t>[ ] Sexual harassment proved  [ ] Sexual harassment not proved  [ ] Complaint found false/malicious</t>
  </si>
  <si>
    <t>Action recommended against Respondent:</t>
  </si>
  <si>
    <t>[ ] Warning  [ ] Censure  [ ] Withhold promotion  [ ] Withhold increment  [ ] Termination  [ ] Other</t>
  </si>
  <si>
    <t>Action recommended for Complainant:</t>
  </si>
  <si>
    <t>[ ] Reinstatement  [ ] Compensation  [ ] Apology  [ ] Transfer  [ ] Other</t>
  </si>
  <si>
    <t>Action for false/malicious complaint:</t>
  </si>
  <si>
    <t>[ ] Warning  [ ] Censure  [ ] Other (not criminal prosecution)</t>
  </si>
  <si>
    <t>Compensation formula (if applicable):</t>
  </si>
  <si>
    <t>(u/s 15: pay, mental trauma, loss of career opportunity)</t>
  </si>
  <si>
    <t>Decision date:</t>
  </si>
  <si>
    <t>Decision communicated to parties on:</t>
  </si>
  <si>
    <t>Action implemented by employer on:</t>
  </si>
  <si>
    <t>(Employer must act within 60 days of receiving report)</t>
  </si>
  <si>
    <t>Monitoring of implementation:</t>
  </si>
  <si>
    <t>Responsible: _______  Review date: _______</t>
  </si>
  <si>
    <t>Employer must implement the recommendations within 60 days. ICC to follow up if not implemented. Employer non-compliance is an offence under the Act.</t>
  </si>
  <si>
    <t>CASE TIMELINE (STATUTORY COMPLIANCE)</t>
  </si>
  <si>
    <t>Date Complaint Received</t>
  </si>
  <si>
    <t>Date Inquiry Commenced</t>
  </si>
  <si>
    <t>Date Inquiry Completed</t>
  </si>
  <si>
    <t>Days Taken for Inquiry</t>
  </si>
  <si>
    <t>Date Report Submitted to Employer</t>
  </si>
  <si>
    <t>Days from Completion to Submission</t>
  </si>
  <si>
    <t>Date Employer Implemented Action</t>
  </si>
  <si>
    <t>Days from Report to Action</t>
  </si>
  <si>
    <t>Statutory Compliance Status</t>
  </si>
  <si>
    <t>[ ] Fully Compliant   [ ] Partially — Explain: _______   [ ] Non-Compliant</t>
  </si>
  <si>
    <t>ICC-15: APPEAL REGISTER
(Under Section 18 of the POSH Act, 2013)</t>
  </si>
  <si>
    <t>Appeals lie to Court / Tribunal u/s 18. ICC has no appellate jurisdiction. This register tracks appeals for compliance monitoring.</t>
  </si>
  <si>
    <t>Appeal
Ref.</t>
  </si>
  <si>
    <t>Case Ref. No.</t>
  </si>
  <si>
    <t>Appellant
(Complainant/Respondent)</t>
  </si>
  <si>
    <t>Ground of
Appeal</t>
  </si>
  <si>
    <t>Date Filed</t>
  </si>
  <si>
    <t>Forum
(Court/Tribunal)</t>
  </si>
  <si>
    <t>Outcome / Date</t>
  </si>
  <si>
    <t>APPL/001</t>
  </si>
  <si>
    <t>APPL/002</t>
  </si>
  <si>
    <t>APPL/003</t>
  </si>
  <si>
    <t>APPL/004</t>
  </si>
  <si>
    <t>APPL/005</t>
  </si>
  <si>
    <t>APPL/006</t>
  </si>
  <si>
    <t>APPL/007</t>
  </si>
  <si>
    <t>APPL/008</t>
  </si>
  <si>
    <t>APPL/009</t>
  </si>
  <si>
    <t>APPL/010</t>
  </si>
  <si>
    <t>Under Sec. 18, an aggrieved person may appeal to the Court or Tribunal within 90 days of decision. ICC to preserve all records for appellate proceedings.</t>
  </si>
  <si>
    <t>ICC-16: INTERIM &amp; FINAL RELIEF MONITORING FORM</t>
  </si>
  <si>
    <t>Case Ref. No.: _______  Relief Monitoring Period: _______  ICC Member Responsible: ___________________</t>
  </si>
  <si>
    <t>INTERIM RELIEF MONITORING</t>
  </si>
  <si>
    <t>Relief Type</t>
  </si>
  <si>
    <t>Ordered By</t>
  </si>
  <si>
    <t>Order Date</t>
  </si>
  <si>
    <t>Implemented By</t>
  </si>
  <si>
    <t>Impl. Date</t>
  </si>
  <si>
    <t>Next Review</t>
  </si>
  <si>
    <t>Transfer of Complainant (if requested)</t>
  </si>
  <si>
    <t>Transfer of Respondent</t>
  </si>
  <si>
    <t>Leave to Complainant</t>
  </si>
  <si>
    <t>Restraining order (no contact)</t>
  </si>
  <si>
    <t>Work-from-home arrangement</t>
  </si>
  <si>
    <t>Protection of employment status</t>
  </si>
  <si>
    <t>FINAL RELIEF / SANCTION IMPLEMENTATION MONITORING</t>
  </si>
  <si>
    <t>Relief / Sanction</t>
  </si>
  <si>
    <t>Recommended to
Employer</t>
  </si>
  <si>
    <t>Employer
Order Date</t>
  </si>
  <si>
    <t>Implemented
By</t>
  </si>
  <si>
    <t>Impl.
Date</t>
  </si>
  <si>
    <t>Non-compliance
Flag</t>
  </si>
  <si>
    <t>ICC Follow-up</t>
  </si>
  <si>
    <t>Warning letter issued</t>
  </si>
  <si>
    <t>Censure in service record</t>
  </si>
  <si>
    <t>Withholding of promotion</t>
  </si>
  <si>
    <t>Withholding of increment</t>
  </si>
  <si>
    <t>Termination of Respondent</t>
  </si>
  <si>
    <t>Compensation paid to Complainant</t>
  </si>
  <si>
    <t>Written apology</t>
  </si>
  <si>
    <t>Other ordered relief</t>
  </si>
  <si>
    <t>Employer must implement recommended actions within 60 days. ICC to flag non-implementation to Governing Body / District Officer if employer fails to act.</t>
  </si>
  <si>
    <t>ICC-17: CASE CLOSURE &amp; ARCHIVE REGISTER</t>
  </si>
  <si>
    <t>A.Y.: _______  Case records must be retained for minimum 3 years from date of closure (POSH Act requirement).</t>
  </si>
  <si>
    <t>Case
Ref.</t>
  </si>
  <si>
    <t>Brief Case Description
(Anonymised)</t>
  </si>
  <si>
    <t>Date of
Complaint</t>
  </si>
  <si>
    <t>Date
Closed</t>
  </si>
  <si>
    <t>Closure
Reason</t>
  </si>
  <si>
    <t>Final
Outcome</t>
  </si>
  <si>
    <t>Archive
Ref.</t>
  </si>
  <si>
    <t>Archive
Location</t>
  </si>
  <si>
    <t>ICC/COMP/2024/001</t>
  </si>
  <si>
    <t>Inquiry completed &amp; action taken</t>
  </si>
  <si>
    <t>SH proved — sanction imposed</t>
  </si>
  <si>
    <t>ARC/001</t>
  </si>
  <si>
    <t>Secured Cabinet / Encrypted Drive</t>
  </si>
  <si>
    <t>ICC/COMP/2024/002</t>
  </si>
  <si>
    <t>Conciliation / Settlement</t>
  </si>
  <si>
    <t>SH not proved</t>
  </si>
  <si>
    <t>ARC/002</t>
  </si>
  <si>
    <t>ICC/COMP/2024/003</t>
  </si>
  <si>
    <t>Withdrawn by complainant</t>
  </si>
  <si>
    <t>Settlement reached</t>
  </si>
  <si>
    <t>ARC/003</t>
  </si>
  <si>
    <t>ICC/COMP/2024/004</t>
  </si>
  <si>
    <t>Complainant did not proceed</t>
  </si>
  <si>
    <t>Withdrawn</t>
  </si>
  <si>
    <t>ARC/004</t>
  </si>
  <si>
    <t>ICC/COMP/2024/005</t>
  </si>
  <si>
    <t>Transferred to courts</t>
  </si>
  <si>
    <t>False complaint — action taken</t>
  </si>
  <si>
    <t>ARC/005</t>
  </si>
  <si>
    <t>ICC/COMP/2024/006</t>
  </si>
  <si>
    <t>Time-barred</t>
  </si>
  <si>
    <t>Referred to court</t>
  </si>
  <si>
    <t>ARC/006</t>
  </si>
  <si>
    <t>ICC/COMP/2024/007</t>
  </si>
  <si>
    <t>ARC/007</t>
  </si>
  <si>
    <t>ICC/COMP/2025/008</t>
  </si>
  <si>
    <t>ARC/008</t>
  </si>
  <si>
    <t>ICC/COMP/2025/009</t>
  </si>
  <si>
    <t>ARC/009</t>
  </si>
  <si>
    <t>ICC/COMP/2025/010</t>
  </si>
  <si>
    <t>ARC/010</t>
  </si>
  <si>
    <t>ICC/COMP/2025/011</t>
  </si>
  <si>
    <t>ARC/011</t>
  </si>
  <si>
    <t>ICC/COMP/2025/012</t>
  </si>
  <si>
    <t>ARC/012</t>
  </si>
  <si>
    <t>ICC/COMP/2025/013</t>
  </si>
  <si>
    <t>ARC/013</t>
  </si>
  <si>
    <t>ICC/COMP/2025/014</t>
  </si>
  <si>
    <t>ARC/014</t>
  </si>
  <si>
    <t>Archive protocol: All case files sealed, indexed and stored under restricted access. Destruction allowed only after 3-year retention period with proper authorisation.</t>
  </si>
  <si>
    <t>ICC-18: ANNUAL REPORT COMPILATION FORM
(Mandatory u/s 21 of the POSH Act, 2013 — Submit to Employer &amp; District Officer)</t>
  </si>
  <si>
    <t>A.Y.: _______  Report Period: _______  ICC Chairperson: ___________________  Submitted on: _______</t>
  </si>
  <si>
    <t>SECTION 1 — COMPLAINT STATISTICS</t>
  </si>
  <si>
    <t>Metric</t>
  </si>
  <si>
    <t>Number</t>
  </si>
  <si>
    <t>Previous Year</t>
  </si>
  <si>
    <t>Change</t>
  </si>
  <si>
    <t>Total complaints received during the year</t>
  </si>
  <si>
    <t>Complaints pending from previous year</t>
  </si>
  <si>
    <t>Complaints disposed of during the year</t>
  </si>
  <si>
    <t>Cases where conciliation was attempted</t>
  </si>
  <si>
    <t>Cases where inquiry was initiated</t>
  </si>
  <si>
    <t>Cases completed within 90 days</t>
  </si>
  <si>
    <t>Cases found: Sexual harassment proved</t>
  </si>
  <si>
    <t>Cases found: Sexual harassment not proved</t>
  </si>
  <si>
    <t>Cases found: Complaint was false/malicious</t>
  </si>
  <si>
    <t>Cases withdrawn by complainant</t>
  </si>
  <si>
    <t>Cases pending at end of year</t>
  </si>
  <si>
    <t>Penalties / sanctions recommended</t>
  </si>
  <si>
    <t>Compensation recommended (no. of cases)</t>
  </si>
  <si>
    <t>SECTION 2 — AWARENESS ACTIVITIES</t>
  </si>
  <si>
    <t>Activity Type</t>
  </si>
  <si>
    <t>No. Conducted</t>
  </si>
  <si>
    <t>Total Participants</t>
  </si>
  <si>
    <t>Departments Covered</t>
  </si>
  <si>
    <t>POSH Awareness Workshops</t>
  </si>
  <si>
    <t>Gender Sensitisation Programmes</t>
  </si>
  <si>
    <t>New Joiner Orientation</t>
  </si>
  <si>
    <t>Online / e-learning Modules</t>
  </si>
  <si>
    <t>Display / Communication Campaigns</t>
  </si>
  <si>
    <t>Policy declaration signings</t>
  </si>
  <si>
    <t>SECTION 3 — ICC FUNCTIONING</t>
  </si>
  <si>
    <t>ICC meetings held during the year</t>
  </si>
  <si>
    <t>ICC composition current (Y/N)</t>
  </si>
  <si>
    <t>External member present (Y/N)</t>
  </si>
  <si>
    <t>Reconstitution done (if applicable) (Y/N)</t>
  </si>
  <si>
    <t>Quorum achieved in all meetings (Y/N)</t>
  </si>
  <si>
    <t>Cases disposed within statutory timeline (Y/N)</t>
  </si>
  <si>
    <t>Annual report submitted to employer (Y/N)</t>
  </si>
  <si>
    <t>Annual report submitted to District Officer (Y/N)</t>
  </si>
  <si>
    <t>Any non-compliance noted (specify)</t>
  </si>
  <si>
    <t>Recommendations for policy improvement</t>
  </si>
  <si>
    <t>Certified by ICC Chairperson: ___________________    Date: ___________________    Submitted to Employer: ___________________    Submitted to District Officer: ___________________</t>
  </si>
  <si>
    <t>ICC-19: CASE STATUS DASHBOARD (Numbers only — no names. Confidentiality maintained.)</t>
  </si>
  <si>
    <t>As of: _______  Prepared by: ___________________  Next review: _______</t>
  </si>
  <si>
    <t>ACTIVE CASE TRACKER (Reference Numbers Only)</t>
  </si>
  <si>
    <t>Case Type
(SH/False/Concil.)</t>
  </si>
  <si>
    <t>Inquiry
Start</t>
  </si>
  <si>
    <t>90-day
Deadline</t>
  </si>
  <si>
    <t>Days
Remaining</t>
  </si>
  <si>
    <t>Current
Stage</t>
  </si>
  <si>
    <t>Next
Milestone</t>
  </si>
  <si>
    <t>Risk
Flag</t>
  </si>
  <si>
    <t>Assigned
Officer</t>
  </si>
  <si>
    <t>SH Allegation</t>
  </si>
  <si>
    <t>Registration</t>
  </si>
  <si>
    <t>Interim relief</t>
  </si>
  <si>
    <t>Committee constituted</t>
  </si>
  <si>
    <t>Notice to respondent</t>
  </si>
  <si>
    <t>Evidence recording</t>
  </si>
  <si>
    <t>Hearings</t>
  </si>
  <si>
    <t>Findings</t>
  </si>
  <si>
    <t>ICC/COMP/2024/008</t>
  </si>
  <si>
    <t>Report submitted</t>
  </si>
  <si>
    <t>ICC/COMP/2024/009</t>
  </si>
  <si>
    <t>Action by employer</t>
  </si>
  <si>
    <t>ICC/COMP/2024/010</t>
  </si>
  <si>
    <t>Closed</t>
  </si>
  <si>
    <t>SUMMARY STATISTICS</t>
  </si>
  <si>
    <t>This Month</t>
  </si>
  <si>
    <t>This Quarter</t>
  </si>
  <si>
    <t>This A.Y.</t>
  </si>
  <si>
    <t>Prev. A.Y.</t>
  </si>
  <si>
    <t>Complaints Received</t>
  </si>
  <si>
    <t>Complaints Registered</t>
  </si>
  <si>
    <t>Inquiries Initiated</t>
  </si>
  <si>
    <t>Inquiries Completed on Time</t>
  </si>
  <si>
    <t>Cases Proved</t>
  </si>
  <si>
    <t>Cases Not Proved</t>
  </si>
  <si>
    <t>Cases Closed</t>
  </si>
  <si>
    <t>Pending &gt; 60 days</t>
  </si>
  <si>
    <t>Pending &gt; 90 days (overdue)</t>
  </si>
  <si>
    <t>Appeals Filed</t>
  </si>
  <si>
    <t>ICC-20: COMPLAINANT SUPPORT &amp; WELFARE MONITORING TRACKER</t>
  </si>
  <si>
    <t>Case Ref. No.: _______  Welfare Officer / Counsellor Assigned: ___________________</t>
  </si>
  <si>
    <t>SUPPORT MEASURES TRACKER</t>
  </si>
  <si>
    <t>Support Measure</t>
  </si>
  <si>
    <t>Required
(Y/N)</t>
  </si>
  <si>
    <t>Arranged
(Y/N)</t>
  </si>
  <si>
    <t>Provider</t>
  </si>
  <si>
    <t>Date
Arranged</t>
  </si>
  <si>
    <t>Complainant
Feedback</t>
  </si>
  <si>
    <t>Counselling / psychological support</t>
  </si>
  <si>
    <t>Medical assistance / referral</t>
  </si>
  <si>
    <t>Legal aid / awareness</t>
  </si>
  <si>
    <t>Accompaniment during hearings</t>
  </si>
  <si>
    <t>Temporary transfer / work arrangement</t>
  </si>
  <si>
    <t>Leave arrangement</t>
  </si>
  <si>
    <t>Protection from further harassment</t>
  </si>
  <si>
    <t>Contact with support NGO</t>
  </si>
  <si>
    <t>Financial assistance (if applicable)</t>
  </si>
  <si>
    <t>Information on rights &amp; process</t>
  </si>
  <si>
    <t>Safe reporting mechanism</t>
  </si>
  <si>
    <t>Regular welfare check-ins</t>
  </si>
  <si>
    <t>WELFARE CHECK-IN LOG</t>
  </si>
  <si>
    <t>Check-in Date</t>
  </si>
  <si>
    <t>Mode of Contact</t>
  </si>
  <si>
    <t>Complainant's General Well-being
(Good / Moderate / Poor)</t>
  </si>
  <si>
    <t>Issues Raised</t>
  </si>
  <si>
    <t>Action Taken</t>
  </si>
  <si>
    <t>Next Check-in</t>
  </si>
  <si>
    <t>Officer Sign</t>
  </si>
  <si>
    <t>ICC-21: NON-RETALIATION MONITORING REGISTER
(Section 17 — POSH Act, 2013: Punishment for publication / retaliation)</t>
  </si>
  <si>
    <t>Retaliation against complainants, witnesses or ICC members is a punishable offence under Section 17.</t>
  </si>
  <si>
    <t>Ref. No.</t>
  </si>
  <si>
    <t>Nature of Alleged Retaliation</t>
  </si>
  <si>
    <t>Against
(Complainant/Witness/ICC Member)</t>
  </si>
  <si>
    <t>By Whom
(Position)</t>
  </si>
  <si>
    <t>Date
Reported</t>
  </si>
  <si>
    <t>Action
Taken</t>
  </si>
  <si>
    <t>Resolution
Date</t>
  </si>
  <si>
    <t>Outcome</t>
  </si>
  <si>
    <t>NR/2024/001</t>
  </si>
  <si>
    <t>Demotion or adverse transfer</t>
  </si>
  <si>
    <t>Under Investigation</t>
  </si>
  <si>
    <t>NR/2024/002</t>
  </si>
  <si>
    <t>Withholding of increment/promotion</t>
  </si>
  <si>
    <t>NR/2024/003</t>
  </si>
  <si>
    <t>Creating hostile work environment</t>
  </si>
  <si>
    <t>NR/2024/004</t>
  </si>
  <si>
    <t>Threats or intimidation</t>
  </si>
  <si>
    <t>NR/2024/005</t>
  </si>
  <si>
    <t>Identity disclosure / breach of confidentiality</t>
  </si>
  <si>
    <t>NR/2024/006</t>
  </si>
  <si>
    <t>Spreading rumours / defamation</t>
  </si>
  <si>
    <t>NR/2025/007</t>
  </si>
  <si>
    <t>Unfair performance review</t>
  </si>
  <si>
    <t>NR/2025/008</t>
  </si>
  <si>
    <t>Exclusion from meetings / opportunities</t>
  </si>
  <si>
    <t>NR/2025/009</t>
  </si>
  <si>
    <t>Physical intimidation</t>
  </si>
  <si>
    <t>NR/2025/010</t>
  </si>
  <si>
    <t>Online harassment / cyberbullying</t>
  </si>
  <si>
    <t>NR/2025/011</t>
  </si>
  <si>
    <t>NR/2025/012</t>
  </si>
  <si>
    <t>RETALIATION COMPLAINTS SUMMARY</t>
  </si>
  <si>
    <t>Total Retaliation Complaints</t>
  </si>
  <si>
    <t>Resolved</t>
  </si>
  <si>
    <t>Referred to Management</t>
  </si>
  <si>
    <t>Resolution Rate (%)</t>
  </si>
  <si>
    <t>ICC-22: POSH ACT STATUTORY COMPLIANCE &amp; ANNUAL CHECKLIST</t>
  </si>
  <si>
    <t>A.Y.: _______  Verified by ICC Chairperson: ___________________  Date: _______</t>
  </si>
  <si>
    <t>CONSTITUTION &amp; COMPOSITION</t>
  </si>
  <si>
    <t>Statutory Compliance Requirement</t>
  </si>
  <si>
    <t>Response
Format</t>
  </si>
  <si>
    <t>Status
(Complied/Pending)</t>
  </si>
  <si>
    <t>Evidence / Ref.</t>
  </si>
  <si>
    <t>ICC Remarks</t>
  </si>
  <si>
    <t>ICC constituted per Section 4 of POSH Act</t>
  </si>
  <si>
    <t>Y/N</t>
  </si>
  <si>
    <t>Complied</t>
  </si>
  <si>
    <t>Presiding Officer is a senior woman employee</t>
  </si>
  <si>
    <t>At least 50% of ICC members are women</t>
  </si>
  <si>
    <t>External member from NGO / women's cause included</t>
  </si>
  <si>
    <t>ICC composition notified to all employees</t>
  </si>
  <si>
    <t>No member has a conflict of interest in any active case</t>
  </si>
  <si>
    <t>ICC reconstituted within 3 years / on expiry of term</t>
  </si>
  <si>
    <t>AWARENESS &amp; PREVENTION</t>
  </si>
  <si>
    <t>POSH policy displayed at prominent locations on campus</t>
  </si>
  <si>
    <t>ICC composition displayed at all notice boards</t>
  </si>
  <si>
    <t>Complaint procedure &amp; helpline displayed</t>
  </si>
  <si>
    <t>Annual awareness workshop conducted for all employees</t>
  </si>
  <si>
    <t>New joiner POSH orientation included in induction</t>
  </si>
  <si>
    <t>Policy acknowledgement / declaration obtained from all staff</t>
  </si>
  <si>
    <t>Online / e-learning module available for staff</t>
  </si>
  <si>
    <t>COMPLAINT &amp; INQUIRY PROCESS</t>
  </si>
  <si>
    <t>Complaint received and registered within 7 days</t>
  </si>
  <si>
    <t>Acknowledgement sent to complainant</t>
  </si>
  <si>
    <t>Inquiry committee constituted within 7 days of receipt</t>
  </si>
  <si>
    <t>Notice issued to respondent within prescribed time</t>
  </si>
  <si>
    <t>Respondent given opportunity to respond &amp; cross-examine</t>
  </si>
  <si>
    <t>Inquiry completed within 90 days</t>
  </si>
  <si>
    <t>Inquiry report submitted to employer within 10 days</t>
  </si>
  <si>
    <t>Employer implemented recommendations within 60 days</t>
  </si>
  <si>
    <t>CONFIDENTIALITY &amp; RECORDS</t>
  </si>
  <si>
    <t>All proceedings maintained confidential per Section 16</t>
  </si>
  <si>
    <t>No information disclosed to media / public</t>
  </si>
  <si>
    <t>Case records preserved for minimum 3 years</t>
  </si>
  <si>
    <t>No retaliation against complainants / witnesses</t>
  </si>
  <si>
    <t>Section 17 obligations monitored</t>
  </si>
  <si>
    <t>REPORTING</t>
  </si>
  <si>
    <t>Annual report submitted to employer</t>
  </si>
  <si>
    <t>Annual report submitted to District Officer (Sec. 21)</t>
  </si>
  <si>
    <t>Details of complaints in employer's annual report</t>
  </si>
  <si>
    <t>Non-compliance flagged to Governing Body</t>
  </si>
  <si>
    <t>Y/N (if applicable)</t>
  </si>
  <si>
    <t>POSH Act available and accessible to all employees</t>
  </si>
  <si>
    <t>Non-compliance with POSH Act may attract penalties under Section 26: Fine up to ₹50,000 (1st offence); cancellation of business licence / registration (repeated offences).</t>
  </si>
  <si>
    <t>Overall Compliance Status:  [ ] Fully Compliant   [ ] Partially Compliant — Action Required   [ ] Non-Compliant — Urgent</t>
  </si>
  <si>
    <t>ICC Chairperson: ___________________    Employer Representative: ___________________    Date: 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</si>
</sst>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3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sz val="9"/>
      <color rgb="FF6B21A8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0F172A"/>
      <name val="Arial"/>
      <charset val="134"/>
    </font>
    <font>
      <sz val="10"/>
      <color rgb="FF0F172A"/>
      <name val="Arial"/>
      <charset val="134"/>
    </font>
    <font>
      <sz val="9"/>
      <color rgb="FF3F2000"/>
      <name val="Arial"/>
      <charset val="134"/>
    </font>
    <font>
      <sz val="9"/>
      <color rgb="FFBE123C"/>
      <name val="Arial"/>
      <charset val="134"/>
    </font>
    <font>
      <sz val="9"/>
      <color rgb="FF0F172A"/>
      <name val="Arial"/>
      <charset val="134"/>
    </font>
    <font>
      <b/>
      <sz val="13"/>
      <color rgb="FFFFFFFF"/>
      <name val="Arial"/>
      <charset val="134"/>
    </font>
    <font>
      <b/>
      <sz val="9"/>
      <color rgb="FF7F1D1D"/>
      <name val="Arial"/>
      <charset val="134"/>
    </font>
    <font>
      <b/>
      <sz val="10"/>
      <color rgb="FF6B21A8"/>
      <name val="Arial"/>
      <charset val="134"/>
    </font>
    <font>
      <b/>
      <sz val="10"/>
      <color rgb="FFBE123C"/>
      <name val="Arial"/>
      <charset val="134"/>
    </font>
    <font>
      <sz val="10"/>
      <color rgb="FFBE123C"/>
      <name val="Arial"/>
      <charset val="134"/>
    </font>
    <font>
      <b/>
      <sz val="10"/>
      <color rgb="FF451A03"/>
      <name val="Arial"/>
      <charset val="134"/>
    </font>
    <font>
      <b/>
      <sz val="10"/>
      <color rgb="FF2D0A3E"/>
      <name val="Arial"/>
      <charset val="134"/>
    </font>
    <font>
      <sz val="9"/>
      <color rgb="FF64748B"/>
      <name val="Arial"/>
      <charset val="134"/>
    </font>
    <font>
      <sz val="9"/>
      <color rgb="FF334155"/>
      <name val="Arial"/>
      <charset val="134"/>
    </font>
    <font>
      <b/>
      <sz val="10"/>
      <color rgb="FF334155"/>
      <name val="Arial"/>
      <charset val="134"/>
    </font>
    <font>
      <b/>
      <sz val="10"/>
      <color rgb="FF166534"/>
      <name val="Arial"/>
      <charset val="134"/>
    </font>
    <font>
      <b/>
      <sz val="10"/>
      <color rgb="FF1E1B4B"/>
      <name val="Arial"/>
      <charset val="134"/>
    </font>
    <font>
      <b/>
      <sz val="15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2D0A3E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6B21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BE123C"/>
        <bgColor indexed="64"/>
      </patternFill>
    </fill>
    <fill>
      <patternFill patternType="solid">
        <fgColor rgb="FFFFE4E6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EAB30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1" borderId="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2" borderId="5" applyNumberFormat="0" applyAlignment="0" applyProtection="0">
      <alignment vertical="center"/>
    </xf>
    <xf numFmtId="0" fontId="33" fillId="23" borderId="6" applyNumberFormat="0" applyAlignment="0" applyProtection="0">
      <alignment vertical="center"/>
    </xf>
    <xf numFmtId="0" fontId="34" fillId="23" borderId="5" applyNumberFormat="0" applyAlignment="0" applyProtection="0">
      <alignment vertical="center"/>
    </xf>
    <xf numFmtId="0" fontId="35" fillId="24" borderId="7" applyNumberFormat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</cellStyleXfs>
  <cellXfs count="8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16" borderId="0" xfId="0" applyFont="1" applyFill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0" fillId="5" borderId="1" xfId="0" applyFill="1" applyBorder="1"/>
    <xf numFmtId="0" fontId="13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15" fillId="9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3" fillId="17" borderId="0" xfId="0" applyFont="1" applyFill="1" applyAlignment="1">
      <alignment horizontal="center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18" fillId="15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7" fillId="14" borderId="0" xfId="0" applyFont="1" applyFill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4" fillId="1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21" fillId="18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4" fillId="17" borderId="0" xfId="0" applyFont="1" applyFill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87"/>
  <sheetViews>
    <sheetView showGridLines="0" topLeftCell="A34" workbookViewId="0">
      <selection activeCell="A1" sqref="A1:E38"/>
    </sheetView>
  </sheetViews>
  <sheetFormatPr defaultColWidth="9" defaultRowHeight="14.4" outlineLevelCol="4"/>
  <cols>
    <col min="1" max="1" width="3" customWidth="1"/>
    <col min="2" max="2" width="12" customWidth="1"/>
    <col min="3" max="3" width="46" customWidth="1"/>
    <col min="4" max="4" width="28" customWidth="1"/>
    <col min="5" max="5" width="18" customWidth="1"/>
    <col min="6" max="6" width="3" customWidth="1"/>
  </cols>
  <sheetData>
    <row r="1" ht="10" customHeight="1"/>
    <row r="2" ht="75" customHeight="1" spans="2:5">
      <c r="B2" s="76" t="s">
        <v>0</v>
      </c>
    </row>
    <row r="3" ht="28" customHeight="1" spans="2:5">
      <c r="B3" s="2" t="s">
        <v>1</v>
      </c>
    </row>
    <row r="4" ht="20" customHeight="1" spans="2:5">
      <c r="B4" s="35" t="s">
        <v>2</v>
      </c>
    </row>
    <row r="5" ht="21" customHeight="1" spans="2:5">
      <c r="B5" s="77" t="s">
        <v>3</v>
      </c>
      <c r="C5" s="77" t="s">
        <v>4</v>
      </c>
      <c r="D5" s="77" t="s">
        <v>5</v>
      </c>
      <c r="E5" s="77" t="s">
        <v>6</v>
      </c>
    </row>
    <row r="6" ht="20" customHeight="1" spans="2:5">
      <c r="B6" s="78" t="s">
        <v>7</v>
      </c>
    </row>
    <row r="7" ht="20" customHeight="1" spans="2:5">
      <c r="B7" s="8" t="s">
        <v>8</v>
      </c>
      <c r="C7" s="9" t="s">
        <v>9</v>
      </c>
      <c r="D7" s="9" t="s">
        <v>10</v>
      </c>
      <c r="E7" s="10" t="s">
        <v>11</v>
      </c>
    </row>
    <row r="8" ht="20" customHeight="1" spans="2:5">
      <c r="B8" s="79" t="s">
        <v>12</v>
      </c>
      <c r="C8" s="80" t="s">
        <v>13</v>
      </c>
      <c r="D8" s="80" t="s">
        <v>14</v>
      </c>
      <c r="E8" s="81" t="s">
        <v>15</v>
      </c>
    </row>
    <row r="9" ht="20" customHeight="1" spans="2:5">
      <c r="B9" s="8" t="s">
        <v>16</v>
      </c>
      <c r="C9" s="9" t="s">
        <v>17</v>
      </c>
      <c r="D9" s="9" t="s">
        <v>18</v>
      </c>
      <c r="E9" s="10" t="s">
        <v>19</v>
      </c>
    </row>
    <row r="10" ht="20" customHeight="1" spans="2:5">
      <c r="B10" s="79" t="s">
        <v>20</v>
      </c>
      <c r="C10" s="80" t="s">
        <v>21</v>
      </c>
      <c r="D10" s="80" t="s">
        <v>22</v>
      </c>
      <c r="E10" s="81" t="s">
        <v>19</v>
      </c>
    </row>
    <row r="11" ht="20" customHeight="1" spans="2:5">
      <c r="B11" s="8" t="s">
        <v>23</v>
      </c>
      <c r="C11" s="9" t="s">
        <v>24</v>
      </c>
      <c r="D11" s="9" t="s">
        <v>25</v>
      </c>
      <c r="E11" s="10" t="s">
        <v>19</v>
      </c>
    </row>
    <row r="12" ht="20" customHeight="1" spans="2:5">
      <c r="B12" s="78" t="s">
        <v>26</v>
      </c>
    </row>
    <row r="13" ht="20" customHeight="1" spans="2:5">
      <c r="B13" s="8" t="s">
        <v>27</v>
      </c>
      <c r="C13" s="9" t="s">
        <v>28</v>
      </c>
      <c r="D13" s="9" t="s">
        <v>29</v>
      </c>
      <c r="E13" s="10" t="s">
        <v>30</v>
      </c>
    </row>
    <row r="14" ht="20" customHeight="1" spans="2:5">
      <c r="B14" s="79" t="s">
        <v>31</v>
      </c>
      <c r="C14" s="80" t="s">
        <v>32</v>
      </c>
      <c r="D14" s="80" t="s">
        <v>33</v>
      </c>
      <c r="E14" s="81" t="s">
        <v>34</v>
      </c>
    </row>
    <row r="15" ht="20" customHeight="1" spans="2:5">
      <c r="B15" s="8" t="s">
        <v>35</v>
      </c>
      <c r="C15" s="9" t="s">
        <v>36</v>
      </c>
      <c r="D15" s="9" t="s">
        <v>37</v>
      </c>
      <c r="E15" s="10" t="s">
        <v>38</v>
      </c>
    </row>
    <row r="16" ht="20" customHeight="1" spans="2:5">
      <c r="B16" s="79" t="s">
        <v>39</v>
      </c>
      <c r="C16" s="80" t="s">
        <v>40</v>
      </c>
      <c r="D16" s="80" t="s">
        <v>41</v>
      </c>
      <c r="E16" s="81" t="s">
        <v>30</v>
      </c>
    </row>
    <row r="17" ht="20" customHeight="1" spans="2:5">
      <c r="B17" s="78" t="s">
        <v>42</v>
      </c>
    </row>
    <row r="18" ht="20" customHeight="1" spans="2:5">
      <c r="B18" s="79" t="s">
        <v>43</v>
      </c>
      <c r="C18" s="80" t="s">
        <v>44</v>
      </c>
      <c r="D18" s="80" t="s">
        <v>45</v>
      </c>
      <c r="E18" s="81" t="s">
        <v>46</v>
      </c>
    </row>
    <row r="19" ht="20" customHeight="1" spans="2:5">
      <c r="B19" s="8" t="s">
        <v>47</v>
      </c>
      <c r="C19" s="9" t="s">
        <v>48</v>
      </c>
      <c r="D19" s="9" t="s">
        <v>49</v>
      </c>
      <c r="E19" s="10" t="s">
        <v>50</v>
      </c>
    </row>
    <row r="20" ht="20" customHeight="1" spans="2:5">
      <c r="B20" s="79" t="s">
        <v>51</v>
      </c>
      <c r="C20" s="80" t="s">
        <v>52</v>
      </c>
      <c r="D20" s="80" t="s">
        <v>53</v>
      </c>
      <c r="E20" s="81" t="s">
        <v>54</v>
      </c>
    </row>
    <row r="21" ht="20" customHeight="1" spans="2:5">
      <c r="B21" s="78" t="s">
        <v>55</v>
      </c>
    </row>
    <row r="22" ht="20" customHeight="1" spans="2:5">
      <c r="B22" s="79" t="s">
        <v>56</v>
      </c>
      <c r="C22" s="80" t="s">
        <v>57</v>
      </c>
      <c r="D22" s="80" t="s">
        <v>58</v>
      </c>
      <c r="E22" s="81" t="s">
        <v>59</v>
      </c>
    </row>
    <row r="23" ht="20" customHeight="1" spans="2:5">
      <c r="B23" s="8" t="s">
        <v>60</v>
      </c>
      <c r="C23" s="9" t="s">
        <v>61</v>
      </c>
      <c r="D23" s="9" t="s">
        <v>62</v>
      </c>
      <c r="E23" s="10" t="s">
        <v>59</v>
      </c>
    </row>
    <row r="24" ht="20" customHeight="1" spans="2:5">
      <c r="B24" s="79" t="s">
        <v>63</v>
      </c>
      <c r="C24" s="80" t="s">
        <v>64</v>
      </c>
      <c r="D24" s="80" t="s">
        <v>65</v>
      </c>
      <c r="E24" s="81" t="s">
        <v>66</v>
      </c>
    </row>
    <row r="25" ht="20" customHeight="1" spans="2:5">
      <c r="B25" s="8" t="s">
        <v>67</v>
      </c>
      <c r="C25" s="9" t="s">
        <v>68</v>
      </c>
      <c r="D25" s="9" t="s">
        <v>69</v>
      </c>
      <c r="E25" s="10" t="s">
        <v>59</v>
      </c>
    </row>
    <row r="26" ht="20" customHeight="1" spans="2:5">
      <c r="B26" s="79" t="s">
        <v>70</v>
      </c>
      <c r="C26" s="80" t="s">
        <v>71</v>
      </c>
      <c r="D26" s="80" t="s">
        <v>72</v>
      </c>
      <c r="E26" s="81" t="s">
        <v>73</v>
      </c>
    </row>
    <row r="27" ht="20" customHeight="1" spans="2:5">
      <c r="B27" s="8" t="s">
        <v>74</v>
      </c>
      <c r="C27" s="9" t="s">
        <v>75</v>
      </c>
      <c r="D27" s="9" t="s">
        <v>76</v>
      </c>
      <c r="E27" s="10" t="s">
        <v>77</v>
      </c>
    </row>
    <row r="28" ht="20" customHeight="1" spans="2:5">
      <c r="B28" s="78" t="s">
        <v>78</v>
      </c>
    </row>
    <row r="29" ht="20" customHeight="1" spans="2:5">
      <c r="B29" s="8" t="s">
        <v>79</v>
      </c>
      <c r="C29" s="9" t="s">
        <v>80</v>
      </c>
      <c r="D29" s="9" t="s">
        <v>81</v>
      </c>
      <c r="E29" s="10" t="s">
        <v>59</v>
      </c>
    </row>
    <row r="30" ht="20" customHeight="1" spans="2:5">
      <c r="B30" s="79" t="s">
        <v>82</v>
      </c>
      <c r="C30" s="80" t="s">
        <v>83</v>
      </c>
      <c r="D30" s="80" t="s">
        <v>84</v>
      </c>
      <c r="E30" s="81" t="s">
        <v>85</v>
      </c>
    </row>
    <row r="31" ht="20" customHeight="1" spans="2:5">
      <c r="B31" s="8" t="s">
        <v>86</v>
      </c>
      <c r="C31" s="9" t="s">
        <v>87</v>
      </c>
      <c r="D31" s="9" t="s">
        <v>88</v>
      </c>
      <c r="E31" s="10" t="s">
        <v>89</v>
      </c>
    </row>
    <row r="32" ht="20" customHeight="1" spans="2:5">
      <c r="B32" s="79" t="s">
        <v>90</v>
      </c>
      <c r="C32" s="80" t="s">
        <v>91</v>
      </c>
      <c r="D32" s="80" t="s">
        <v>92</v>
      </c>
      <c r="E32" s="81" t="s">
        <v>59</v>
      </c>
    </row>
    <row r="33" ht="20" customHeight="1" spans="2:5">
      <c r="B33" s="78" t="s">
        <v>93</v>
      </c>
    </row>
    <row r="34" ht="20" customHeight="1" spans="2:5">
      <c r="B34" s="79" t="s">
        <v>94</v>
      </c>
      <c r="C34" s="80" t="s">
        <v>95</v>
      </c>
      <c r="D34" s="80" t="s">
        <v>96</v>
      </c>
      <c r="E34" s="81" t="s">
        <v>30</v>
      </c>
    </row>
    <row r="35" ht="20" customHeight="1" spans="2:5">
      <c r="B35" s="8" t="s">
        <v>97</v>
      </c>
      <c r="C35" s="9" t="s">
        <v>98</v>
      </c>
      <c r="D35" s="9" t="s">
        <v>99</v>
      </c>
      <c r="E35" s="10" t="s">
        <v>100</v>
      </c>
    </row>
    <row r="36" ht="20" customHeight="1" spans="2:5">
      <c r="B36" s="79" t="s">
        <v>101</v>
      </c>
      <c r="C36" s="80" t="s">
        <v>102</v>
      </c>
      <c r="D36" s="80" t="s">
        <v>103</v>
      </c>
      <c r="E36" s="81" t="s">
        <v>104</v>
      </c>
    </row>
    <row r="37" ht="20" customHeight="1" spans="2:5">
      <c r="B37" s="8" t="s">
        <v>105</v>
      </c>
      <c r="C37" s="9" t="s">
        <v>106</v>
      </c>
      <c r="D37" s="9" t="s">
        <v>107</v>
      </c>
      <c r="E37" s="10" t="s">
        <v>34</v>
      </c>
    </row>
    <row r="38" ht="20" customHeight="1" spans="2:5">
      <c r="B38" s="79" t="s">
        <v>108</v>
      </c>
      <c r="C38" s="80" t="s">
        <v>109</v>
      </c>
      <c r="D38" s="80" t="s">
        <v>110</v>
      </c>
      <c r="E38" s="81" t="s">
        <v>30</v>
      </c>
    </row>
    <row r="80" spans="2:2">
      <c r="B80" s="82" t="s">
        <v>111</v>
      </c>
    </row>
    <row r="81" spans="2:2">
      <c r="B81" s="82" t="s">
        <v>112</v>
      </c>
    </row>
    <row r="82" spans="2:2">
      <c r="B82" s="82" t="s">
        <v>113</v>
      </c>
    </row>
    <row r="83" spans="2:2">
      <c r="B83" s="82" t="s">
        <v>114</v>
      </c>
    </row>
    <row r="84" spans="2:2">
      <c r="B84" s="82" t="s">
        <v>115</v>
      </c>
    </row>
    <row r="85" spans="2:2">
      <c r="B85" s="82" t="s">
        <v>116</v>
      </c>
    </row>
    <row r="86" spans="2:2">
      <c r="B86" s="82" t="s">
        <v>117</v>
      </c>
    </row>
    <row r="87" spans="2:2">
      <c r="B87" s="82" t="s">
        <v>118</v>
      </c>
    </row>
  </sheetData>
  <mergeCells count="17">
    <mergeCell ref="B2:E2"/>
    <mergeCell ref="B3:E3"/>
    <mergeCell ref="B4:E4"/>
    <mergeCell ref="B6:E6"/>
    <mergeCell ref="B12:E12"/>
    <mergeCell ref="B17:E17"/>
    <mergeCell ref="B21:E21"/>
    <mergeCell ref="B28:E28"/>
    <mergeCell ref="B33:E33"/>
    <mergeCell ref="B80:E80"/>
    <mergeCell ref="B81:E81"/>
    <mergeCell ref="B82:E82"/>
    <mergeCell ref="B83:E83"/>
    <mergeCell ref="B84:E84"/>
    <mergeCell ref="B85:E85"/>
    <mergeCell ref="B86:E86"/>
    <mergeCell ref="B87:E8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5"/>
  <sheetViews>
    <sheetView showGridLines="0" topLeftCell="A10" workbookViewId="0">
      <selection activeCell="A1" sqref="A1:I25"/>
    </sheetView>
  </sheetViews>
  <sheetFormatPr defaultColWidth="9" defaultRowHeight="14.4"/>
  <cols>
    <col min="1" max="1" width="3" customWidth="1"/>
    <col min="2" max="2" width="6" customWidth="1"/>
    <col min="3" max="3" width="26" customWidth="1"/>
    <col min="4" max="4" width="22" customWidth="1"/>
    <col min="5" max="5" width="20" customWidth="1"/>
    <col min="6" max="7" width="14" customWidth="1"/>
    <col min="8" max="8" width="16" customWidth="1"/>
    <col min="9" max="9" width="14" customWidth="1"/>
    <col min="10" max="10" width="3" customWidth="1"/>
  </cols>
  <sheetData>
    <row r="1" ht="10" customHeight="1"/>
    <row r="2" ht="52" customHeight="1" spans="2:9">
      <c r="B2" s="1" t="s">
        <v>119</v>
      </c>
    </row>
    <row r="3" ht="20" customHeight="1" spans="2:9">
      <c r="B3" s="35" t="s">
        <v>2</v>
      </c>
    </row>
    <row r="4" ht="25" customHeight="1" spans="2:9">
      <c r="B4" s="2" t="s">
        <v>120</v>
      </c>
    </row>
    <row r="5" ht="25" customHeight="1" spans="2:9">
      <c r="B5" s="4" t="s">
        <v>121</v>
      </c>
      <c r="C5" s="4" t="s">
        <v>122</v>
      </c>
      <c r="D5" s="4" t="s">
        <v>123</v>
      </c>
      <c r="E5" s="4" t="s">
        <v>124</v>
      </c>
      <c r="F5" s="4" t="s">
        <v>125</v>
      </c>
      <c r="G5" s="4" t="s">
        <v>126</v>
      </c>
      <c r="H5" s="4" t="s">
        <v>127</v>
      </c>
      <c r="I5" s="4" t="s">
        <v>128</v>
      </c>
    </row>
    <row r="6" ht="22" customHeight="1" spans="2:9">
      <c r="B6" s="5">
        <v>1</v>
      </c>
      <c r="C6" s="6" t="s">
        <v>129</v>
      </c>
      <c r="D6" s="6" t="s">
        <v>130</v>
      </c>
      <c r="E6" s="5" t="s">
        <v>131</v>
      </c>
      <c r="F6" s="7" t="s">
        <v>132</v>
      </c>
      <c r="G6" s="6" t="s">
        <v>129</v>
      </c>
      <c r="H6" s="7" t="s">
        <v>129</v>
      </c>
      <c r="I6" s="7" t="s">
        <v>129</v>
      </c>
    </row>
    <row r="7" ht="22" customHeight="1" spans="2:9">
      <c r="B7" s="8">
        <v>2</v>
      </c>
      <c r="C7" s="9" t="s">
        <v>129</v>
      </c>
      <c r="D7" s="9" t="s">
        <v>133</v>
      </c>
      <c r="E7" s="8" t="s">
        <v>134</v>
      </c>
      <c r="F7" s="10" t="s">
        <v>135</v>
      </c>
      <c r="G7" s="9" t="s">
        <v>129</v>
      </c>
      <c r="H7" s="10" t="s">
        <v>129</v>
      </c>
      <c r="I7" s="10" t="s">
        <v>129</v>
      </c>
    </row>
    <row r="8" ht="22" customHeight="1" spans="2:9">
      <c r="B8" s="5">
        <v>3</v>
      </c>
      <c r="C8" s="6" t="s">
        <v>129</v>
      </c>
      <c r="D8" s="6" t="s">
        <v>136</v>
      </c>
      <c r="E8" s="5" t="s">
        <v>137</v>
      </c>
      <c r="F8" s="7" t="s">
        <v>135</v>
      </c>
      <c r="G8" s="6" t="s">
        <v>129</v>
      </c>
      <c r="H8" s="7" t="s">
        <v>129</v>
      </c>
      <c r="I8" s="7" t="s">
        <v>129</v>
      </c>
    </row>
    <row r="9" ht="22" customHeight="1" spans="2:9">
      <c r="B9" s="8">
        <v>4</v>
      </c>
      <c r="C9" s="9" t="s">
        <v>129</v>
      </c>
      <c r="D9" s="9" t="s">
        <v>138</v>
      </c>
      <c r="E9" s="8" t="s">
        <v>139</v>
      </c>
      <c r="F9" s="10" t="s">
        <v>135</v>
      </c>
      <c r="G9" s="9" t="s">
        <v>129</v>
      </c>
      <c r="H9" s="10" t="s">
        <v>129</v>
      </c>
      <c r="I9" s="10" t="s">
        <v>129</v>
      </c>
    </row>
    <row r="10" ht="22" customHeight="1" spans="2:9">
      <c r="B10" s="5">
        <v>5</v>
      </c>
      <c r="C10" s="6" t="s">
        <v>129</v>
      </c>
      <c r="D10" s="6" t="s">
        <v>140</v>
      </c>
      <c r="E10" s="5" t="s">
        <v>141</v>
      </c>
      <c r="F10" s="7" t="s">
        <v>135</v>
      </c>
      <c r="G10" s="6" t="s">
        <v>129</v>
      </c>
      <c r="H10" s="7" t="s">
        <v>129</v>
      </c>
      <c r="I10" s="7" t="s">
        <v>129</v>
      </c>
    </row>
    <row r="11" ht="22" customHeight="1" spans="2:9">
      <c r="B11" s="8">
        <v>6</v>
      </c>
      <c r="C11" s="9" t="s">
        <v>129</v>
      </c>
      <c r="D11" s="9" t="s">
        <v>142</v>
      </c>
      <c r="E11" s="8" t="s">
        <v>143</v>
      </c>
      <c r="F11" s="10" t="s">
        <v>135</v>
      </c>
      <c r="G11" s="9" t="s">
        <v>129</v>
      </c>
      <c r="H11" s="10" t="s">
        <v>129</v>
      </c>
      <c r="I11" s="10" t="s">
        <v>129</v>
      </c>
    </row>
    <row r="12" ht="22" customHeight="1"/>
    <row r="13" ht="20" customHeight="1" spans="2:9">
      <c r="B13" s="31" t="s">
        <v>144</v>
      </c>
    </row>
    <row r="14" ht="20" customHeight="1" spans="2:9">
      <c r="B14" s="31" t="s">
        <v>145</v>
      </c>
    </row>
    <row r="15" ht="22" customHeight="1"/>
    <row r="16" ht="24" customHeight="1" spans="2:9">
      <c r="B16" s="54" t="s">
        <v>146</v>
      </c>
    </row>
    <row r="17" ht="22" customHeight="1" spans="2:9">
      <c r="B17" s="68" t="s">
        <v>147</v>
      </c>
      <c r="C17" s="68" t="s">
        <v>148</v>
      </c>
      <c r="D17" s="68" t="s">
        <v>129</v>
      </c>
      <c r="E17" s="68" t="s">
        <v>129</v>
      </c>
      <c r="F17" s="68" t="s">
        <v>129</v>
      </c>
      <c r="G17" s="68" t="s">
        <v>129</v>
      </c>
      <c r="H17" s="68" t="s">
        <v>129</v>
      </c>
      <c r="I17" s="68" t="s">
        <v>129</v>
      </c>
    </row>
    <row r="18" ht="22" customHeight="1" spans="2:9">
      <c r="B18" s="73" t="s">
        <v>149</v>
      </c>
      <c r="C18" s="74" t="s">
        <v>150</v>
      </c>
    </row>
    <row r="19" ht="22" customHeight="1" spans="2:9">
      <c r="B19" s="75" t="s">
        <v>151</v>
      </c>
      <c r="C19" s="9" t="s">
        <v>152</v>
      </c>
    </row>
    <row r="20" ht="22" customHeight="1" spans="2:9">
      <c r="B20" s="73" t="s">
        <v>153</v>
      </c>
      <c r="C20" s="74" t="s">
        <v>154</v>
      </c>
    </row>
    <row r="21" ht="22" customHeight="1" spans="2:9">
      <c r="B21" s="75" t="s">
        <v>155</v>
      </c>
      <c r="C21" s="9" t="s">
        <v>156</v>
      </c>
    </row>
    <row r="22" ht="22" customHeight="1" spans="2:9">
      <c r="B22" s="73" t="s">
        <v>157</v>
      </c>
      <c r="C22" s="74" t="s">
        <v>158</v>
      </c>
    </row>
    <row r="23" ht="22" customHeight="1" spans="2:9">
      <c r="B23" s="75" t="s">
        <v>159</v>
      </c>
      <c r="C23" s="9" t="s">
        <v>160</v>
      </c>
    </row>
    <row r="24" ht="22" customHeight="1" spans="2:9">
      <c r="B24" s="73" t="s">
        <v>161</v>
      </c>
      <c r="C24" s="74" t="s">
        <v>162</v>
      </c>
    </row>
    <row r="25" ht="22" customHeight="1" spans="2:9">
      <c r="B25" s="75" t="s">
        <v>163</v>
      </c>
      <c r="C25" s="9" t="s">
        <v>164</v>
      </c>
    </row>
  </sheetData>
  <mergeCells count="14">
    <mergeCell ref="B2:I2"/>
    <mergeCell ref="B3:I3"/>
    <mergeCell ref="B4:I4"/>
    <mergeCell ref="B13:I13"/>
    <mergeCell ref="B14:I14"/>
    <mergeCell ref="B16:I16"/>
    <mergeCell ref="C18:I18"/>
    <mergeCell ref="C19:I19"/>
    <mergeCell ref="C20:I20"/>
    <mergeCell ref="C21:I21"/>
    <mergeCell ref="C22:I22"/>
    <mergeCell ref="C23:I23"/>
    <mergeCell ref="C24:I24"/>
    <mergeCell ref="C25:I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5"/>
  <sheetViews>
    <sheetView showGridLines="0" topLeftCell="A23" workbookViewId="0">
      <selection activeCell="A1" sqref="A1:E35"/>
    </sheetView>
  </sheetViews>
  <sheetFormatPr defaultColWidth="9" defaultRowHeight="14.4" outlineLevelCol="4"/>
  <cols>
    <col min="1" max="1" width="3" customWidth="1"/>
    <col min="2" max="2" width="8" customWidth="1"/>
    <col min="3" max="3" width="44" customWidth="1"/>
    <col min="4" max="4" width="22" customWidth="1"/>
    <col min="5" max="5" width="18" customWidth="1"/>
    <col min="6" max="6" width="3" customWidth="1"/>
  </cols>
  <sheetData>
    <row r="1" ht="10" customHeight="1"/>
    <row r="2" ht="48" customHeight="1" spans="2:5">
      <c r="B2" s="1" t="s">
        <v>165</v>
      </c>
    </row>
    <row r="3" ht="20" customHeight="1" spans="2:5">
      <c r="B3" s="35" t="s">
        <v>2</v>
      </c>
    </row>
    <row r="4" ht="22" customHeight="1" spans="2:5">
      <c r="B4" s="72" t="s">
        <v>166</v>
      </c>
      <c r="C4" s="9"/>
    </row>
    <row r="5" ht="22" customHeight="1" spans="2:5">
      <c r="B5" s="72" t="s">
        <v>167</v>
      </c>
      <c r="C5" s="9"/>
    </row>
    <row r="6" ht="22" customHeight="1" spans="2:5">
      <c r="B6" s="72" t="s">
        <v>168</v>
      </c>
      <c r="C6" s="9"/>
    </row>
    <row r="7" ht="22" customHeight="1" spans="2:5">
      <c r="B7" s="72" t="s">
        <v>169</v>
      </c>
      <c r="C7" s="9"/>
    </row>
    <row r="8" ht="22" customHeight="1" spans="2:5">
      <c r="B8" s="72" t="s">
        <v>170</v>
      </c>
      <c r="C8" s="9"/>
    </row>
    <row r="9" ht="22" customHeight="1" spans="2:5">
      <c r="B9" s="72" t="s">
        <v>171</v>
      </c>
      <c r="C9" s="9"/>
    </row>
    <row r="10" ht="22" customHeight="1" spans="2:5">
      <c r="B10" s="72" t="s">
        <v>172</v>
      </c>
      <c r="C10" s="9"/>
    </row>
    <row r="11" ht="22" customHeight="1" spans="2:5">
      <c r="B11" s="72" t="s">
        <v>173</v>
      </c>
      <c r="C11" s="9"/>
    </row>
    <row r="12" ht="24" customHeight="1" spans="2:5">
      <c r="B12" s="3" t="s">
        <v>174</v>
      </c>
    </row>
    <row r="13" ht="24" customHeight="1" spans="2:5">
      <c r="B13" s="4" t="s">
        <v>175</v>
      </c>
      <c r="C13" s="4" t="s">
        <v>176</v>
      </c>
      <c r="D13" s="4" t="s">
        <v>177</v>
      </c>
      <c r="E13" s="4" t="s">
        <v>178</v>
      </c>
    </row>
    <row r="14" ht="24" customHeight="1" spans="2:5">
      <c r="B14" s="5">
        <v>1</v>
      </c>
      <c r="C14" s="6" t="s">
        <v>179</v>
      </c>
      <c r="D14" s="7" t="s">
        <v>129</v>
      </c>
      <c r="E14" s="7" t="s">
        <v>129</v>
      </c>
    </row>
    <row r="15" ht="24" customHeight="1" spans="2:5">
      <c r="B15" s="8">
        <v>2</v>
      </c>
      <c r="C15" s="9" t="s">
        <v>180</v>
      </c>
      <c r="D15" s="10" t="s">
        <v>129</v>
      </c>
      <c r="E15" s="10" t="s">
        <v>129</v>
      </c>
    </row>
    <row r="16" ht="24" customHeight="1" spans="2:5">
      <c r="B16" s="5">
        <v>3</v>
      </c>
      <c r="C16" s="6" t="s">
        <v>181</v>
      </c>
      <c r="D16" s="7" t="s">
        <v>129</v>
      </c>
      <c r="E16" s="7" t="s">
        <v>129</v>
      </c>
    </row>
    <row r="17" ht="24" customHeight="1" spans="2:5">
      <c r="B17" s="8">
        <v>4</v>
      </c>
      <c r="C17" s="9" t="s">
        <v>182</v>
      </c>
      <c r="D17" s="10" t="s">
        <v>129</v>
      </c>
      <c r="E17" s="10" t="s">
        <v>129</v>
      </c>
    </row>
    <row r="18" ht="24" customHeight="1" spans="2:5">
      <c r="B18" s="5">
        <v>5</v>
      </c>
      <c r="C18" s="6" t="s">
        <v>183</v>
      </c>
      <c r="D18" s="7" t="s">
        <v>129</v>
      </c>
      <c r="E18" s="7" t="s">
        <v>129</v>
      </c>
    </row>
    <row r="19" ht="24" customHeight="1" spans="2:5">
      <c r="B19" s="8">
        <v>6</v>
      </c>
      <c r="C19" s="9" t="s">
        <v>184</v>
      </c>
      <c r="D19" s="10" t="s">
        <v>129</v>
      </c>
      <c r="E19" s="10" t="s">
        <v>129</v>
      </c>
    </row>
    <row r="20" ht="24" customHeight="1" spans="2:5">
      <c r="B20" s="5">
        <v>7</v>
      </c>
      <c r="C20" s="6" t="s">
        <v>185</v>
      </c>
      <c r="D20" s="7" t="s">
        <v>129</v>
      </c>
      <c r="E20" s="7" t="s">
        <v>129</v>
      </c>
    </row>
    <row r="21" ht="24" customHeight="1" spans="2:5">
      <c r="B21" s="8">
        <v>8</v>
      </c>
      <c r="C21" s="9" t="s">
        <v>186</v>
      </c>
      <c r="D21" s="10" t="s">
        <v>129</v>
      </c>
      <c r="E21" s="10" t="s">
        <v>129</v>
      </c>
    </row>
    <row r="22" ht="24" customHeight="1" spans="2:5">
      <c r="B22" s="5">
        <v>9</v>
      </c>
      <c r="C22" s="6" t="s">
        <v>187</v>
      </c>
      <c r="D22" s="7" t="s">
        <v>129</v>
      </c>
      <c r="E22" s="7" t="s">
        <v>129</v>
      </c>
    </row>
    <row r="23" ht="24" customHeight="1" spans="2:5">
      <c r="B23" s="8">
        <v>10</v>
      </c>
      <c r="C23" s="9" t="s">
        <v>188</v>
      </c>
      <c r="D23" s="10" t="s">
        <v>129</v>
      </c>
      <c r="E23" s="10" t="s">
        <v>129</v>
      </c>
    </row>
    <row r="24" ht="24" customHeight="1" spans="2:5">
      <c r="B24" s="5">
        <v>11</v>
      </c>
      <c r="C24" s="6" t="s">
        <v>189</v>
      </c>
      <c r="D24" s="7" t="s">
        <v>129</v>
      </c>
      <c r="E24" s="7" t="s">
        <v>129</v>
      </c>
    </row>
    <row r="25" ht="24" customHeight="1" spans="2:5">
      <c r="B25" s="8">
        <v>12</v>
      </c>
      <c r="C25" s="9" t="s">
        <v>190</v>
      </c>
      <c r="D25" s="10" t="s">
        <v>129</v>
      </c>
      <c r="E25" s="10" t="s">
        <v>129</v>
      </c>
    </row>
    <row r="26" ht="24" customHeight="1" spans="2:5">
      <c r="B26" s="5">
        <v>13</v>
      </c>
      <c r="C26" s="6" t="s">
        <v>191</v>
      </c>
      <c r="D26" s="7" t="s">
        <v>129</v>
      </c>
      <c r="E26" s="7" t="s">
        <v>129</v>
      </c>
    </row>
    <row r="27" ht="24" customHeight="1" spans="2:5">
      <c r="B27" s="8">
        <v>14</v>
      </c>
      <c r="C27" s="9" t="s">
        <v>192</v>
      </c>
      <c r="D27" s="10" t="s">
        <v>129</v>
      </c>
      <c r="E27" s="10" t="s">
        <v>129</v>
      </c>
    </row>
    <row r="28" ht="24" customHeight="1" spans="2:5">
      <c r="B28" s="5">
        <v>15</v>
      </c>
      <c r="C28" s="6" t="s">
        <v>193</v>
      </c>
      <c r="D28" s="7" t="s">
        <v>129</v>
      </c>
      <c r="E28" s="7" t="s">
        <v>129</v>
      </c>
    </row>
    <row r="29" ht="24" customHeight="1"/>
    <row r="30" ht="24" customHeight="1" spans="2:5">
      <c r="B30" s="16" t="s">
        <v>194</v>
      </c>
    </row>
    <row r="31" ht="24" customHeight="1" spans="2:5">
      <c r="B31" s="17" t="s">
        <v>121</v>
      </c>
      <c r="C31" s="17" t="s">
        <v>195</v>
      </c>
      <c r="D31" s="17" t="s">
        <v>196</v>
      </c>
      <c r="E31" s="17" t="s">
        <v>197</v>
      </c>
    </row>
    <row r="32" ht="22" customHeight="1" spans="2:5">
      <c r="B32" s="20"/>
      <c r="C32" s="20"/>
      <c r="D32" s="20"/>
      <c r="E32" s="20"/>
    </row>
    <row r="33" ht="22" customHeight="1" spans="2:5">
      <c r="B33" s="10"/>
      <c r="C33" s="10"/>
      <c r="D33" s="10"/>
      <c r="E33" s="10"/>
    </row>
    <row r="34" ht="22" customHeight="1" spans="2:5">
      <c r="B34" s="20"/>
      <c r="C34" s="20"/>
      <c r="D34" s="20"/>
      <c r="E34" s="20"/>
    </row>
    <row r="35" ht="22" customHeight="1" spans="2:5">
      <c r="B35" s="10"/>
      <c r="C35" s="10"/>
      <c r="D35" s="10"/>
      <c r="E35" s="10"/>
    </row>
  </sheetData>
  <mergeCells count="12">
    <mergeCell ref="B2:E2"/>
    <mergeCell ref="B3:E3"/>
    <mergeCell ref="C4:E4"/>
    <mergeCell ref="C5:E5"/>
    <mergeCell ref="C6:E6"/>
    <mergeCell ref="C7:E7"/>
    <mergeCell ref="C8:E8"/>
    <mergeCell ref="C9:E9"/>
    <mergeCell ref="C10:E10"/>
    <mergeCell ref="C11:E11"/>
    <mergeCell ref="B12:E12"/>
    <mergeCell ref="B30:E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9"/>
  <sheetViews>
    <sheetView showGridLines="0" topLeftCell="A7" workbookViewId="0">
      <selection activeCell="A1" sqref="A1:I21"/>
    </sheetView>
  </sheetViews>
  <sheetFormatPr defaultColWidth="9" defaultRowHeight="14.4"/>
  <cols>
    <col min="1" max="1" width="3" customWidth="1"/>
    <col min="2" max="2" width="6" customWidth="1"/>
    <col min="3" max="3" width="26" customWidth="1"/>
    <col min="4" max="4" width="20" customWidth="1"/>
    <col min="5" max="5" width="14" customWidth="1"/>
    <col min="6" max="7" width="12" customWidth="1"/>
    <col min="8" max="8" width="16" customWidth="1"/>
    <col min="9" max="9" width="14" customWidth="1"/>
    <col min="10" max="10" width="3" customWidth="1"/>
  </cols>
  <sheetData>
    <row r="1" ht="10" customHeight="1"/>
    <row r="2" ht="48" customHeight="1" spans="2:9">
      <c r="B2" s="1" t="s">
        <v>198</v>
      </c>
    </row>
    <row r="3" ht="20" customHeight="1" spans="2:9">
      <c r="B3" s="35" t="s">
        <v>2</v>
      </c>
    </row>
    <row r="4" ht="25" customHeight="1" spans="2:9">
      <c r="B4" s="2" t="s">
        <v>199</v>
      </c>
    </row>
    <row r="5" ht="22" customHeight="1" spans="2:9">
      <c r="B5" s="4" t="s">
        <v>121</v>
      </c>
      <c r="C5" s="4" t="s">
        <v>122</v>
      </c>
      <c r="D5" s="4" t="s">
        <v>200</v>
      </c>
      <c r="E5" s="4" t="s">
        <v>125</v>
      </c>
      <c r="F5" s="4" t="s">
        <v>201</v>
      </c>
      <c r="G5" s="4" t="s">
        <v>202</v>
      </c>
      <c r="H5" s="4" t="s">
        <v>203</v>
      </c>
      <c r="I5" s="4" t="s">
        <v>128</v>
      </c>
    </row>
    <row r="6" ht="22" customHeight="1" spans="2:9">
      <c r="B6" s="5">
        <v>1</v>
      </c>
      <c r="C6" s="6" t="s">
        <v>129</v>
      </c>
      <c r="D6" s="6" t="s">
        <v>129</v>
      </c>
      <c r="E6" s="7" t="s">
        <v>129</v>
      </c>
      <c r="F6" s="7" t="s">
        <v>129</v>
      </c>
      <c r="G6" s="7" t="s">
        <v>204</v>
      </c>
      <c r="H6" s="7" t="s">
        <v>129</v>
      </c>
      <c r="I6" s="7" t="s">
        <v>129</v>
      </c>
    </row>
    <row r="7" ht="22" customHeight="1" spans="2:9">
      <c r="B7" s="8">
        <v>2</v>
      </c>
      <c r="C7" s="9" t="s">
        <v>129</v>
      </c>
      <c r="D7" s="9" t="s">
        <v>129</v>
      </c>
      <c r="E7" s="10" t="s">
        <v>129</v>
      </c>
      <c r="F7" s="10" t="s">
        <v>129</v>
      </c>
      <c r="G7" s="10" t="s">
        <v>204</v>
      </c>
      <c r="H7" s="10" t="s">
        <v>129</v>
      </c>
      <c r="I7" s="10" t="s">
        <v>129</v>
      </c>
    </row>
    <row r="8" ht="22" customHeight="1" spans="2:9">
      <c r="B8" s="5">
        <v>3</v>
      </c>
      <c r="C8" s="6" t="s">
        <v>129</v>
      </c>
      <c r="D8" s="6" t="s">
        <v>129</v>
      </c>
      <c r="E8" s="7" t="s">
        <v>129</v>
      </c>
      <c r="F8" s="7" t="s">
        <v>129</v>
      </c>
      <c r="G8" s="7" t="s">
        <v>204</v>
      </c>
      <c r="H8" s="7" t="s">
        <v>129</v>
      </c>
      <c r="I8" s="7" t="s">
        <v>129</v>
      </c>
    </row>
    <row r="9" ht="22" customHeight="1" spans="2:9">
      <c r="B9" s="8">
        <v>4</v>
      </c>
      <c r="C9" s="9" t="s">
        <v>129</v>
      </c>
      <c r="D9" s="9" t="s">
        <v>129</v>
      </c>
      <c r="E9" s="10" t="s">
        <v>129</v>
      </c>
      <c r="F9" s="10" t="s">
        <v>129</v>
      </c>
      <c r="G9" s="10" t="s">
        <v>204</v>
      </c>
      <c r="H9" s="10" t="s">
        <v>129</v>
      </c>
      <c r="I9" s="10" t="s">
        <v>129</v>
      </c>
    </row>
    <row r="10" ht="22" customHeight="1" spans="2:9">
      <c r="B10" s="5">
        <v>5</v>
      </c>
      <c r="C10" s="6" t="s">
        <v>129</v>
      </c>
      <c r="D10" s="6" t="s">
        <v>129</v>
      </c>
      <c r="E10" s="7" t="s">
        <v>129</v>
      </c>
      <c r="F10" s="7" t="s">
        <v>129</v>
      </c>
      <c r="G10" s="7" t="s">
        <v>204</v>
      </c>
      <c r="H10" s="7" t="s">
        <v>129</v>
      </c>
      <c r="I10" s="7" t="s">
        <v>129</v>
      </c>
    </row>
    <row r="11" ht="22" customHeight="1" spans="2:9">
      <c r="B11" s="8">
        <v>6</v>
      </c>
      <c r="C11" s="9" t="s">
        <v>129</v>
      </c>
      <c r="D11" s="9" t="s">
        <v>129</v>
      </c>
      <c r="E11" s="10" t="s">
        <v>129</v>
      </c>
      <c r="F11" s="10" t="s">
        <v>129</v>
      </c>
      <c r="G11" s="10" t="s">
        <v>204</v>
      </c>
      <c r="H11" s="10" t="s">
        <v>129</v>
      </c>
      <c r="I11" s="10" t="s">
        <v>129</v>
      </c>
    </row>
    <row r="12" ht="22" customHeight="1" spans="2:9">
      <c r="B12" s="5">
        <v>7</v>
      </c>
      <c r="C12" s="6" t="s">
        <v>129</v>
      </c>
      <c r="D12" s="6" t="s">
        <v>129</v>
      </c>
      <c r="E12" s="7" t="s">
        <v>129</v>
      </c>
      <c r="F12" s="7" t="s">
        <v>129</v>
      </c>
      <c r="G12" s="7" t="s">
        <v>204</v>
      </c>
      <c r="H12" s="7" t="s">
        <v>129</v>
      </c>
      <c r="I12" s="7" t="s">
        <v>129</v>
      </c>
    </row>
    <row r="13" ht="22" customHeight="1" spans="2:9">
      <c r="B13" s="8">
        <v>8</v>
      </c>
      <c r="C13" s="9" t="s">
        <v>129</v>
      </c>
      <c r="D13" s="9" t="s">
        <v>129</v>
      </c>
      <c r="E13" s="10" t="s">
        <v>129</v>
      </c>
      <c r="F13" s="10" t="s">
        <v>129</v>
      </c>
      <c r="G13" s="10" t="s">
        <v>204</v>
      </c>
      <c r="H13" s="10" t="s">
        <v>129</v>
      </c>
      <c r="I13" s="10" t="s">
        <v>129</v>
      </c>
    </row>
    <row r="14" ht="22" customHeight="1"/>
    <row r="15" ht="24" customHeight="1" spans="2:9">
      <c r="B15" s="16" t="s">
        <v>205</v>
      </c>
    </row>
    <row r="16" ht="22" customHeight="1" spans="2:9">
      <c r="B16" s="69" t="s">
        <v>206</v>
      </c>
      <c r="G16" s="70" t="s">
        <v>129</v>
      </c>
    </row>
    <row r="17" ht="22" customHeight="1" spans="2:7">
      <c r="B17" s="38" t="s">
        <v>207</v>
      </c>
      <c r="G17" s="70">
        <f>COUNTIF(F6:F13,"P")</f>
        <v>0</v>
      </c>
    </row>
    <row r="18" ht="22" customHeight="1" spans="2:7">
      <c r="B18" s="69" t="s">
        <v>208</v>
      </c>
      <c r="G18" s="70" t="s">
        <v>129</v>
      </c>
    </row>
    <row r="19" ht="22" customHeight="1" spans="2:7">
      <c r="B19" s="38" t="s">
        <v>209</v>
      </c>
      <c r="G19" s="70">
        <f>IFERROR(C17+C18,"")</f>
        <v>0</v>
      </c>
    </row>
    <row r="20" ht="22" customHeight="1" spans="2:7">
      <c r="B20" s="69" t="s">
        <v>210</v>
      </c>
      <c r="G20" s="70" t="s">
        <v>129</v>
      </c>
    </row>
    <row r="21" ht="22" customHeight="1" spans="2:7">
      <c r="B21" s="38" t="s">
        <v>211</v>
      </c>
      <c r="G21" s="71" t="str">
        <f>IFERROR(IF(C19&gt;=3,"YES — Meeting Valid","NO — Adjourned"),"")</f>
        <v>NO — Adjourned</v>
      </c>
    </row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16">
    <mergeCell ref="B2:I2"/>
    <mergeCell ref="B3:I3"/>
    <mergeCell ref="B4:I4"/>
    <mergeCell ref="B15:I15"/>
    <mergeCell ref="B16:F16"/>
    <mergeCell ref="G16:I16"/>
    <mergeCell ref="B17:F17"/>
    <mergeCell ref="G17:I17"/>
    <mergeCell ref="B18:F18"/>
    <mergeCell ref="G18:I18"/>
    <mergeCell ref="B19:F19"/>
    <mergeCell ref="G19:I19"/>
    <mergeCell ref="B20:F20"/>
    <mergeCell ref="G20:I20"/>
    <mergeCell ref="B21:F21"/>
    <mergeCell ref="G21:I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7"/>
  <sheetViews>
    <sheetView showGridLines="0" topLeftCell="A10" workbookViewId="0">
      <selection activeCell="A1" sqref="A1:G20"/>
    </sheetView>
  </sheetViews>
  <sheetFormatPr defaultColWidth="9" defaultRowHeight="14.4" outlineLevelCol="6"/>
  <cols>
    <col min="1" max="1" width="3" customWidth="1"/>
    <col min="2" max="2" width="12" customWidth="1"/>
    <col min="3" max="3" width="38" customWidth="1"/>
    <col min="4" max="4" width="18" customWidth="1"/>
    <col min="5" max="5" width="12" customWidth="1"/>
    <col min="6" max="7" width="14" customWidth="1"/>
    <col min="8" max="8" width="3" customWidth="1"/>
  </cols>
  <sheetData>
    <row r="1" ht="10" customHeight="1"/>
    <row r="2" ht="48" customHeight="1" spans="2:7">
      <c r="B2" s="1" t="s">
        <v>212</v>
      </c>
    </row>
    <row r="3" ht="20" customHeight="1" spans="2:7">
      <c r="B3" s="35" t="s">
        <v>2</v>
      </c>
    </row>
    <row r="4" ht="25" customHeight="1" spans="2:7">
      <c r="B4" s="2" t="s">
        <v>213</v>
      </c>
    </row>
    <row r="5" ht="24" customHeight="1" spans="2:7">
      <c r="B5" s="54" t="s">
        <v>214</v>
      </c>
    </row>
    <row r="6" ht="30" customHeight="1" spans="2:7">
      <c r="B6" s="68" t="s">
        <v>215</v>
      </c>
      <c r="C6" s="68" t="s">
        <v>216</v>
      </c>
      <c r="D6" s="68" t="s">
        <v>217</v>
      </c>
      <c r="E6" s="68" t="s">
        <v>218</v>
      </c>
      <c r="F6" s="68" t="s">
        <v>219</v>
      </c>
      <c r="G6" s="68" t="s">
        <v>220</v>
      </c>
    </row>
    <row r="7" ht="32" customHeight="1" spans="2:7">
      <c r="B7" s="5" t="s">
        <v>221</v>
      </c>
      <c r="C7" s="6" t="s">
        <v>129</v>
      </c>
      <c r="D7" s="7" t="s">
        <v>129</v>
      </c>
      <c r="E7" s="7" t="s">
        <v>129</v>
      </c>
      <c r="F7" s="7" t="s">
        <v>129</v>
      </c>
      <c r="G7" s="7" t="s">
        <v>222</v>
      </c>
    </row>
    <row r="8" ht="32" customHeight="1" spans="2:7">
      <c r="B8" s="8" t="s">
        <v>223</v>
      </c>
      <c r="C8" s="9" t="s">
        <v>129</v>
      </c>
      <c r="D8" s="10" t="s">
        <v>129</v>
      </c>
      <c r="E8" s="10" t="s">
        <v>129</v>
      </c>
      <c r="F8" s="10" t="s">
        <v>129</v>
      </c>
      <c r="G8" s="10" t="s">
        <v>222</v>
      </c>
    </row>
    <row r="9" ht="32" customHeight="1" spans="2:7">
      <c r="B9" s="5" t="s">
        <v>224</v>
      </c>
      <c r="C9" s="6" t="s">
        <v>129</v>
      </c>
      <c r="D9" s="7" t="s">
        <v>129</v>
      </c>
      <c r="E9" s="7" t="s">
        <v>129</v>
      </c>
      <c r="F9" s="7" t="s">
        <v>129</v>
      </c>
      <c r="G9" s="7" t="s">
        <v>222</v>
      </c>
    </row>
    <row r="10" ht="32" customHeight="1" spans="2:7">
      <c r="B10" s="8" t="s">
        <v>225</v>
      </c>
      <c r="C10" s="9" t="s">
        <v>129</v>
      </c>
      <c r="D10" s="10" t="s">
        <v>129</v>
      </c>
      <c r="E10" s="10" t="s">
        <v>129</v>
      </c>
      <c r="F10" s="10" t="s">
        <v>129</v>
      </c>
      <c r="G10" s="10" t="s">
        <v>222</v>
      </c>
    </row>
    <row r="11" ht="32" customHeight="1" spans="2:7">
      <c r="B11" s="5" t="s">
        <v>226</v>
      </c>
      <c r="C11" s="6" t="s">
        <v>129</v>
      </c>
      <c r="D11" s="7" t="s">
        <v>129</v>
      </c>
      <c r="E11" s="7" t="s">
        <v>129</v>
      </c>
      <c r="F11" s="7" t="s">
        <v>129</v>
      </c>
      <c r="G11" s="7" t="s">
        <v>222</v>
      </c>
    </row>
    <row r="12" ht="32" customHeight="1" spans="2:7">
      <c r="B12" s="8" t="s">
        <v>227</v>
      </c>
      <c r="C12" s="9" t="s">
        <v>129</v>
      </c>
      <c r="D12" s="10" t="s">
        <v>129</v>
      </c>
      <c r="E12" s="10" t="s">
        <v>129</v>
      </c>
      <c r="F12" s="10" t="s">
        <v>129</v>
      </c>
      <c r="G12" s="10" t="s">
        <v>222</v>
      </c>
    </row>
    <row r="13" ht="32" customHeight="1" spans="2:7">
      <c r="B13" s="5" t="s">
        <v>228</v>
      </c>
      <c r="C13" s="6" t="s">
        <v>129</v>
      </c>
      <c r="D13" s="7" t="s">
        <v>129</v>
      </c>
      <c r="E13" s="7" t="s">
        <v>129</v>
      </c>
      <c r="F13" s="7" t="s">
        <v>129</v>
      </c>
      <c r="G13" s="7" t="s">
        <v>222</v>
      </c>
    </row>
    <row r="14" ht="32" customHeight="1" spans="2:7">
      <c r="B14" s="8" t="s">
        <v>229</v>
      </c>
      <c r="C14" s="9" t="s">
        <v>129</v>
      </c>
      <c r="D14" s="10" t="s">
        <v>129</v>
      </c>
      <c r="E14" s="10" t="s">
        <v>129</v>
      </c>
      <c r="F14" s="10" t="s">
        <v>129</v>
      </c>
      <c r="G14" s="10" t="s">
        <v>222</v>
      </c>
    </row>
    <row r="15" ht="32" customHeight="1" spans="2:7">
      <c r="B15" s="5" t="s">
        <v>230</v>
      </c>
      <c r="C15" s="6" t="s">
        <v>129</v>
      </c>
      <c r="D15" s="7" t="s">
        <v>129</v>
      </c>
      <c r="E15" s="7" t="s">
        <v>129</v>
      </c>
      <c r="F15" s="7" t="s">
        <v>129</v>
      </c>
      <c r="G15" s="7" t="s">
        <v>222</v>
      </c>
    </row>
    <row r="16" ht="32" customHeight="1" spans="2:7">
      <c r="B16" s="8" t="s">
        <v>231</v>
      </c>
      <c r="C16" s="9" t="s">
        <v>129</v>
      </c>
      <c r="D16" s="10" t="s">
        <v>129</v>
      </c>
      <c r="E16" s="10" t="s">
        <v>129</v>
      </c>
      <c r="F16" s="10" t="s">
        <v>129</v>
      </c>
      <c r="G16" s="10" t="s">
        <v>222</v>
      </c>
    </row>
    <row r="17" ht="32" customHeight="1" spans="2:7">
      <c r="B17" s="5" t="s">
        <v>232</v>
      </c>
      <c r="C17" s="6" t="s">
        <v>129</v>
      </c>
      <c r="D17" s="7" t="s">
        <v>129</v>
      </c>
      <c r="E17" s="7" t="s">
        <v>129</v>
      </c>
      <c r="F17" s="7" t="s">
        <v>129</v>
      </c>
      <c r="G17" s="7" t="s">
        <v>222</v>
      </c>
    </row>
    <row r="18" ht="32" customHeight="1" spans="2:7">
      <c r="B18" s="8" t="s">
        <v>233</v>
      </c>
      <c r="C18" s="9" t="s">
        <v>129</v>
      </c>
      <c r="D18" s="10" t="s">
        <v>129</v>
      </c>
      <c r="E18" s="10" t="s">
        <v>129</v>
      </c>
      <c r="F18" s="10" t="s">
        <v>129</v>
      </c>
      <c r="G18" s="10" t="s">
        <v>222</v>
      </c>
    </row>
    <row r="19" ht="30" customHeight="1"/>
    <row r="20" ht="30" customHeight="1" spans="2:7">
      <c r="B20" s="33" t="s">
        <v>234</v>
      </c>
    </row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</sheetData>
  <mergeCells count="5">
    <mergeCell ref="B2:G2"/>
    <mergeCell ref="B3:G3"/>
    <mergeCell ref="B4:G4"/>
    <mergeCell ref="B5:G5"/>
    <mergeCell ref="B20:G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7"/>
  <sheetViews>
    <sheetView showGridLines="0" topLeftCell="A13" workbookViewId="0">
      <selection activeCell="A1" sqref="A1:H24"/>
    </sheetView>
  </sheetViews>
  <sheetFormatPr defaultColWidth="9" defaultRowHeight="14.4" outlineLevelCol="7"/>
  <cols>
    <col min="1" max="1" width="3" customWidth="1"/>
    <col min="2" max="2" width="14" customWidth="1"/>
    <col min="3" max="3" width="32" customWidth="1"/>
    <col min="4" max="4" width="20" customWidth="1"/>
    <col min="5" max="5" width="16" customWidth="1"/>
    <col min="6" max="7" width="13" customWidth="1"/>
    <col min="8" max="8" width="16" customWidth="1"/>
    <col min="9" max="9" width="3" customWidth="1"/>
  </cols>
  <sheetData>
    <row r="1" ht="10" customHeight="1"/>
    <row r="2" ht="48" customHeight="1" spans="2:8">
      <c r="B2" s="1" t="s">
        <v>235</v>
      </c>
    </row>
    <row r="3" ht="20" customHeight="1" spans="2:8">
      <c r="B3" s="35" t="s">
        <v>2</v>
      </c>
    </row>
    <row r="4" ht="25" customHeight="1" spans="2:8">
      <c r="B4" s="2" t="s">
        <v>236</v>
      </c>
    </row>
    <row r="5" ht="26" customHeight="1" spans="2:8">
      <c r="B5" s="12" t="s">
        <v>215</v>
      </c>
      <c r="C5" s="12" t="s">
        <v>237</v>
      </c>
      <c r="D5" s="12" t="s">
        <v>238</v>
      </c>
      <c r="E5" s="12" t="s">
        <v>239</v>
      </c>
      <c r="F5" s="12" t="s">
        <v>219</v>
      </c>
      <c r="G5" s="12" t="s">
        <v>240</v>
      </c>
      <c r="H5" s="12" t="s">
        <v>220</v>
      </c>
    </row>
    <row r="6" ht="26" customHeight="1" spans="2:8">
      <c r="B6" s="13" t="s">
        <v>221</v>
      </c>
      <c r="C6" s="14" t="s">
        <v>129</v>
      </c>
      <c r="D6" s="14" t="s">
        <v>129</v>
      </c>
      <c r="E6" s="15" t="s">
        <v>129</v>
      </c>
      <c r="F6" s="15" t="s">
        <v>129</v>
      </c>
      <c r="G6" s="15" t="s">
        <v>129</v>
      </c>
      <c r="H6" s="15" t="s">
        <v>241</v>
      </c>
    </row>
    <row r="7" ht="26" customHeight="1" spans="2:8">
      <c r="B7" s="8" t="s">
        <v>223</v>
      </c>
      <c r="C7" s="9" t="s">
        <v>129</v>
      </c>
      <c r="D7" s="9" t="s">
        <v>129</v>
      </c>
      <c r="E7" s="10" t="s">
        <v>129</v>
      </c>
      <c r="F7" s="10" t="s">
        <v>129</v>
      </c>
      <c r="G7" s="10" t="s">
        <v>129</v>
      </c>
      <c r="H7" s="10" t="s">
        <v>242</v>
      </c>
    </row>
    <row r="8" ht="26" customHeight="1" spans="2:8">
      <c r="B8" s="13" t="s">
        <v>224</v>
      </c>
      <c r="C8" s="14" t="s">
        <v>129</v>
      </c>
      <c r="D8" s="14" t="s">
        <v>129</v>
      </c>
      <c r="E8" s="15" t="s">
        <v>129</v>
      </c>
      <c r="F8" s="15" t="s">
        <v>129</v>
      </c>
      <c r="G8" s="15" t="s">
        <v>129</v>
      </c>
      <c r="H8" s="15" t="s">
        <v>222</v>
      </c>
    </row>
    <row r="9" ht="26" customHeight="1" spans="2:8">
      <c r="B9" s="8" t="s">
        <v>225</v>
      </c>
      <c r="C9" s="9" t="s">
        <v>129</v>
      </c>
      <c r="D9" s="9" t="s">
        <v>129</v>
      </c>
      <c r="E9" s="10" t="s">
        <v>129</v>
      </c>
      <c r="F9" s="10" t="s">
        <v>129</v>
      </c>
      <c r="G9" s="10" t="s">
        <v>129</v>
      </c>
      <c r="H9" s="10" t="s">
        <v>243</v>
      </c>
    </row>
    <row r="10" ht="26" customHeight="1" spans="2:8">
      <c r="B10" s="13" t="s">
        <v>226</v>
      </c>
      <c r="C10" s="14" t="s">
        <v>129</v>
      </c>
      <c r="D10" s="14" t="s">
        <v>129</v>
      </c>
      <c r="E10" s="15" t="s">
        <v>129</v>
      </c>
      <c r="F10" s="15" t="s">
        <v>129</v>
      </c>
      <c r="G10" s="15" t="s">
        <v>129</v>
      </c>
      <c r="H10" s="15" t="s">
        <v>241</v>
      </c>
    </row>
    <row r="11" ht="26" customHeight="1" spans="2:8">
      <c r="B11" s="8" t="s">
        <v>227</v>
      </c>
      <c r="C11" s="9" t="s">
        <v>129</v>
      </c>
      <c r="D11" s="9" t="s">
        <v>129</v>
      </c>
      <c r="E11" s="10" t="s">
        <v>129</v>
      </c>
      <c r="F11" s="10" t="s">
        <v>129</v>
      </c>
      <c r="G11" s="10" t="s">
        <v>129</v>
      </c>
      <c r="H11" s="10" t="s">
        <v>242</v>
      </c>
    </row>
    <row r="12" ht="26" customHeight="1" spans="2:8">
      <c r="B12" s="13" t="s">
        <v>228</v>
      </c>
      <c r="C12" s="14" t="s">
        <v>129</v>
      </c>
      <c r="D12" s="14" t="s">
        <v>129</v>
      </c>
      <c r="E12" s="15" t="s">
        <v>129</v>
      </c>
      <c r="F12" s="15" t="s">
        <v>129</v>
      </c>
      <c r="G12" s="15" t="s">
        <v>129</v>
      </c>
      <c r="H12" s="15" t="s">
        <v>222</v>
      </c>
    </row>
    <row r="13" ht="26" customHeight="1" spans="2:8">
      <c r="B13" s="8" t="s">
        <v>229</v>
      </c>
      <c r="C13" s="9" t="s">
        <v>129</v>
      </c>
      <c r="D13" s="9" t="s">
        <v>129</v>
      </c>
      <c r="E13" s="10" t="s">
        <v>129</v>
      </c>
      <c r="F13" s="10" t="s">
        <v>129</v>
      </c>
      <c r="G13" s="10" t="s">
        <v>129</v>
      </c>
      <c r="H13" s="10" t="s">
        <v>243</v>
      </c>
    </row>
    <row r="14" ht="26" customHeight="1" spans="2:8">
      <c r="B14" s="13" t="s">
        <v>230</v>
      </c>
      <c r="C14" s="14" t="s">
        <v>129</v>
      </c>
      <c r="D14" s="14" t="s">
        <v>129</v>
      </c>
      <c r="E14" s="15" t="s">
        <v>129</v>
      </c>
      <c r="F14" s="15" t="s">
        <v>129</v>
      </c>
      <c r="G14" s="15" t="s">
        <v>129</v>
      </c>
      <c r="H14" s="15" t="s">
        <v>241</v>
      </c>
    </row>
    <row r="15" ht="26" customHeight="1" spans="2:8">
      <c r="B15" s="8" t="s">
        <v>231</v>
      </c>
      <c r="C15" s="9" t="s">
        <v>129</v>
      </c>
      <c r="D15" s="9" t="s">
        <v>129</v>
      </c>
      <c r="E15" s="10" t="s">
        <v>129</v>
      </c>
      <c r="F15" s="10" t="s">
        <v>129</v>
      </c>
      <c r="G15" s="10" t="s">
        <v>129</v>
      </c>
      <c r="H15" s="10" t="s">
        <v>242</v>
      </c>
    </row>
    <row r="16" ht="26" customHeight="1" spans="2:8">
      <c r="B16" s="13" t="s">
        <v>232</v>
      </c>
      <c r="C16" s="14" t="s">
        <v>129</v>
      </c>
      <c r="D16" s="14" t="s">
        <v>129</v>
      </c>
      <c r="E16" s="15" t="s">
        <v>129</v>
      </c>
      <c r="F16" s="15" t="s">
        <v>129</v>
      </c>
      <c r="G16" s="15" t="s">
        <v>129</v>
      </c>
      <c r="H16" s="15" t="s">
        <v>222</v>
      </c>
    </row>
    <row r="17" ht="26" customHeight="1" spans="2:8">
      <c r="B17" s="8" t="s">
        <v>233</v>
      </c>
      <c r="C17" s="9" t="s">
        <v>129</v>
      </c>
      <c r="D17" s="9" t="s">
        <v>129</v>
      </c>
      <c r="E17" s="10" t="s">
        <v>129</v>
      </c>
      <c r="F17" s="10" t="s">
        <v>129</v>
      </c>
      <c r="G17" s="10" t="s">
        <v>129</v>
      </c>
      <c r="H17" s="10" t="s">
        <v>243</v>
      </c>
    </row>
    <row r="18" ht="26" customHeight="1"/>
    <row r="19" ht="24" customHeight="1" spans="2:8">
      <c r="B19" s="11" t="s">
        <v>244</v>
      </c>
    </row>
    <row r="20" ht="26" customHeight="1" spans="2:8">
      <c r="B20" s="41" t="s">
        <v>245</v>
      </c>
      <c r="F20" s="37">
        <f>COUNTA(B6:B17)</f>
        <v>12</v>
      </c>
    </row>
    <row r="21" ht="26" customHeight="1" spans="2:8">
      <c r="B21" s="38" t="s">
        <v>241</v>
      </c>
      <c r="F21" s="39">
        <f>COUNTIF(H6:H17,"Implemented")</f>
        <v>3</v>
      </c>
    </row>
    <row r="22" ht="26" customHeight="1" spans="2:8">
      <c r="B22" s="41" t="s">
        <v>242</v>
      </c>
      <c r="F22" s="37">
        <f>COUNTIF(H6:H17,"In Progress")</f>
        <v>3</v>
      </c>
    </row>
    <row r="23" ht="26" customHeight="1" spans="2:8">
      <c r="B23" s="38" t="s">
        <v>222</v>
      </c>
      <c r="F23" s="39">
        <f>COUNTIF(H6:H17,"Pending")</f>
        <v>3</v>
      </c>
    </row>
    <row r="24" ht="26" customHeight="1" spans="2:8">
      <c r="B24" s="41" t="s">
        <v>246</v>
      </c>
      <c r="F24" s="37" t="str">
        <f>IFERROR(ROUND(C21/C20*100,1),"")</f>
        <v/>
      </c>
    </row>
    <row r="25" ht="26" customHeight="1"/>
    <row r="26" ht="26" customHeight="1"/>
    <row r="27" ht="26" customHeight="1"/>
  </sheetData>
  <mergeCells count="14">
    <mergeCell ref="B2:H2"/>
    <mergeCell ref="B3:H3"/>
    <mergeCell ref="B4:H4"/>
    <mergeCell ref="B19:H19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5"/>
  <sheetViews>
    <sheetView showGridLines="0" topLeftCell="A18" workbookViewId="0">
      <selection activeCell="A2" sqref="A2:I33"/>
    </sheetView>
  </sheetViews>
  <sheetFormatPr defaultColWidth="9" defaultRowHeight="14.4"/>
  <cols>
    <col min="1" max="1" width="3" customWidth="1"/>
    <col min="2" max="2" width="8" customWidth="1"/>
    <col min="3" max="3" width="30" customWidth="1"/>
    <col min="4" max="4" width="20" customWidth="1"/>
    <col min="5" max="6" width="14" customWidth="1"/>
    <col min="7" max="7" width="12" customWidth="1"/>
    <col min="8" max="9" width="14" customWidth="1"/>
    <col min="10" max="10" width="3" customWidth="1"/>
  </cols>
  <sheetData>
    <row r="1" ht="10" customHeight="1"/>
    <row r="2" ht="48" customHeight="1" spans="2:9">
      <c r="B2" s="1" t="s">
        <v>247</v>
      </c>
    </row>
    <row r="3" ht="25" customHeight="1" spans="2:9">
      <c r="B3" s="2" t="s">
        <v>248</v>
      </c>
    </row>
    <row r="4" ht="25" customHeight="1" spans="2:9">
      <c r="B4" s="4" t="s">
        <v>121</v>
      </c>
      <c r="C4" s="4" t="s">
        <v>249</v>
      </c>
      <c r="D4" s="4" t="s">
        <v>250</v>
      </c>
      <c r="E4" s="4" t="s">
        <v>251</v>
      </c>
      <c r="F4" s="4" t="s">
        <v>252</v>
      </c>
      <c r="G4" s="4" t="s">
        <v>253</v>
      </c>
      <c r="H4" s="4" t="s">
        <v>254</v>
      </c>
      <c r="I4" s="4" t="s">
        <v>220</v>
      </c>
    </row>
    <row r="5" ht="22" customHeight="1" spans="2:9">
      <c r="B5" s="5">
        <v>1</v>
      </c>
      <c r="C5" s="6" t="s">
        <v>255</v>
      </c>
      <c r="D5" s="7" t="s">
        <v>256</v>
      </c>
      <c r="E5" s="7" t="s">
        <v>257</v>
      </c>
      <c r="F5" s="7" t="s">
        <v>129</v>
      </c>
      <c r="G5" s="7" t="s">
        <v>258</v>
      </c>
      <c r="H5" s="7" t="s">
        <v>129</v>
      </c>
      <c r="I5" s="7" t="s">
        <v>259</v>
      </c>
    </row>
    <row r="6" ht="22" customHeight="1" spans="2:9">
      <c r="B6" s="8">
        <v>2</v>
      </c>
      <c r="C6" s="9" t="s">
        <v>260</v>
      </c>
      <c r="D6" s="10" t="s">
        <v>261</v>
      </c>
      <c r="E6" s="10" t="s">
        <v>262</v>
      </c>
      <c r="F6" s="10" t="s">
        <v>129</v>
      </c>
      <c r="G6" s="10" t="s">
        <v>258</v>
      </c>
      <c r="H6" s="10" t="s">
        <v>129</v>
      </c>
      <c r="I6" s="10" t="s">
        <v>259</v>
      </c>
    </row>
    <row r="7" ht="22" customHeight="1" spans="2:9">
      <c r="B7" s="5">
        <v>3</v>
      </c>
      <c r="C7" s="6" t="s">
        <v>263</v>
      </c>
      <c r="D7" s="7" t="s">
        <v>264</v>
      </c>
      <c r="E7" s="7" t="s">
        <v>265</v>
      </c>
      <c r="F7" s="7" t="s">
        <v>129</v>
      </c>
      <c r="G7" s="7" t="s">
        <v>258</v>
      </c>
      <c r="H7" s="7" t="s">
        <v>129</v>
      </c>
      <c r="I7" s="7" t="s">
        <v>259</v>
      </c>
    </row>
    <row r="8" ht="22" customHeight="1" spans="2:9">
      <c r="B8" s="8">
        <v>4</v>
      </c>
      <c r="C8" s="9" t="s">
        <v>266</v>
      </c>
      <c r="D8" s="10" t="s">
        <v>267</v>
      </c>
      <c r="E8" s="10" t="s">
        <v>268</v>
      </c>
      <c r="F8" s="10" t="s">
        <v>129</v>
      </c>
      <c r="G8" s="10" t="s">
        <v>258</v>
      </c>
      <c r="H8" s="10" t="s">
        <v>129</v>
      </c>
      <c r="I8" s="10" t="s">
        <v>259</v>
      </c>
    </row>
    <row r="9" ht="22" customHeight="1" spans="2:9">
      <c r="B9" s="5">
        <v>5</v>
      </c>
      <c r="C9" s="6" t="s">
        <v>269</v>
      </c>
      <c r="D9" s="7" t="s">
        <v>270</v>
      </c>
      <c r="E9" s="7" t="s">
        <v>271</v>
      </c>
      <c r="F9" s="7" t="s">
        <v>129</v>
      </c>
      <c r="G9" s="7" t="s">
        <v>258</v>
      </c>
      <c r="H9" s="7" t="s">
        <v>129</v>
      </c>
      <c r="I9" s="7" t="s">
        <v>259</v>
      </c>
    </row>
    <row r="10" ht="22" customHeight="1" spans="2:9">
      <c r="B10" s="8">
        <v>6</v>
      </c>
      <c r="C10" s="9" t="s">
        <v>272</v>
      </c>
      <c r="D10" s="10" t="s">
        <v>273</v>
      </c>
      <c r="E10" s="10" t="s">
        <v>34</v>
      </c>
      <c r="F10" s="10" t="s">
        <v>129</v>
      </c>
      <c r="G10" s="10" t="s">
        <v>258</v>
      </c>
      <c r="H10" s="10" t="s">
        <v>129</v>
      </c>
      <c r="I10" s="10" t="s">
        <v>259</v>
      </c>
    </row>
    <row r="11" ht="22" customHeight="1" spans="2:9">
      <c r="B11" s="5">
        <v>7</v>
      </c>
      <c r="C11" s="6" t="s">
        <v>274</v>
      </c>
      <c r="D11" s="7" t="s">
        <v>261</v>
      </c>
      <c r="E11" s="7" t="s">
        <v>275</v>
      </c>
      <c r="F11" s="7" t="s">
        <v>129</v>
      </c>
      <c r="G11" s="7" t="s">
        <v>258</v>
      </c>
      <c r="H11" s="7" t="s">
        <v>129</v>
      </c>
      <c r="I11" s="7" t="s">
        <v>259</v>
      </c>
    </row>
    <row r="12" ht="22" customHeight="1" spans="2:9">
      <c r="B12" s="8">
        <v>8</v>
      </c>
      <c r="C12" s="9" t="s">
        <v>276</v>
      </c>
      <c r="D12" s="10" t="s">
        <v>277</v>
      </c>
      <c r="E12" s="10" t="s">
        <v>278</v>
      </c>
      <c r="F12" s="10" t="s">
        <v>129</v>
      </c>
      <c r="G12" s="10" t="s">
        <v>258</v>
      </c>
      <c r="H12" s="10" t="s">
        <v>129</v>
      </c>
      <c r="I12" s="10" t="s">
        <v>259</v>
      </c>
    </row>
    <row r="13" ht="22" customHeight="1" spans="2:9">
      <c r="B13" s="5">
        <v>9</v>
      </c>
      <c r="C13" s="6" t="s">
        <v>279</v>
      </c>
      <c r="D13" s="7" t="s">
        <v>280</v>
      </c>
      <c r="E13" s="7" t="s">
        <v>281</v>
      </c>
      <c r="F13" s="7" t="s">
        <v>129</v>
      </c>
      <c r="G13" s="7" t="s">
        <v>258</v>
      </c>
      <c r="H13" s="7" t="s">
        <v>129</v>
      </c>
      <c r="I13" s="7" t="s">
        <v>259</v>
      </c>
    </row>
    <row r="14" ht="22" customHeight="1" spans="2:9">
      <c r="B14" s="8">
        <v>10</v>
      </c>
      <c r="C14" s="9" t="s">
        <v>282</v>
      </c>
      <c r="D14" s="10" t="s">
        <v>283</v>
      </c>
      <c r="E14" s="10" t="s">
        <v>284</v>
      </c>
      <c r="F14" s="10" t="s">
        <v>129</v>
      </c>
      <c r="G14" s="10" t="s">
        <v>258</v>
      </c>
      <c r="H14" s="10" t="s">
        <v>129</v>
      </c>
      <c r="I14" s="10" t="s">
        <v>259</v>
      </c>
    </row>
    <row r="15" ht="22" customHeight="1" spans="2:9">
      <c r="B15" s="5">
        <v>11</v>
      </c>
      <c r="C15" s="6" t="s">
        <v>285</v>
      </c>
      <c r="D15" s="7" t="s">
        <v>286</v>
      </c>
      <c r="E15" s="7" t="s">
        <v>287</v>
      </c>
      <c r="F15" s="7" t="s">
        <v>129</v>
      </c>
      <c r="G15" s="7" t="s">
        <v>258</v>
      </c>
      <c r="H15" s="7" t="s">
        <v>129</v>
      </c>
      <c r="I15" s="7" t="s">
        <v>259</v>
      </c>
    </row>
    <row r="16" ht="22" customHeight="1" spans="2:9">
      <c r="B16" s="8">
        <v>12</v>
      </c>
      <c r="C16" s="9" t="s">
        <v>288</v>
      </c>
      <c r="D16" s="10" t="s">
        <v>289</v>
      </c>
      <c r="E16" s="10" t="s">
        <v>34</v>
      </c>
      <c r="F16" s="10" t="s">
        <v>129</v>
      </c>
      <c r="G16" s="10" t="s">
        <v>258</v>
      </c>
      <c r="H16" s="10" t="s">
        <v>129</v>
      </c>
      <c r="I16" s="10" t="s">
        <v>259</v>
      </c>
    </row>
    <row r="17" ht="22" customHeight="1" spans="2:9">
      <c r="B17" s="5">
        <v>13</v>
      </c>
      <c r="C17" s="6" t="s">
        <v>290</v>
      </c>
      <c r="D17" s="7" t="s">
        <v>270</v>
      </c>
      <c r="E17" s="7" t="s">
        <v>278</v>
      </c>
      <c r="F17" s="7" t="s">
        <v>129</v>
      </c>
      <c r="G17" s="7" t="s">
        <v>258</v>
      </c>
      <c r="H17" s="7" t="s">
        <v>129</v>
      </c>
      <c r="I17" s="7" t="s">
        <v>259</v>
      </c>
    </row>
    <row r="18" ht="22" customHeight="1" spans="2:9">
      <c r="B18" s="8">
        <v>14</v>
      </c>
      <c r="C18" s="9" t="s">
        <v>291</v>
      </c>
      <c r="D18" s="10" t="s">
        <v>270</v>
      </c>
      <c r="E18" s="10" t="s">
        <v>292</v>
      </c>
      <c r="F18" s="10" t="s">
        <v>129</v>
      </c>
      <c r="G18" s="10" t="s">
        <v>258</v>
      </c>
      <c r="H18" s="10" t="s">
        <v>129</v>
      </c>
      <c r="I18" s="10" t="s">
        <v>259</v>
      </c>
    </row>
    <row r="19" ht="22" customHeight="1"/>
    <row r="20" ht="24" customHeight="1" spans="2:9">
      <c r="B20" s="11" t="s">
        <v>293</v>
      </c>
    </row>
    <row r="21" ht="22" customHeight="1" spans="2:9">
      <c r="B21" s="12" t="s">
        <v>294</v>
      </c>
      <c r="C21" s="12" t="s">
        <v>295</v>
      </c>
      <c r="D21" s="12" t="s">
        <v>296</v>
      </c>
      <c r="E21" s="12" t="s">
        <v>297</v>
      </c>
      <c r="F21" s="12" t="s">
        <v>298</v>
      </c>
      <c r="G21" s="12" t="s">
        <v>299</v>
      </c>
      <c r="H21" s="12" t="s">
        <v>129</v>
      </c>
      <c r="I21" s="12" t="s">
        <v>129</v>
      </c>
    </row>
    <row r="22" ht="22" customHeight="1" spans="2:9">
      <c r="B22" s="13" t="s">
        <v>271</v>
      </c>
      <c r="C22" s="14" t="s">
        <v>129</v>
      </c>
      <c r="D22" s="15" t="s">
        <v>129</v>
      </c>
      <c r="E22" s="15" t="s">
        <v>129</v>
      </c>
      <c r="F22" s="15" t="s">
        <v>129</v>
      </c>
      <c r="G22" s="15" t="s">
        <v>129</v>
      </c>
      <c r="H22" s="42"/>
      <c r="I22" s="42"/>
    </row>
    <row r="23" ht="22" customHeight="1" spans="2:9">
      <c r="B23" s="8" t="s">
        <v>300</v>
      </c>
      <c r="C23" s="9" t="s">
        <v>129</v>
      </c>
      <c r="D23" s="10" t="s">
        <v>129</v>
      </c>
      <c r="E23" s="10" t="s">
        <v>129</v>
      </c>
      <c r="F23" s="10" t="s">
        <v>129</v>
      </c>
      <c r="G23" s="10" t="s">
        <v>129</v>
      </c>
      <c r="H23" s="43"/>
      <c r="I23" s="43"/>
    </row>
    <row r="24" ht="22" customHeight="1" spans="2:9">
      <c r="B24" s="13" t="s">
        <v>301</v>
      </c>
      <c r="C24" s="14" t="s">
        <v>129</v>
      </c>
      <c r="D24" s="15" t="s">
        <v>129</v>
      </c>
      <c r="E24" s="15" t="s">
        <v>129</v>
      </c>
      <c r="F24" s="15" t="s">
        <v>129</v>
      </c>
      <c r="G24" s="15" t="s">
        <v>129</v>
      </c>
      <c r="H24" s="42"/>
      <c r="I24" s="42"/>
    </row>
    <row r="25" ht="22" customHeight="1" spans="2:9">
      <c r="B25" s="8" t="s">
        <v>262</v>
      </c>
      <c r="C25" s="9" t="s">
        <v>129</v>
      </c>
      <c r="D25" s="10" t="s">
        <v>129</v>
      </c>
      <c r="E25" s="10" t="s">
        <v>129</v>
      </c>
      <c r="F25" s="10" t="s">
        <v>129</v>
      </c>
      <c r="G25" s="10" t="s">
        <v>129</v>
      </c>
      <c r="H25" s="43"/>
      <c r="I25" s="43"/>
    </row>
    <row r="26" ht="22" customHeight="1" spans="2:9">
      <c r="B26" s="13" t="s">
        <v>265</v>
      </c>
      <c r="C26" s="14" t="s">
        <v>129</v>
      </c>
      <c r="D26" s="15" t="s">
        <v>129</v>
      </c>
      <c r="E26" s="15" t="s">
        <v>129</v>
      </c>
      <c r="F26" s="15" t="s">
        <v>129</v>
      </c>
      <c r="G26" s="15" t="s">
        <v>129</v>
      </c>
      <c r="H26" s="42"/>
      <c r="I26" s="42"/>
    </row>
    <row r="27" ht="22" customHeight="1" spans="2:9">
      <c r="B27" s="8" t="s">
        <v>275</v>
      </c>
      <c r="C27" s="9" t="s">
        <v>129</v>
      </c>
      <c r="D27" s="10" t="s">
        <v>129</v>
      </c>
      <c r="E27" s="10" t="s">
        <v>129</v>
      </c>
      <c r="F27" s="10" t="s">
        <v>129</v>
      </c>
      <c r="G27" s="10" t="s">
        <v>129</v>
      </c>
      <c r="H27" s="43"/>
      <c r="I27" s="43"/>
    </row>
    <row r="28" ht="22" customHeight="1" spans="2:9">
      <c r="B28" s="13" t="s">
        <v>302</v>
      </c>
      <c r="C28" s="14" t="s">
        <v>129</v>
      </c>
      <c r="D28" s="15" t="s">
        <v>129</v>
      </c>
      <c r="E28" s="15" t="s">
        <v>129</v>
      </c>
      <c r="F28" s="15" t="s">
        <v>129</v>
      </c>
      <c r="G28" s="15" t="s">
        <v>129</v>
      </c>
      <c r="H28" s="42"/>
      <c r="I28" s="42"/>
    </row>
    <row r="29" ht="22" customHeight="1" spans="2:9">
      <c r="B29" s="8" t="s">
        <v>278</v>
      </c>
      <c r="C29" s="9" t="s">
        <v>129</v>
      </c>
      <c r="D29" s="10" t="s">
        <v>129</v>
      </c>
      <c r="E29" s="10" t="s">
        <v>129</v>
      </c>
      <c r="F29" s="10" t="s">
        <v>129</v>
      </c>
      <c r="G29" s="10" t="s">
        <v>129</v>
      </c>
      <c r="H29" s="43"/>
      <c r="I29" s="43"/>
    </row>
    <row r="30" ht="22" customHeight="1" spans="2:9">
      <c r="B30" s="13" t="s">
        <v>281</v>
      </c>
      <c r="C30" s="14" t="s">
        <v>129</v>
      </c>
      <c r="D30" s="15" t="s">
        <v>129</v>
      </c>
      <c r="E30" s="15" t="s">
        <v>129</v>
      </c>
      <c r="F30" s="15" t="s">
        <v>129</v>
      </c>
      <c r="G30" s="15" t="s">
        <v>129</v>
      </c>
      <c r="H30" s="42"/>
      <c r="I30" s="42"/>
    </row>
    <row r="31" ht="22" customHeight="1" spans="2:9">
      <c r="B31" s="8" t="s">
        <v>287</v>
      </c>
      <c r="C31" s="9" t="s">
        <v>129</v>
      </c>
      <c r="D31" s="10" t="s">
        <v>129</v>
      </c>
      <c r="E31" s="10" t="s">
        <v>129</v>
      </c>
      <c r="F31" s="10" t="s">
        <v>129</v>
      </c>
      <c r="G31" s="10" t="s">
        <v>129</v>
      </c>
      <c r="H31" s="43"/>
      <c r="I31" s="43"/>
    </row>
    <row r="32" ht="22" customHeight="1" spans="2:9">
      <c r="B32" s="13" t="s">
        <v>303</v>
      </c>
      <c r="C32" s="14" t="s">
        <v>129</v>
      </c>
      <c r="D32" s="15" t="s">
        <v>129</v>
      </c>
      <c r="E32" s="15" t="s">
        <v>129</v>
      </c>
      <c r="F32" s="15" t="s">
        <v>129</v>
      </c>
      <c r="G32" s="15" t="s">
        <v>129</v>
      </c>
      <c r="H32" s="42"/>
      <c r="I32" s="42"/>
    </row>
    <row r="33" ht="22" customHeight="1" spans="2:9">
      <c r="B33" s="8" t="s">
        <v>304</v>
      </c>
      <c r="C33" s="9" t="s">
        <v>129</v>
      </c>
      <c r="D33" s="10" t="s">
        <v>129</v>
      </c>
      <c r="E33" s="10" t="s">
        <v>129</v>
      </c>
      <c r="F33" s="10" t="s">
        <v>129</v>
      </c>
      <c r="G33" s="10" t="s">
        <v>129</v>
      </c>
      <c r="H33" s="43"/>
      <c r="I33" s="43"/>
    </row>
    <row r="34" ht="22" customHeight="1"/>
    <row r="35" ht="22" customHeight="1"/>
  </sheetData>
  <mergeCells count="3">
    <mergeCell ref="B2:I2"/>
    <mergeCell ref="B3:I3"/>
    <mergeCell ref="B20:I2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5"/>
  <sheetViews>
    <sheetView showGridLines="0" topLeftCell="A15" workbookViewId="0">
      <selection activeCell="A1" sqref="A1:J31"/>
    </sheetView>
  </sheetViews>
  <sheetFormatPr defaultColWidth="9" defaultRowHeight="14.4"/>
  <cols>
    <col min="1" max="1" width="3" customWidth="1"/>
    <col min="2" max="2" width="8" customWidth="1"/>
    <col min="3" max="3" width="28" customWidth="1"/>
    <col min="4" max="4" width="16" customWidth="1"/>
    <col min="5" max="5" width="14" customWidth="1"/>
    <col min="6" max="9" width="12" customWidth="1"/>
    <col min="10" max="10" width="14" customWidth="1"/>
    <col min="11" max="11" width="3" customWidth="1"/>
  </cols>
  <sheetData>
    <row r="1" ht="10" customHeight="1"/>
    <row r="2" ht="48" customHeight="1" spans="2:10">
      <c r="B2" s="1" t="s">
        <v>305</v>
      </c>
    </row>
    <row r="3" ht="25" customHeight="1" spans="2:10">
      <c r="B3" s="2" t="s">
        <v>306</v>
      </c>
    </row>
    <row r="4" ht="25" customHeight="1" spans="2:10">
      <c r="B4" s="4" t="s">
        <v>121</v>
      </c>
      <c r="C4" s="4" t="s">
        <v>307</v>
      </c>
      <c r="D4" s="4" t="s">
        <v>308</v>
      </c>
      <c r="E4" s="4" t="s">
        <v>253</v>
      </c>
      <c r="F4" s="4" t="s">
        <v>309</v>
      </c>
      <c r="G4" s="4" t="s">
        <v>310</v>
      </c>
      <c r="H4" s="4" t="s">
        <v>311</v>
      </c>
      <c r="I4" s="4" t="s">
        <v>312</v>
      </c>
      <c r="J4" s="4" t="s">
        <v>313</v>
      </c>
    </row>
    <row r="5" ht="22" customHeight="1" spans="2:10">
      <c r="B5" s="5">
        <v>1</v>
      </c>
      <c r="C5" s="6" t="s">
        <v>129</v>
      </c>
      <c r="D5" s="7" t="s">
        <v>129</v>
      </c>
      <c r="E5" s="7" t="s">
        <v>314</v>
      </c>
      <c r="F5" s="7" t="s">
        <v>129</v>
      </c>
      <c r="G5" s="7" t="s">
        <v>129</v>
      </c>
      <c r="H5" s="7" t="s">
        <v>129</v>
      </c>
      <c r="I5" s="7" t="s">
        <v>129</v>
      </c>
      <c r="J5" s="7" t="s">
        <v>129</v>
      </c>
    </row>
    <row r="6" ht="22" customHeight="1" spans="2:10">
      <c r="B6" s="8">
        <v>2</v>
      </c>
      <c r="C6" s="9" t="s">
        <v>129</v>
      </c>
      <c r="D6" s="10" t="s">
        <v>129</v>
      </c>
      <c r="E6" s="10" t="s">
        <v>314</v>
      </c>
      <c r="F6" s="10" t="s">
        <v>129</v>
      </c>
      <c r="G6" s="10" t="s">
        <v>129</v>
      </c>
      <c r="H6" s="10" t="s">
        <v>129</v>
      </c>
      <c r="I6" s="10" t="s">
        <v>129</v>
      </c>
      <c r="J6" s="10" t="s">
        <v>129</v>
      </c>
    </row>
    <row r="7" ht="22" customHeight="1" spans="2:10">
      <c r="B7" s="5">
        <v>3</v>
      </c>
      <c r="C7" s="6" t="s">
        <v>129</v>
      </c>
      <c r="D7" s="7" t="s">
        <v>129</v>
      </c>
      <c r="E7" s="7" t="s">
        <v>314</v>
      </c>
      <c r="F7" s="7" t="s">
        <v>129</v>
      </c>
      <c r="G7" s="7" t="s">
        <v>129</v>
      </c>
      <c r="H7" s="7" t="s">
        <v>129</v>
      </c>
      <c r="I7" s="7" t="s">
        <v>129</v>
      </c>
      <c r="J7" s="7" t="s">
        <v>129</v>
      </c>
    </row>
    <row r="8" ht="22" customHeight="1" spans="2:10">
      <c r="B8" s="8">
        <v>4</v>
      </c>
      <c r="C8" s="9" t="s">
        <v>129</v>
      </c>
      <c r="D8" s="10" t="s">
        <v>129</v>
      </c>
      <c r="E8" s="10" t="s">
        <v>314</v>
      </c>
      <c r="F8" s="10" t="s">
        <v>129</v>
      </c>
      <c r="G8" s="10" t="s">
        <v>129</v>
      </c>
      <c r="H8" s="10" t="s">
        <v>129</v>
      </c>
      <c r="I8" s="10" t="s">
        <v>129</v>
      </c>
      <c r="J8" s="10" t="s">
        <v>129</v>
      </c>
    </row>
    <row r="9" ht="22" customHeight="1" spans="2:10">
      <c r="B9" s="5">
        <v>5</v>
      </c>
      <c r="C9" s="6" t="s">
        <v>129</v>
      </c>
      <c r="D9" s="7" t="s">
        <v>129</v>
      </c>
      <c r="E9" s="7" t="s">
        <v>314</v>
      </c>
      <c r="F9" s="7" t="s">
        <v>129</v>
      </c>
      <c r="G9" s="7" t="s">
        <v>129</v>
      </c>
      <c r="H9" s="7" t="s">
        <v>129</v>
      </c>
      <c r="I9" s="7" t="s">
        <v>129</v>
      </c>
      <c r="J9" s="7" t="s">
        <v>129</v>
      </c>
    </row>
    <row r="10" ht="22" customHeight="1" spans="2:10">
      <c r="B10" s="8">
        <v>6</v>
      </c>
      <c r="C10" s="9" t="s">
        <v>129</v>
      </c>
      <c r="D10" s="10" t="s">
        <v>129</v>
      </c>
      <c r="E10" s="10" t="s">
        <v>314</v>
      </c>
      <c r="F10" s="10" t="s">
        <v>129</v>
      </c>
      <c r="G10" s="10" t="s">
        <v>129</v>
      </c>
      <c r="H10" s="10" t="s">
        <v>129</v>
      </c>
      <c r="I10" s="10" t="s">
        <v>129</v>
      </c>
      <c r="J10" s="10" t="s">
        <v>129</v>
      </c>
    </row>
    <row r="11" ht="22" customHeight="1" spans="2:10">
      <c r="B11" s="5">
        <v>7</v>
      </c>
      <c r="C11" s="6" t="s">
        <v>129</v>
      </c>
      <c r="D11" s="7" t="s">
        <v>129</v>
      </c>
      <c r="E11" s="7" t="s">
        <v>314</v>
      </c>
      <c r="F11" s="7" t="s">
        <v>129</v>
      </c>
      <c r="G11" s="7" t="s">
        <v>129</v>
      </c>
      <c r="H11" s="7" t="s">
        <v>129</v>
      </c>
      <c r="I11" s="7" t="s">
        <v>129</v>
      </c>
      <c r="J11" s="7" t="s">
        <v>129</v>
      </c>
    </row>
    <row r="12" ht="22" customHeight="1" spans="2:10">
      <c r="B12" s="8">
        <v>8</v>
      </c>
      <c r="C12" s="9" t="s">
        <v>129</v>
      </c>
      <c r="D12" s="10" t="s">
        <v>129</v>
      </c>
      <c r="E12" s="10" t="s">
        <v>314</v>
      </c>
      <c r="F12" s="10" t="s">
        <v>129</v>
      </c>
      <c r="G12" s="10" t="s">
        <v>129</v>
      </c>
      <c r="H12" s="10" t="s">
        <v>129</v>
      </c>
      <c r="I12" s="10" t="s">
        <v>129</v>
      </c>
      <c r="J12" s="10" t="s">
        <v>129</v>
      </c>
    </row>
    <row r="13" ht="22" customHeight="1" spans="2:10">
      <c r="B13" s="5">
        <v>9</v>
      </c>
      <c r="C13" s="6" t="s">
        <v>129</v>
      </c>
      <c r="D13" s="7" t="s">
        <v>129</v>
      </c>
      <c r="E13" s="7" t="s">
        <v>314</v>
      </c>
      <c r="F13" s="7" t="s">
        <v>129</v>
      </c>
      <c r="G13" s="7" t="s">
        <v>129</v>
      </c>
      <c r="H13" s="7" t="s">
        <v>129</v>
      </c>
      <c r="I13" s="7" t="s">
        <v>129</v>
      </c>
      <c r="J13" s="7" t="s">
        <v>129</v>
      </c>
    </row>
    <row r="14" ht="22" customHeight="1" spans="2:10">
      <c r="B14" s="8">
        <v>10</v>
      </c>
      <c r="C14" s="9" t="s">
        <v>129</v>
      </c>
      <c r="D14" s="10" t="s">
        <v>129</v>
      </c>
      <c r="E14" s="10" t="s">
        <v>314</v>
      </c>
      <c r="F14" s="10" t="s">
        <v>129</v>
      </c>
      <c r="G14" s="10" t="s">
        <v>129</v>
      </c>
      <c r="H14" s="10" t="s">
        <v>129</v>
      </c>
      <c r="I14" s="10" t="s">
        <v>129</v>
      </c>
      <c r="J14" s="10" t="s">
        <v>129</v>
      </c>
    </row>
    <row r="15" ht="22" customHeight="1" spans="2:10">
      <c r="B15" s="5">
        <v>11</v>
      </c>
      <c r="C15" s="6" t="s">
        <v>129</v>
      </c>
      <c r="D15" s="7" t="s">
        <v>129</v>
      </c>
      <c r="E15" s="7" t="s">
        <v>314</v>
      </c>
      <c r="F15" s="7" t="s">
        <v>129</v>
      </c>
      <c r="G15" s="7" t="s">
        <v>129</v>
      </c>
      <c r="H15" s="7" t="s">
        <v>129</v>
      </c>
      <c r="I15" s="7" t="s">
        <v>129</v>
      </c>
      <c r="J15" s="7" t="s">
        <v>129</v>
      </c>
    </row>
    <row r="16" ht="22" customHeight="1" spans="2:10">
      <c r="B16" s="8">
        <v>12</v>
      </c>
      <c r="C16" s="9" t="s">
        <v>129</v>
      </c>
      <c r="D16" s="10" t="s">
        <v>129</v>
      </c>
      <c r="E16" s="10" t="s">
        <v>314</v>
      </c>
      <c r="F16" s="10" t="s">
        <v>129</v>
      </c>
      <c r="G16" s="10" t="s">
        <v>129</v>
      </c>
      <c r="H16" s="10" t="s">
        <v>129</v>
      </c>
      <c r="I16" s="10" t="s">
        <v>129</v>
      </c>
      <c r="J16" s="10" t="s">
        <v>129</v>
      </c>
    </row>
    <row r="17" ht="22" customHeight="1" spans="2:10">
      <c r="B17" s="5">
        <v>13</v>
      </c>
      <c r="C17" s="6" t="s">
        <v>129</v>
      </c>
      <c r="D17" s="7" t="s">
        <v>129</v>
      </c>
      <c r="E17" s="7" t="s">
        <v>314</v>
      </c>
      <c r="F17" s="7" t="s">
        <v>129</v>
      </c>
      <c r="G17" s="7" t="s">
        <v>129</v>
      </c>
      <c r="H17" s="7" t="s">
        <v>129</v>
      </c>
      <c r="I17" s="7" t="s">
        <v>129</v>
      </c>
      <c r="J17" s="7" t="s">
        <v>129</v>
      </c>
    </row>
    <row r="18" ht="22" customHeight="1" spans="2:10">
      <c r="B18" s="8">
        <v>14</v>
      </c>
      <c r="C18" s="9" t="s">
        <v>129</v>
      </c>
      <c r="D18" s="10" t="s">
        <v>129</v>
      </c>
      <c r="E18" s="10" t="s">
        <v>314</v>
      </c>
      <c r="F18" s="10" t="s">
        <v>129</v>
      </c>
      <c r="G18" s="10" t="s">
        <v>129</v>
      </c>
      <c r="H18" s="10" t="s">
        <v>129</v>
      </c>
      <c r="I18" s="10" t="s">
        <v>129</v>
      </c>
      <c r="J18" s="10" t="s">
        <v>129</v>
      </c>
    </row>
    <row r="19" ht="22" customHeight="1"/>
    <row r="20" ht="24" customHeight="1" spans="2:10">
      <c r="B20" s="11" t="s">
        <v>315</v>
      </c>
    </row>
    <row r="21" ht="22" customHeight="1" spans="2:10">
      <c r="B21" s="12" t="s">
        <v>316</v>
      </c>
      <c r="C21" s="12" t="s">
        <v>317</v>
      </c>
      <c r="D21" s="12" t="s">
        <v>318</v>
      </c>
      <c r="E21" s="12" t="s">
        <v>319</v>
      </c>
      <c r="F21" s="12" t="s">
        <v>320</v>
      </c>
      <c r="G21" s="12" t="s">
        <v>321</v>
      </c>
      <c r="H21" s="12" t="s">
        <v>322</v>
      </c>
      <c r="I21" s="12" t="s">
        <v>129</v>
      </c>
      <c r="J21" s="12" t="s">
        <v>129</v>
      </c>
    </row>
    <row r="22" ht="22" customHeight="1" spans="2:10">
      <c r="B22" s="14" t="s">
        <v>323</v>
      </c>
      <c r="C22" s="15" t="s">
        <v>129</v>
      </c>
      <c r="D22" s="15" t="s">
        <v>129</v>
      </c>
      <c r="E22" s="15"/>
      <c r="F22" s="15" t="s">
        <v>129</v>
      </c>
      <c r="G22" s="15"/>
      <c r="H22" s="15" t="s">
        <v>129</v>
      </c>
      <c r="I22" s="42"/>
      <c r="J22" s="42"/>
    </row>
    <row r="23" ht="22" customHeight="1" spans="2:10">
      <c r="B23" s="9" t="s">
        <v>324</v>
      </c>
      <c r="C23" s="10" t="s">
        <v>129</v>
      </c>
      <c r="D23" s="10" t="s">
        <v>129</v>
      </c>
      <c r="E23" s="10"/>
      <c r="F23" s="10" t="s">
        <v>129</v>
      </c>
      <c r="G23" s="10"/>
      <c r="H23" s="10" t="s">
        <v>129</v>
      </c>
      <c r="I23" s="43"/>
      <c r="J23" s="43"/>
    </row>
    <row r="24" ht="22" customHeight="1" spans="2:10">
      <c r="B24" s="14" t="s">
        <v>325</v>
      </c>
      <c r="C24" s="15" t="s">
        <v>129</v>
      </c>
      <c r="D24" s="15" t="s">
        <v>129</v>
      </c>
      <c r="E24" s="15"/>
      <c r="F24" s="15" t="s">
        <v>129</v>
      </c>
      <c r="G24" s="15"/>
      <c r="H24" s="15" t="s">
        <v>129</v>
      </c>
      <c r="I24" s="42"/>
      <c r="J24" s="42"/>
    </row>
    <row r="25" ht="22" customHeight="1" spans="2:10">
      <c r="B25" s="9" t="s">
        <v>326</v>
      </c>
      <c r="C25" s="10" t="s">
        <v>129</v>
      </c>
      <c r="D25" s="10" t="s">
        <v>129</v>
      </c>
      <c r="E25" s="10"/>
      <c r="F25" s="10" t="s">
        <v>129</v>
      </c>
      <c r="G25" s="10"/>
      <c r="H25" s="10" t="s">
        <v>129</v>
      </c>
      <c r="I25" s="43"/>
      <c r="J25" s="43"/>
    </row>
    <row r="26" ht="22" customHeight="1" spans="2:10">
      <c r="B26" s="14" t="s">
        <v>327</v>
      </c>
      <c r="C26" s="15" t="s">
        <v>129</v>
      </c>
      <c r="D26" s="15" t="s">
        <v>129</v>
      </c>
      <c r="E26" s="15"/>
      <c r="F26" s="15" t="s">
        <v>129</v>
      </c>
      <c r="G26" s="15"/>
      <c r="H26" s="15" t="s">
        <v>129</v>
      </c>
      <c r="I26" s="42"/>
      <c r="J26" s="42"/>
    </row>
    <row r="27" ht="22" customHeight="1" spans="2:10">
      <c r="B27" s="9" t="s">
        <v>328</v>
      </c>
      <c r="C27" s="10" t="s">
        <v>129</v>
      </c>
      <c r="D27" s="10" t="s">
        <v>129</v>
      </c>
      <c r="E27" s="10"/>
      <c r="F27" s="10" t="s">
        <v>129</v>
      </c>
      <c r="G27" s="10"/>
      <c r="H27" s="10" t="s">
        <v>129</v>
      </c>
      <c r="I27" s="43"/>
      <c r="J27" s="43"/>
    </row>
    <row r="28" ht="22" customHeight="1" spans="2:10">
      <c r="B28" s="14" t="s">
        <v>329</v>
      </c>
      <c r="C28" s="15" t="s">
        <v>129</v>
      </c>
      <c r="D28" s="15" t="s">
        <v>129</v>
      </c>
      <c r="E28" s="15"/>
      <c r="F28" s="15" t="s">
        <v>129</v>
      </c>
      <c r="G28" s="15"/>
      <c r="H28" s="15" t="s">
        <v>129</v>
      </c>
      <c r="I28" s="42"/>
      <c r="J28" s="42"/>
    </row>
    <row r="29" ht="22" customHeight="1" spans="2:10">
      <c r="B29" s="9" t="s">
        <v>330</v>
      </c>
      <c r="C29" s="10" t="s">
        <v>129</v>
      </c>
      <c r="D29" s="10" t="s">
        <v>129</v>
      </c>
      <c r="E29" s="10"/>
      <c r="F29" s="10" t="s">
        <v>129</v>
      </c>
      <c r="G29" s="10"/>
      <c r="H29" s="10" t="s">
        <v>129</v>
      </c>
      <c r="I29" s="43"/>
      <c r="J29" s="43"/>
    </row>
    <row r="30" ht="22" customHeight="1" spans="2:10">
      <c r="B30" s="14" t="s">
        <v>331</v>
      </c>
      <c r="C30" s="15" t="s">
        <v>129</v>
      </c>
      <c r="D30" s="15" t="s">
        <v>129</v>
      </c>
      <c r="E30" s="15"/>
      <c r="F30" s="15" t="s">
        <v>129</v>
      </c>
      <c r="G30" s="15"/>
      <c r="H30" s="15" t="s">
        <v>129</v>
      </c>
      <c r="I30" s="42"/>
      <c r="J30" s="42"/>
    </row>
    <row r="31" ht="22" customHeight="1" spans="2:10">
      <c r="B31" s="65" t="s">
        <v>332</v>
      </c>
      <c r="C31" s="66" t="s">
        <v>129</v>
      </c>
      <c r="D31" s="66" t="s">
        <v>129</v>
      </c>
      <c r="E31" s="66"/>
      <c r="F31" s="66" t="s">
        <v>129</v>
      </c>
      <c r="G31" s="66"/>
      <c r="H31" s="66" t="s">
        <v>129</v>
      </c>
      <c r="I31" s="67"/>
      <c r="J31" s="67"/>
    </row>
    <row r="32" ht="22" customHeight="1"/>
    <row r="33" ht="22" customHeight="1"/>
    <row r="34" ht="22" customHeight="1"/>
    <row r="35" ht="22" customHeight="1"/>
  </sheetData>
  <mergeCells count="3">
    <mergeCell ref="B2:J2"/>
    <mergeCell ref="B3:J3"/>
    <mergeCell ref="B20:J2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9"/>
  <sheetViews>
    <sheetView showGridLines="0" topLeftCell="A22" workbookViewId="0">
      <selection activeCell="A1" sqref="A1:J37"/>
    </sheetView>
  </sheetViews>
  <sheetFormatPr defaultColWidth="9" defaultRowHeight="14.4"/>
  <cols>
    <col min="1" max="1" width="3" customWidth="1"/>
    <col min="2" max="2" width="8" customWidth="1"/>
    <col min="3" max="3" width="24" customWidth="1"/>
    <col min="4" max="4" width="16" customWidth="1"/>
    <col min="5" max="5" width="14" customWidth="1"/>
    <col min="6" max="10" width="12" customWidth="1"/>
    <col min="11" max="11" width="3" customWidth="1"/>
  </cols>
  <sheetData>
    <row r="1" ht="10" customHeight="1"/>
    <row r="2" ht="48" customHeight="1" spans="2:10">
      <c r="B2" s="1" t="s">
        <v>333</v>
      </c>
    </row>
    <row r="3" ht="25" customHeight="1" spans="2:10">
      <c r="B3" s="2" t="s">
        <v>334</v>
      </c>
    </row>
    <row r="4" ht="25" customHeight="1" spans="2:10">
      <c r="B4" s="4" t="s">
        <v>121</v>
      </c>
      <c r="C4" s="4" t="s">
        <v>335</v>
      </c>
      <c r="D4" s="4" t="s">
        <v>336</v>
      </c>
      <c r="E4" s="4" t="s">
        <v>337</v>
      </c>
      <c r="F4" s="4" t="s">
        <v>338</v>
      </c>
      <c r="G4" s="4" t="s">
        <v>339</v>
      </c>
      <c r="H4" s="4" t="s">
        <v>340</v>
      </c>
      <c r="I4" s="4" t="s">
        <v>341</v>
      </c>
      <c r="J4" s="4" t="s">
        <v>342</v>
      </c>
    </row>
    <row r="5" ht="22" customHeight="1" spans="2:10">
      <c r="B5" s="7"/>
      <c r="C5" s="7"/>
      <c r="D5" s="7"/>
      <c r="E5" s="7"/>
      <c r="F5" s="7"/>
      <c r="G5" s="7"/>
      <c r="H5" s="7"/>
      <c r="I5" s="7"/>
      <c r="J5" s="7"/>
    </row>
    <row r="6" ht="22" customHeight="1" spans="2:10">
      <c r="B6" s="10"/>
      <c r="C6" s="10"/>
      <c r="D6" s="10"/>
      <c r="E6" s="10"/>
      <c r="F6" s="10"/>
      <c r="G6" s="10"/>
      <c r="H6" s="10"/>
      <c r="I6" s="10"/>
      <c r="J6" s="10"/>
    </row>
    <row r="7" ht="22" customHeight="1" spans="2:10">
      <c r="B7" s="7"/>
      <c r="C7" s="7"/>
      <c r="D7" s="7"/>
      <c r="E7" s="7"/>
      <c r="F7" s="7"/>
      <c r="G7" s="7"/>
      <c r="H7" s="7"/>
      <c r="I7" s="7"/>
      <c r="J7" s="7"/>
    </row>
    <row r="8" ht="22" customHeight="1" spans="2:10">
      <c r="B8" s="10"/>
      <c r="C8" s="10"/>
      <c r="D8" s="10"/>
      <c r="E8" s="10"/>
      <c r="F8" s="10"/>
      <c r="G8" s="10"/>
      <c r="H8" s="10"/>
      <c r="I8" s="10"/>
      <c r="J8" s="10"/>
    </row>
    <row r="9" ht="22" customHeight="1" spans="2:10">
      <c r="B9" s="7"/>
      <c r="C9" s="7"/>
      <c r="D9" s="7"/>
      <c r="E9" s="7"/>
      <c r="F9" s="7"/>
      <c r="G9" s="7"/>
      <c r="H9" s="7"/>
      <c r="I9" s="7"/>
      <c r="J9" s="7"/>
    </row>
    <row r="10" ht="22" customHeight="1" spans="2:10">
      <c r="B10" s="10"/>
      <c r="C10" s="10"/>
      <c r="D10" s="10"/>
      <c r="E10" s="10"/>
      <c r="F10" s="10"/>
      <c r="G10" s="10"/>
      <c r="H10" s="10"/>
      <c r="I10" s="10"/>
      <c r="J10" s="10"/>
    </row>
    <row r="11" ht="22" customHeight="1" spans="2:10">
      <c r="B11" s="7"/>
      <c r="C11" s="7"/>
      <c r="D11" s="7"/>
      <c r="E11" s="7"/>
      <c r="F11" s="7"/>
      <c r="G11" s="7"/>
      <c r="H11" s="7"/>
      <c r="I11" s="7"/>
      <c r="J11" s="7"/>
    </row>
    <row r="12" ht="22" customHeight="1" spans="2:10">
      <c r="B12" s="10"/>
      <c r="C12" s="10"/>
      <c r="D12" s="10"/>
      <c r="E12" s="10"/>
      <c r="F12" s="10"/>
      <c r="G12" s="10"/>
      <c r="H12" s="10"/>
      <c r="I12" s="10"/>
      <c r="J12" s="10"/>
    </row>
    <row r="13" ht="22" customHeight="1" spans="2:10">
      <c r="B13" s="7"/>
      <c r="C13" s="7"/>
      <c r="D13" s="7"/>
      <c r="E13" s="7"/>
      <c r="F13" s="7"/>
      <c r="G13" s="7"/>
      <c r="H13" s="7"/>
      <c r="I13" s="7"/>
      <c r="J13" s="7"/>
    </row>
    <row r="14" ht="22" customHeight="1" spans="2:10">
      <c r="B14" s="10"/>
      <c r="C14" s="10"/>
      <c r="D14" s="10"/>
      <c r="E14" s="10"/>
      <c r="F14" s="10"/>
      <c r="G14" s="10"/>
      <c r="H14" s="10"/>
      <c r="I14" s="10"/>
      <c r="J14" s="10"/>
    </row>
    <row r="15" ht="22" customHeight="1" spans="2:10">
      <c r="B15" s="7"/>
      <c r="C15" s="7"/>
      <c r="D15" s="7"/>
      <c r="E15" s="7"/>
      <c r="F15" s="7"/>
      <c r="G15" s="7"/>
      <c r="H15" s="7"/>
      <c r="I15" s="7"/>
      <c r="J15" s="7"/>
    </row>
    <row r="16" ht="22" customHeight="1" spans="2:10">
      <c r="B16" s="10"/>
      <c r="C16" s="10"/>
      <c r="D16" s="10"/>
      <c r="E16" s="10"/>
      <c r="F16" s="10"/>
      <c r="G16" s="10"/>
      <c r="H16" s="10"/>
      <c r="I16" s="10"/>
      <c r="J16" s="10"/>
    </row>
    <row r="17" ht="22" customHeight="1" spans="2:10">
      <c r="B17" s="7"/>
      <c r="C17" s="7"/>
      <c r="D17" s="7"/>
      <c r="E17" s="7"/>
      <c r="F17" s="7"/>
      <c r="G17" s="7"/>
      <c r="H17" s="7"/>
      <c r="I17" s="7"/>
      <c r="J17" s="7"/>
    </row>
    <row r="18" ht="22" customHeight="1" spans="2:10">
      <c r="B18" s="10"/>
      <c r="C18" s="10"/>
      <c r="D18" s="10"/>
      <c r="E18" s="10"/>
      <c r="F18" s="10"/>
      <c r="G18" s="10"/>
      <c r="H18" s="10"/>
      <c r="I18" s="10"/>
      <c r="J18" s="10"/>
    </row>
    <row r="19" ht="22" customHeight="1" spans="2:10">
      <c r="B19" s="7"/>
      <c r="C19" s="7"/>
      <c r="D19" s="7"/>
      <c r="E19" s="7"/>
      <c r="F19" s="7"/>
      <c r="G19" s="7"/>
      <c r="H19" s="7"/>
      <c r="I19" s="7"/>
      <c r="J19" s="7"/>
    </row>
    <row r="20" ht="22" customHeight="1" spans="2:10">
      <c r="B20" s="10"/>
      <c r="C20" s="10"/>
      <c r="D20" s="10"/>
      <c r="E20" s="10"/>
      <c r="F20" s="10"/>
      <c r="G20" s="10"/>
      <c r="H20" s="10"/>
      <c r="I20" s="10"/>
      <c r="J20" s="10"/>
    </row>
    <row r="21" ht="22" customHeight="1" spans="2:10">
      <c r="B21" s="7"/>
      <c r="C21" s="7"/>
      <c r="D21" s="7"/>
      <c r="E21" s="7"/>
      <c r="F21" s="7"/>
      <c r="G21" s="7"/>
      <c r="H21" s="7"/>
      <c r="I21" s="7"/>
      <c r="J21" s="7"/>
    </row>
    <row r="22" ht="22" customHeight="1" spans="2:10">
      <c r="B22" s="10"/>
      <c r="C22" s="10"/>
      <c r="D22" s="10"/>
      <c r="E22" s="10"/>
      <c r="F22" s="10"/>
      <c r="G22" s="10"/>
      <c r="H22" s="10"/>
      <c r="I22" s="10"/>
      <c r="J22" s="10"/>
    </row>
    <row r="23" ht="22" customHeight="1" spans="2:10">
      <c r="B23" s="7"/>
      <c r="C23" s="7"/>
      <c r="D23" s="7"/>
      <c r="E23" s="7"/>
      <c r="F23" s="7"/>
      <c r="G23" s="7"/>
      <c r="H23" s="7"/>
      <c r="I23" s="7"/>
      <c r="J23" s="7"/>
    </row>
    <row r="24" ht="22" customHeight="1" spans="2:10">
      <c r="B24" s="10"/>
      <c r="C24" s="10"/>
      <c r="D24" s="10"/>
      <c r="E24" s="10"/>
      <c r="F24" s="10"/>
      <c r="G24" s="10"/>
      <c r="H24" s="10"/>
      <c r="I24" s="10"/>
      <c r="J24" s="10"/>
    </row>
    <row r="25" ht="22" customHeight="1" spans="2:10">
      <c r="B25" s="7"/>
      <c r="C25" s="7"/>
      <c r="D25" s="7"/>
      <c r="E25" s="7"/>
      <c r="F25" s="7"/>
      <c r="G25" s="7"/>
      <c r="H25" s="7"/>
      <c r="I25" s="7"/>
      <c r="J25" s="7"/>
    </row>
    <row r="26" ht="22" customHeight="1" spans="2:10">
      <c r="B26" s="10"/>
      <c r="C26" s="10"/>
      <c r="D26" s="10"/>
      <c r="E26" s="10"/>
      <c r="F26" s="10"/>
      <c r="G26" s="10"/>
      <c r="H26" s="10"/>
      <c r="I26" s="10"/>
      <c r="J26" s="10"/>
    </row>
    <row r="27" ht="22" customHeight="1" spans="2:10">
      <c r="B27" s="7"/>
      <c r="C27" s="7"/>
      <c r="D27" s="7"/>
      <c r="E27" s="7"/>
      <c r="F27" s="7"/>
      <c r="G27" s="7"/>
      <c r="H27" s="7"/>
      <c r="I27" s="7"/>
      <c r="J27" s="7"/>
    </row>
    <row r="28" ht="22" customHeight="1" spans="2:10">
      <c r="B28" s="10"/>
      <c r="C28" s="10"/>
      <c r="D28" s="10"/>
      <c r="E28" s="10"/>
      <c r="F28" s="10"/>
      <c r="G28" s="10"/>
      <c r="H28" s="10"/>
      <c r="I28" s="10"/>
      <c r="J28" s="10"/>
    </row>
    <row r="29" ht="22" customHeight="1" spans="2:10">
      <c r="B29" s="7"/>
      <c r="C29" s="7"/>
      <c r="D29" s="7"/>
      <c r="E29" s="7"/>
      <c r="F29" s="7"/>
      <c r="G29" s="7"/>
      <c r="H29" s="7"/>
      <c r="I29" s="7"/>
      <c r="J29" s="7"/>
    </row>
    <row r="30" ht="22" customHeight="1" spans="2:10">
      <c r="B30" s="10"/>
      <c r="C30" s="10"/>
      <c r="D30" s="10"/>
      <c r="E30" s="10"/>
      <c r="F30" s="10"/>
      <c r="G30" s="10"/>
      <c r="H30" s="10"/>
      <c r="I30" s="10"/>
      <c r="J30" s="10"/>
    </row>
    <row r="31" ht="22" customHeight="1"/>
    <row r="32" ht="24" customHeight="1" spans="2:10">
      <c r="B32" s="11" t="s">
        <v>343</v>
      </c>
    </row>
    <row r="33" ht="22" customHeight="1" spans="2:6">
      <c r="B33" s="40" t="s">
        <v>344</v>
      </c>
      <c r="F33" s="37" t="s">
        <v>129</v>
      </c>
    </row>
    <row r="34" ht="22" customHeight="1" spans="2:6">
      <c r="B34" s="38" t="s">
        <v>345</v>
      </c>
      <c r="F34" s="39">
        <f>COUNTIF(I5:I29,"Y")</f>
        <v>0</v>
      </c>
    </row>
    <row r="35" ht="22" customHeight="1" spans="2:6">
      <c r="B35" s="40" t="s">
        <v>346</v>
      </c>
      <c r="F35" s="37">
        <f>IFERROR(C33-C34,"")</f>
        <v>0</v>
      </c>
    </row>
    <row r="36" ht="22" customHeight="1" spans="2:6">
      <c r="B36" s="38" t="s">
        <v>347</v>
      </c>
      <c r="F36" s="39">
        <f>COUNTIF(I5:I29,"Y")</f>
        <v>0</v>
      </c>
    </row>
    <row r="37" ht="22" customHeight="1" spans="2:6">
      <c r="B37" s="40" t="s">
        <v>348</v>
      </c>
      <c r="F37" s="37" t="str">
        <f>IFERROR(ROUND(C34/C33*100,1),"")</f>
        <v/>
      </c>
    </row>
    <row r="38" ht="22" customHeight="1"/>
    <row r="39" ht="22" customHeight="1"/>
  </sheetData>
  <mergeCells count="13">
    <mergeCell ref="B2:J2"/>
    <mergeCell ref="B3:J3"/>
    <mergeCell ref="B32:J32"/>
    <mergeCell ref="B33:E33"/>
    <mergeCell ref="F33:J33"/>
    <mergeCell ref="B34:E34"/>
    <mergeCell ref="F34:J34"/>
    <mergeCell ref="B35:E35"/>
    <mergeCell ref="F35:J35"/>
    <mergeCell ref="B36:E36"/>
    <mergeCell ref="F36:J36"/>
    <mergeCell ref="B37:E37"/>
    <mergeCell ref="F37:J3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5"/>
  <sheetViews>
    <sheetView showGridLines="0" topLeftCell="A4" workbookViewId="0">
      <selection activeCell="A1" sqref="A1:I18"/>
    </sheetView>
  </sheetViews>
  <sheetFormatPr defaultColWidth="9" defaultRowHeight="14.4"/>
  <cols>
    <col min="1" max="1" width="3" customWidth="1"/>
    <col min="2" max="2" width="8" customWidth="1"/>
    <col min="3" max="3" width="28" customWidth="1"/>
    <col min="4" max="4" width="16" customWidth="1"/>
    <col min="5" max="5" width="14" customWidth="1"/>
    <col min="6" max="7" width="12" customWidth="1"/>
    <col min="8" max="9" width="14" customWidth="1"/>
    <col min="10" max="10" width="3" customWidth="1"/>
  </cols>
  <sheetData>
    <row r="1" ht="10" customHeight="1"/>
    <row r="2" ht="48" customHeight="1" spans="2:9">
      <c r="B2" s="1" t="s">
        <v>349</v>
      </c>
    </row>
    <row r="3" ht="25" customHeight="1" spans="2:9">
      <c r="B3" s="2" t="s">
        <v>350</v>
      </c>
    </row>
    <row r="4" ht="25" customHeight="1" spans="2:9">
      <c r="B4" s="4" t="s">
        <v>121</v>
      </c>
      <c r="C4" s="4" t="s">
        <v>351</v>
      </c>
      <c r="D4" s="4" t="s">
        <v>352</v>
      </c>
      <c r="E4" s="4" t="s">
        <v>353</v>
      </c>
      <c r="F4" s="4" t="s">
        <v>354</v>
      </c>
      <c r="G4" s="4" t="s">
        <v>355</v>
      </c>
      <c r="H4" s="4" t="s">
        <v>356</v>
      </c>
      <c r="I4" s="4" t="s">
        <v>357</v>
      </c>
    </row>
    <row r="5" ht="22" customHeight="1" spans="2:9">
      <c r="B5" s="5">
        <v>1</v>
      </c>
      <c r="C5" s="6" t="s">
        <v>358</v>
      </c>
      <c r="D5" s="7" t="s">
        <v>359</v>
      </c>
      <c r="E5" s="7" t="s">
        <v>359</v>
      </c>
      <c r="F5" s="7" t="s">
        <v>359</v>
      </c>
      <c r="G5" s="7" t="s">
        <v>359</v>
      </c>
      <c r="H5" s="7" t="s">
        <v>129</v>
      </c>
      <c r="I5" s="6" t="s">
        <v>129</v>
      </c>
    </row>
    <row r="6" ht="22" customHeight="1" spans="2:9">
      <c r="B6" s="8">
        <v>2</v>
      </c>
      <c r="C6" s="9" t="s">
        <v>360</v>
      </c>
      <c r="D6" s="10" t="s">
        <v>359</v>
      </c>
      <c r="E6" s="10" t="s">
        <v>359</v>
      </c>
      <c r="F6" s="10" t="s">
        <v>359</v>
      </c>
      <c r="G6" s="10" t="s">
        <v>359</v>
      </c>
      <c r="H6" s="10" t="s">
        <v>129</v>
      </c>
      <c r="I6" s="9" t="s">
        <v>129</v>
      </c>
    </row>
    <row r="7" ht="22" customHeight="1" spans="2:9">
      <c r="B7" s="5">
        <v>3</v>
      </c>
      <c r="C7" s="6" t="s">
        <v>361</v>
      </c>
      <c r="D7" s="7" t="s">
        <v>359</v>
      </c>
      <c r="E7" s="7" t="s">
        <v>359</v>
      </c>
      <c r="F7" s="7" t="s">
        <v>359</v>
      </c>
      <c r="G7" s="7" t="s">
        <v>359</v>
      </c>
      <c r="H7" s="7" t="s">
        <v>129</v>
      </c>
      <c r="I7" s="6" t="s">
        <v>129</v>
      </c>
    </row>
    <row r="8" ht="22" customHeight="1" spans="2:9">
      <c r="B8" s="8">
        <v>4</v>
      </c>
      <c r="C8" s="9" t="s">
        <v>362</v>
      </c>
      <c r="D8" s="10" t="s">
        <v>359</v>
      </c>
      <c r="E8" s="10" t="s">
        <v>359</v>
      </c>
      <c r="F8" s="10" t="s">
        <v>359</v>
      </c>
      <c r="G8" s="10" t="s">
        <v>359</v>
      </c>
      <c r="H8" s="10" t="s">
        <v>129</v>
      </c>
      <c r="I8" s="9" t="s">
        <v>129</v>
      </c>
    </row>
    <row r="9" ht="22" customHeight="1" spans="2:9">
      <c r="B9" s="5">
        <v>5</v>
      </c>
      <c r="C9" s="6" t="s">
        <v>363</v>
      </c>
      <c r="D9" s="7" t="s">
        <v>359</v>
      </c>
      <c r="E9" s="7" t="s">
        <v>359</v>
      </c>
      <c r="F9" s="7" t="s">
        <v>359</v>
      </c>
      <c r="G9" s="7" t="s">
        <v>359</v>
      </c>
      <c r="H9" s="7" t="s">
        <v>129</v>
      </c>
      <c r="I9" s="6" t="s">
        <v>129</v>
      </c>
    </row>
    <row r="10" ht="22" customHeight="1" spans="2:9">
      <c r="B10" s="8">
        <v>6</v>
      </c>
      <c r="C10" s="9" t="s">
        <v>364</v>
      </c>
      <c r="D10" s="10" t="s">
        <v>359</v>
      </c>
      <c r="E10" s="10" t="s">
        <v>359</v>
      </c>
      <c r="F10" s="10" t="s">
        <v>359</v>
      </c>
      <c r="G10" s="10" t="s">
        <v>359</v>
      </c>
      <c r="H10" s="10" t="s">
        <v>129</v>
      </c>
      <c r="I10" s="9" t="s">
        <v>129</v>
      </c>
    </row>
    <row r="11" ht="22" customHeight="1" spans="2:9">
      <c r="B11" s="5">
        <v>7</v>
      </c>
      <c r="C11" s="6" t="s">
        <v>365</v>
      </c>
      <c r="D11" s="7" t="s">
        <v>359</v>
      </c>
      <c r="E11" s="7" t="s">
        <v>359</v>
      </c>
      <c r="F11" s="7" t="s">
        <v>359</v>
      </c>
      <c r="G11" s="7" t="s">
        <v>359</v>
      </c>
      <c r="H11" s="7" t="s">
        <v>129</v>
      </c>
      <c r="I11" s="6" t="s">
        <v>129</v>
      </c>
    </row>
    <row r="12" ht="22" customHeight="1" spans="2:9">
      <c r="B12" s="8">
        <v>8</v>
      </c>
      <c r="C12" s="9" t="s">
        <v>366</v>
      </c>
      <c r="D12" s="10" t="s">
        <v>359</v>
      </c>
      <c r="E12" s="10" t="s">
        <v>359</v>
      </c>
      <c r="F12" s="10" t="s">
        <v>359</v>
      </c>
      <c r="G12" s="10" t="s">
        <v>359</v>
      </c>
      <c r="H12" s="10" t="s">
        <v>129</v>
      </c>
      <c r="I12" s="9" t="s">
        <v>129</v>
      </c>
    </row>
    <row r="13" ht="22" customHeight="1" spans="2:9">
      <c r="B13" s="5">
        <v>9</v>
      </c>
      <c r="C13" s="6" t="s">
        <v>367</v>
      </c>
      <c r="D13" s="7" t="s">
        <v>359</v>
      </c>
      <c r="E13" s="7" t="s">
        <v>359</v>
      </c>
      <c r="F13" s="7" t="s">
        <v>359</v>
      </c>
      <c r="G13" s="7" t="s">
        <v>359</v>
      </c>
      <c r="H13" s="7" t="s">
        <v>129</v>
      </c>
      <c r="I13" s="6" t="s">
        <v>129</v>
      </c>
    </row>
    <row r="14" ht="22" customHeight="1" spans="2:9">
      <c r="B14" s="8">
        <v>10</v>
      </c>
      <c r="C14" s="9" t="s">
        <v>368</v>
      </c>
      <c r="D14" s="10" t="s">
        <v>359</v>
      </c>
      <c r="E14" s="10" t="s">
        <v>359</v>
      </c>
      <c r="F14" s="10" t="s">
        <v>359</v>
      </c>
      <c r="G14" s="10" t="s">
        <v>359</v>
      </c>
      <c r="H14" s="10" t="s">
        <v>129</v>
      </c>
      <c r="I14" s="9" t="s">
        <v>129</v>
      </c>
    </row>
    <row r="15" ht="22" customHeight="1" spans="2:9">
      <c r="B15" s="5">
        <v>11</v>
      </c>
      <c r="C15" s="6" t="s">
        <v>369</v>
      </c>
      <c r="D15" s="7" t="s">
        <v>359</v>
      </c>
      <c r="E15" s="7" t="s">
        <v>359</v>
      </c>
      <c r="F15" s="7" t="s">
        <v>359</v>
      </c>
      <c r="G15" s="7" t="s">
        <v>359</v>
      </c>
      <c r="H15" s="7" t="s">
        <v>129</v>
      </c>
      <c r="I15" s="6" t="s">
        <v>129</v>
      </c>
    </row>
    <row r="16" ht="22" customHeight="1" spans="2:9">
      <c r="B16" s="8">
        <v>12</v>
      </c>
      <c r="C16" s="9" t="s">
        <v>370</v>
      </c>
      <c r="D16" s="10" t="s">
        <v>359</v>
      </c>
      <c r="E16" s="10" t="s">
        <v>359</v>
      </c>
      <c r="F16" s="10" t="s">
        <v>359</v>
      </c>
      <c r="G16" s="10" t="s">
        <v>359</v>
      </c>
      <c r="H16" s="10" t="s">
        <v>129</v>
      </c>
      <c r="I16" s="9" t="s">
        <v>129</v>
      </c>
    </row>
    <row r="17" ht="22" customHeight="1"/>
    <row r="18" ht="20" customHeight="1" spans="2:2">
      <c r="B18" s="31" t="s">
        <v>371</v>
      </c>
    </row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</sheetData>
  <mergeCells count="3">
    <mergeCell ref="B2:I2"/>
    <mergeCell ref="B3:I3"/>
    <mergeCell ref="B18:I1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54"/>
  <sheetViews>
    <sheetView showGridLines="0" tabSelected="1" topLeftCell="A42" workbookViewId="0">
      <selection activeCell="A1" sqref="A1:F54"/>
    </sheetView>
  </sheetViews>
  <sheetFormatPr defaultColWidth="9" defaultRowHeight="14.4" outlineLevelCol="5"/>
  <cols>
    <col min="1" max="1" width="3" customWidth="1"/>
    <col min="2" max="2" width="8" customWidth="1"/>
    <col min="3" max="3" width="32" customWidth="1"/>
    <col min="4" max="6" width="18" customWidth="1"/>
    <col min="7" max="7" width="3" customWidth="1"/>
  </cols>
  <sheetData>
    <row r="1" ht="10" customHeight="1"/>
    <row r="2" ht="52" customHeight="1" spans="2:3">
      <c r="B2" s="34" t="s">
        <v>372</v>
      </c>
    </row>
    <row r="3" ht="20" customHeight="1" spans="2:3">
      <c r="B3" s="35" t="s">
        <v>2</v>
      </c>
    </row>
    <row r="4" ht="25" customHeight="1" spans="2:3">
      <c r="B4" s="2" t="s">
        <v>373</v>
      </c>
    </row>
    <row r="5" ht="24" customHeight="1" spans="2:3">
      <c r="B5" s="21" t="s">
        <v>374</v>
      </c>
    </row>
    <row r="6" ht="30" customHeight="1" spans="2:3">
      <c r="B6" s="59" t="s">
        <v>375</v>
      </c>
      <c r="C6" s="9"/>
    </row>
    <row r="7" ht="30" customHeight="1" spans="2:3">
      <c r="B7" s="59" t="s">
        <v>376</v>
      </c>
      <c r="C7" s="9"/>
    </row>
    <row r="8" ht="30" customHeight="1" spans="2:3">
      <c r="B8" s="59" t="s">
        <v>377</v>
      </c>
      <c r="C8" s="9"/>
    </row>
    <row r="9" ht="30" customHeight="1" spans="2:3">
      <c r="B9" s="59" t="s">
        <v>378</v>
      </c>
      <c r="C9" s="9"/>
    </row>
    <row r="10" ht="30" customHeight="1" spans="2:3">
      <c r="B10" s="59" t="s">
        <v>379</v>
      </c>
      <c r="C10" s="9"/>
    </row>
    <row r="11" ht="30" customHeight="1" spans="2:3">
      <c r="B11" s="59" t="s">
        <v>380</v>
      </c>
      <c r="C11" s="50" t="s">
        <v>381</v>
      </c>
    </row>
    <row r="12" ht="30" customHeight="1" spans="2:3">
      <c r="B12" s="59" t="s">
        <v>382</v>
      </c>
      <c r="C12" s="9"/>
    </row>
    <row r="13" ht="30" customHeight="1" spans="2:3">
      <c r="B13" s="59" t="s">
        <v>383</v>
      </c>
      <c r="C13" s="9"/>
    </row>
    <row r="14" ht="30" customHeight="1" spans="2:3">
      <c r="B14" s="59" t="s">
        <v>384</v>
      </c>
      <c r="C14" s="50" t="s">
        <v>385</v>
      </c>
    </row>
    <row r="15" ht="30" customHeight="1" spans="2:3">
      <c r="B15" s="59" t="s">
        <v>386</v>
      </c>
      <c r="C15" s="9"/>
    </row>
    <row r="16" ht="32" customHeight="1"/>
    <row r="17" ht="24" customHeight="1" spans="2:3">
      <c r="B17" s="54" t="s">
        <v>387</v>
      </c>
    </row>
    <row r="18" ht="30" customHeight="1" spans="2:3">
      <c r="B18" s="55" t="s">
        <v>388</v>
      </c>
      <c r="C18" s="9"/>
    </row>
    <row r="19" ht="30" customHeight="1" spans="2:3">
      <c r="B19" s="55" t="s">
        <v>389</v>
      </c>
      <c r="C19" s="9"/>
    </row>
    <row r="20" ht="30" customHeight="1" spans="2:3">
      <c r="B20" s="55" t="s">
        <v>390</v>
      </c>
      <c r="C20" s="9"/>
    </row>
    <row r="21" ht="30" customHeight="1" spans="2:3">
      <c r="B21" s="55" t="s">
        <v>391</v>
      </c>
      <c r="C21" s="50" t="s">
        <v>392</v>
      </c>
    </row>
    <row r="22" ht="32" customHeight="1"/>
    <row r="23" ht="24" customHeight="1" spans="2:3">
      <c r="B23" s="21" t="s">
        <v>393</v>
      </c>
    </row>
    <row r="24" ht="32" customHeight="1" spans="2:3">
      <c r="B24" s="59" t="s">
        <v>394</v>
      </c>
      <c r="C24" s="9"/>
    </row>
    <row r="25" ht="32" customHeight="1" spans="2:3">
      <c r="B25" s="59" t="s">
        <v>395</v>
      </c>
      <c r="C25" s="9"/>
    </row>
    <row r="26" ht="32" customHeight="1" spans="2:3">
      <c r="B26" s="59" t="s">
        <v>396</v>
      </c>
      <c r="C26" s="9"/>
    </row>
    <row r="27" ht="32" customHeight="1" spans="2:3">
      <c r="B27" s="59" t="s">
        <v>397</v>
      </c>
      <c r="C27" s="50" t="s">
        <v>398</v>
      </c>
    </row>
    <row r="28" ht="32" customHeight="1" spans="2:3">
      <c r="B28" s="59" t="s">
        <v>399</v>
      </c>
      <c r="C28" s="50" t="s">
        <v>400</v>
      </c>
    </row>
    <row r="29" ht="32" customHeight="1" spans="2:3">
      <c r="B29" s="59" t="s">
        <v>401</v>
      </c>
      <c r="C29" s="50" t="s">
        <v>402</v>
      </c>
    </row>
    <row r="30" ht="32" customHeight="1" spans="2:3">
      <c r="B30" s="59" t="s">
        <v>403</v>
      </c>
      <c r="C30" s="50" t="s">
        <v>404</v>
      </c>
    </row>
    <row r="31" ht="32" customHeight="1" spans="2:3">
      <c r="B31" s="59" t="s">
        <v>405</v>
      </c>
      <c r="C31" s="50" t="s">
        <v>406</v>
      </c>
    </row>
    <row r="32" ht="32" customHeight="1" spans="2:3">
      <c r="B32" s="59" t="s">
        <v>407</v>
      </c>
      <c r="C32" s="50" t="s">
        <v>408</v>
      </c>
    </row>
    <row r="33" ht="32" customHeight="1"/>
    <row r="34" ht="24" customHeight="1" spans="2:2">
      <c r="B34" s="3" t="s">
        <v>409</v>
      </c>
    </row>
    <row r="35" ht="200" customHeight="1" spans="2:2">
      <c r="B35" s="62" t="s">
        <v>410</v>
      </c>
    </row>
    <row r="36" ht="32" customHeight="1"/>
    <row r="37" ht="32" customHeight="1"/>
    <row r="38" ht="32" customHeight="1"/>
    <row r="39" ht="32" customHeight="1"/>
    <row r="40" ht="32" customHeight="1"/>
    <row r="41" ht="32" customHeight="1"/>
    <row r="42" ht="32" customHeight="1"/>
    <row r="43" ht="32" customHeight="1"/>
    <row r="44" ht="24" customHeight="1" spans="2:2">
      <c r="B44" s="16" t="s">
        <v>411</v>
      </c>
    </row>
    <row r="45" ht="24" customHeight="1" spans="2:2">
      <c r="B45" s="51" t="s">
        <v>412</v>
      </c>
    </row>
    <row r="46" ht="24" customHeight="1" spans="2:2">
      <c r="B46" s="52" t="s">
        <v>413</v>
      </c>
    </row>
    <row r="47" ht="24" customHeight="1" spans="2:2">
      <c r="B47" s="51" t="s">
        <v>414</v>
      </c>
    </row>
    <row r="48" ht="24" customHeight="1" spans="2:2">
      <c r="B48" s="52" t="s">
        <v>415</v>
      </c>
    </row>
    <row r="49" ht="24" customHeight="1" spans="2:2">
      <c r="B49" s="51" t="s">
        <v>416</v>
      </c>
    </row>
    <row r="50" ht="24" customHeight="1" spans="2:2">
      <c r="B50" s="52" t="s">
        <v>417</v>
      </c>
    </row>
    <row r="51" ht="24" customHeight="1" spans="2:2">
      <c r="B51" s="51" t="s">
        <v>418</v>
      </c>
    </row>
    <row r="52" ht="32" customHeight="1"/>
    <row r="53" ht="32" customHeight="1" spans="2:2">
      <c r="B53" s="62" t="s">
        <v>419</v>
      </c>
    </row>
    <row r="54" ht="32" customHeight="1" spans="2:2">
      <c r="B54" s="33" t="s">
        <v>420</v>
      </c>
    </row>
  </sheetData>
  <mergeCells count="41">
    <mergeCell ref="B2:F2"/>
    <mergeCell ref="B3:F3"/>
    <mergeCell ref="B4:F4"/>
    <mergeCell ref="B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B17:F17"/>
    <mergeCell ref="C18:F18"/>
    <mergeCell ref="C19:F19"/>
    <mergeCell ref="C20:F20"/>
    <mergeCell ref="C21:F21"/>
    <mergeCell ref="B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B34:F34"/>
    <mergeCell ref="B44:F44"/>
    <mergeCell ref="B45:F45"/>
    <mergeCell ref="B46:F46"/>
    <mergeCell ref="B47:F47"/>
    <mergeCell ref="B48:F48"/>
    <mergeCell ref="B49:F49"/>
    <mergeCell ref="B50:F50"/>
    <mergeCell ref="B51:F51"/>
    <mergeCell ref="B53:F53"/>
    <mergeCell ref="B54:F54"/>
    <mergeCell ref="B35:F4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5"/>
  <sheetViews>
    <sheetView showGridLines="0" workbookViewId="0">
      <selection activeCell="A1" sqref="A1"/>
    </sheetView>
  </sheetViews>
  <sheetFormatPr defaultColWidth="9" defaultRowHeight="14.4" outlineLevelCol="4"/>
  <cols>
    <col min="1" max="1" width="3" customWidth="1"/>
    <col min="2" max="2" width="8" customWidth="1"/>
    <col min="3" max="3" width="34" customWidth="1"/>
    <col min="4" max="5" width="20" customWidth="1"/>
    <col min="6" max="6" width="3" customWidth="1"/>
  </cols>
  <sheetData>
    <row r="1" ht="10" customHeight="1"/>
    <row r="2" ht="52" customHeight="1" spans="2:3">
      <c r="B2" s="34" t="s">
        <v>421</v>
      </c>
    </row>
    <row r="3" ht="20" customHeight="1" spans="2:3">
      <c r="B3" s="35" t="s">
        <v>2</v>
      </c>
    </row>
    <row r="4" ht="25" customHeight="1" spans="2:3">
      <c r="B4" s="2" t="s">
        <v>422</v>
      </c>
    </row>
    <row r="5" ht="24" customHeight="1" spans="2:3">
      <c r="B5" s="3" t="s">
        <v>423</v>
      </c>
    </row>
    <row r="6" ht="30" customHeight="1" spans="2:3">
      <c r="B6" s="49" t="s">
        <v>424</v>
      </c>
      <c r="C6" s="9"/>
    </row>
    <row r="7" ht="30" customHeight="1" spans="2:3">
      <c r="B7" s="49" t="s">
        <v>425</v>
      </c>
      <c r="C7" s="9"/>
    </row>
    <row r="8" ht="30" customHeight="1" spans="2:3">
      <c r="B8" s="49" t="s">
        <v>426</v>
      </c>
      <c r="C8" s="50" t="s">
        <v>427</v>
      </c>
    </row>
    <row r="9" ht="30" customHeight="1" spans="2:3">
      <c r="B9" s="49" t="s">
        <v>428</v>
      </c>
      <c r="C9" s="50" t="s">
        <v>429</v>
      </c>
    </row>
    <row r="10" ht="30" customHeight="1" spans="2:3">
      <c r="B10" s="49" t="s">
        <v>430</v>
      </c>
      <c r="C10" s="9"/>
    </row>
    <row r="11" ht="30" customHeight="1" spans="2:3">
      <c r="B11" s="49" t="s">
        <v>431</v>
      </c>
      <c r="C11" s="9"/>
    </row>
    <row r="12" ht="30" customHeight="1"/>
    <row r="13" ht="24" customHeight="1" spans="2:3">
      <c r="B13" s="21" t="s">
        <v>432</v>
      </c>
    </row>
    <row r="14" ht="30" customHeight="1" spans="2:3">
      <c r="B14" s="59" t="s">
        <v>433</v>
      </c>
      <c r="C14" s="50" t="s">
        <v>434</v>
      </c>
    </row>
    <row r="15" ht="30" customHeight="1" spans="2:3">
      <c r="B15" s="59" t="s">
        <v>435</v>
      </c>
      <c r="C15" s="50" t="s">
        <v>436</v>
      </c>
    </row>
    <row r="16" ht="30" customHeight="1" spans="2:3">
      <c r="B16" s="59" t="s">
        <v>437</v>
      </c>
      <c r="C16" s="9"/>
    </row>
    <row r="17" ht="30" customHeight="1" spans="2:5">
      <c r="B17" s="59" t="s">
        <v>438</v>
      </c>
      <c r="C17" s="9"/>
    </row>
    <row r="18" ht="30" customHeight="1" spans="2:5">
      <c r="B18" s="59" t="s">
        <v>439</v>
      </c>
      <c r="C18" s="9"/>
    </row>
    <row r="19" ht="30" customHeight="1" spans="2:5">
      <c r="B19" s="59" t="s">
        <v>440</v>
      </c>
      <c r="C19" s="50" t="s">
        <v>441</v>
      </c>
    </row>
    <row r="20" ht="30" customHeight="1" spans="2:5">
      <c r="B20" s="59" t="s">
        <v>442</v>
      </c>
      <c r="C20" s="50" t="s">
        <v>443</v>
      </c>
    </row>
    <row r="21" ht="30" customHeight="1" spans="2:5">
      <c r="B21" s="59" t="s">
        <v>444</v>
      </c>
      <c r="C21" s="9"/>
    </row>
    <row r="22" ht="30" customHeight="1"/>
    <row r="23" ht="24" customHeight="1" spans="2:5">
      <c r="B23" s="16" t="s">
        <v>445</v>
      </c>
    </row>
    <row r="24" ht="28" customHeight="1" spans="2:5">
      <c r="B24" s="47" t="s">
        <v>446</v>
      </c>
      <c r="C24" s="19"/>
      <c r="E24" s="64" t="s">
        <v>129</v>
      </c>
    </row>
    <row r="25" ht="28" customHeight="1" spans="2:5">
      <c r="B25" s="48" t="s">
        <v>447</v>
      </c>
      <c r="C25" s="9"/>
      <c r="E25" s="50" t="s">
        <v>129</v>
      </c>
    </row>
    <row r="26" ht="28" customHeight="1" spans="2:5">
      <c r="B26" s="47" t="s">
        <v>448</v>
      </c>
      <c r="C26" s="19"/>
      <c r="E26" s="64" t="s">
        <v>129</v>
      </c>
    </row>
    <row r="27" ht="28" customHeight="1" spans="2:5">
      <c r="B27" s="48" t="s">
        <v>449</v>
      </c>
      <c r="C27" s="9"/>
      <c r="E27" s="50" t="s">
        <v>450</v>
      </c>
    </row>
    <row r="28" ht="28" customHeight="1" spans="2:5">
      <c r="B28" s="47" t="s">
        <v>451</v>
      </c>
      <c r="C28" s="19"/>
      <c r="E28" s="64" t="s">
        <v>452</v>
      </c>
    </row>
    <row r="29" ht="28" customHeight="1" spans="2:5">
      <c r="B29" s="48" t="s">
        <v>453</v>
      </c>
      <c r="C29" s="9"/>
      <c r="E29" s="50" t="s">
        <v>454</v>
      </c>
    </row>
    <row r="30" ht="30" customHeight="1"/>
    <row r="31" ht="30" customHeight="1"/>
    <row r="32" ht="30" customHeight="1"/>
    <row r="33" ht="30" customHeight="1"/>
    <row r="34" ht="30" customHeight="1"/>
    <row r="35" ht="30" customHeight="1"/>
  </sheetData>
  <mergeCells count="26">
    <mergeCell ref="B2:E2"/>
    <mergeCell ref="B3:E3"/>
    <mergeCell ref="B4:E4"/>
    <mergeCell ref="B5:E5"/>
    <mergeCell ref="C6:E6"/>
    <mergeCell ref="C7:E7"/>
    <mergeCell ref="C8:E8"/>
    <mergeCell ref="C9:E9"/>
    <mergeCell ref="C10:E10"/>
    <mergeCell ref="C11:E11"/>
    <mergeCell ref="B13:E13"/>
    <mergeCell ref="C14:E14"/>
    <mergeCell ref="C15:E15"/>
    <mergeCell ref="C16:E16"/>
    <mergeCell ref="C17:E17"/>
    <mergeCell ref="C18:E18"/>
    <mergeCell ref="C19:E19"/>
    <mergeCell ref="C20:E20"/>
    <mergeCell ref="C21:E21"/>
    <mergeCell ref="B23:E23"/>
    <mergeCell ref="C24:D24"/>
    <mergeCell ref="C25:D25"/>
    <mergeCell ref="C26:D26"/>
    <mergeCell ref="C27:D27"/>
    <mergeCell ref="C28:D28"/>
    <mergeCell ref="C29:D2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9"/>
  <sheetViews>
    <sheetView showGridLines="0" workbookViewId="0">
      <selection activeCell="A1" sqref="A1"/>
    </sheetView>
  </sheetViews>
  <sheetFormatPr defaultColWidth="9" defaultRowHeight="14.4" outlineLevelCol="4"/>
  <cols>
    <col min="1" max="1" width="3" customWidth="1"/>
    <col min="2" max="2" width="8" customWidth="1"/>
    <col min="3" max="3" width="34" customWidth="1"/>
    <col min="4" max="5" width="18" customWidth="1"/>
    <col min="6" max="6" width="3" customWidth="1"/>
  </cols>
  <sheetData>
    <row r="1" ht="10" customHeight="1"/>
    <row r="2" ht="52" customHeight="1" spans="2:3">
      <c r="B2" s="34" t="s">
        <v>455</v>
      </c>
    </row>
    <row r="3" ht="20" customHeight="1" spans="2:3">
      <c r="B3" s="35" t="s">
        <v>2</v>
      </c>
    </row>
    <row r="4" ht="20" customHeight="1" spans="2:3">
      <c r="B4" s="31" t="s">
        <v>456</v>
      </c>
    </row>
    <row r="5" ht="24" customHeight="1" spans="2:3">
      <c r="B5" s="3" t="s">
        <v>457</v>
      </c>
    </row>
    <row r="6" ht="30" customHeight="1" spans="2:3">
      <c r="B6" s="49" t="s">
        <v>458</v>
      </c>
      <c r="C6" s="9"/>
    </row>
    <row r="7" ht="30" customHeight="1" spans="2:3">
      <c r="B7" s="49" t="s">
        <v>459</v>
      </c>
      <c r="C7" s="9"/>
    </row>
    <row r="8" ht="30" customHeight="1" spans="2:3">
      <c r="B8" s="49" t="s">
        <v>460</v>
      </c>
      <c r="C8" s="9"/>
    </row>
    <row r="9" ht="30" customHeight="1" spans="2:3">
      <c r="B9" s="49" t="s">
        <v>461</v>
      </c>
      <c r="C9" s="50" t="s">
        <v>462</v>
      </c>
    </row>
    <row r="10" ht="30" customHeight="1" spans="2:3">
      <c r="B10" s="49" t="s">
        <v>463</v>
      </c>
      <c r="C10" s="9"/>
    </row>
    <row r="11" ht="30" customHeight="1" spans="2:3">
      <c r="B11" s="49" t="s">
        <v>464</v>
      </c>
      <c r="C11" s="9"/>
    </row>
    <row r="12" ht="30" customHeight="1" spans="2:3">
      <c r="B12" s="49" t="s">
        <v>465</v>
      </c>
      <c r="C12" s="9"/>
    </row>
    <row r="13" ht="30" customHeight="1" spans="2:3">
      <c r="B13" s="49" t="s">
        <v>466</v>
      </c>
      <c r="C13" s="9"/>
    </row>
    <row r="14" ht="30" customHeight="1"/>
    <row r="15" ht="24" customHeight="1" spans="2:3">
      <c r="B15" s="11" t="s">
        <v>467</v>
      </c>
    </row>
    <row r="16" ht="32" customHeight="1" spans="2:3">
      <c r="B16" s="57" t="s">
        <v>468</v>
      </c>
      <c r="C16" s="50" t="s">
        <v>469</v>
      </c>
    </row>
    <row r="17" ht="32" customHeight="1" spans="2:3">
      <c r="B17" s="57" t="s">
        <v>470</v>
      </c>
      <c r="C17" s="50" t="s">
        <v>471</v>
      </c>
    </row>
    <row r="18" ht="32" customHeight="1" spans="2:3">
      <c r="B18" s="57" t="s">
        <v>472</v>
      </c>
      <c r="C18" s="50" t="s">
        <v>473</v>
      </c>
    </row>
    <row r="19" ht="32" customHeight="1" spans="2:3">
      <c r="B19" s="57" t="s">
        <v>474</v>
      </c>
      <c r="C19" s="50" t="s">
        <v>475</v>
      </c>
    </row>
    <row r="20" ht="32" customHeight="1" spans="2:3">
      <c r="B20" s="57" t="s">
        <v>476</v>
      </c>
      <c r="C20" s="50" t="s">
        <v>477</v>
      </c>
    </row>
    <row r="21" ht="30" customHeight="1"/>
    <row r="22" ht="20" customHeight="1" spans="2:3">
      <c r="B22" s="31" t="s">
        <v>478</v>
      </c>
    </row>
    <row r="23" ht="30" customHeight="1" spans="2:3">
      <c r="B23" s="33" t="s">
        <v>479</v>
      </c>
    </row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20">
    <mergeCell ref="B2:E2"/>
    <mergeCell ref="B3:E3"/>
    <mergeCell ref="B4:E4"/>
    <mergeCell ref="B5:E5"/>
    <mergeCell ref="C6:E6"/>
    <mergeCell ref="C7:E7"/>
    <mergeCell ref="C8:E8"/>
    <mergeCell ref="C9:E9"/>
    <mergeCell ref="C10:E10"/>
    <mergeCell ref="C11:E11"/>
    <mergeCell ref="C12:E12"/>
    <mergeCell ref="C13:E13"/>
    <mergeCell ref="B15:E15"/>
    <mergeCell ref="C16:E16"/>
    <mergeCell ref="C17:E17"/>
    <mergeCell ref="C18:E18"/>
    <mergeCell ref="C19:E19"/>
    <mergeCell ref="C20:E20"/>
    <mergeCell ref="B22:E22"/>
    <mergeCell ref="B23:E2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9"/>
  <sheetViews>
    <sheetView showGridLines="0" workbookViewId="0">
      <selection activeCell="A1" sqref="A1"/>
    </sheetView>
  </sheetViews>
  <sheetFormatPr defaultColWidth="9" defaultRowHeight="14.4" outlineLevelCol="5"/>
  <cols>
    <col min="1" max="1" width="3" customWidth="1"/>
    <col min="2" max="2" width="8" customWidth="1"/>
    <col min="3" max="3" width="30" customWidth="1"/>
    <col min="4" max="6" width="18" customWidth="1"/>
    <col min="7" max="7" width="3" customWidth="1"/>
  </cols>
  <sheetData>
    <row r="1" ht="10" customHeight="1"/>
    <row r="2" ht="52" customHeight="1" spans="2:6">
      <c r="B2" s="34" t="s">
        <v>480</v>
      </c>
    </row>
    <row r="3" ht="20" customHeight="1" spans="2:6">
      <c r="B3" s="35" t="s">
        <v>2</v>
      </c>
    </row>
    <row r="4" ht="25" customHeight="1" spans="2:6">
      <c r="B4" s="2" t="s">
        <v>481</v>
      </c>
    </row>
    <row r="5" ht="24" customHeight="1" spans="2:6">
      <c r="B5" s="3" t="s">
        <v>482</v>
      </c>
    </row>
    <row r="6" ht="28" customHeight="1" spans="2:6">
      <c r="B6" s="4" t="s">
        <v>121</v>
      </c>
      <c r="C6" s="4" t="s">
        <v>122</v>
      </c>
      <c r="D6" s="4" t="s">
        <v>483</v>
      </c>
      <c r="E6" s="4" t="s">
        <v>484</v>
      </c>
      <c r="F6" s="4" t="s">
        <v>125</v>
      </c>
    </row>
    <row r="7" ht="28" customHeight="1" spans="2:6">
      <c r="B7" s="7">
        <v>1</v>
      </c>
      <c r="C7" s="6" t="s">
        <v>129</v>
      </c>
      <c r="D7" s="6" t="s">
        <v>129</v>
      </c>
      <c r="E7" s="5" t="s">
        <v>485</v>
      </c>
      <c r="F7" s="7" t="s">
        <v>129</v>
      </c>
    </row>
    <row r="8" ht="28" customHeight="1" spans="2:6">
      <c r="B8" s="10">
        <v>2</v>
      </c>
      <c r="C8" s="9" t="s">
        <v>129</v>
      </c>
      <c r="D8" s="9" t="s">
        <v>129</v>
      </c>
      <c r="E8" s="8" t="s">
        <v>486</v>
      </c>
      <c r="F8" s="10" t="s">
        <v>129</v>
      </c>
    </row>
    <row r="9" ht="28" customHeight="1" spans="2:6">
      <c r="B9" s="7">
        <v>3</v>
      </c>
      <c r="C9" s="6" t="s">
        <v>129</v>
      </c>
      <c r="D9" s="6" t="s">
        <v>129</v>
      </c>
      <c r="E9" s="5" t="s">
        <v>487</v>
      </c>
      <c r="F9" s="7" t="s">
        <v>129</v>
      </c>
    </row>
    <row r="10" ht="28" customHeight="1" spans="2:6">
      <c r="B10" s="10">
        <v>4</v>
      </c>
      <c r="C10" s="9" t="s">
        <v>129</v>
      </c>
      <c r="D10" s="9" t="s">
        <v>129</v>
      </c>
      <c r="E10" s="8" t="s">
        <v>488</v>
      </c>
      <c r="F10" s="10" t="s">
        <v>129</v>
      </c>
    </row>
    <row r="11" ht="28" customHeight="1"/>
    <row r="12" ht="24" customHeight="1" spans="2:6">
      <c r="B12" s="54" t="s">
        <v>489</v>
      </c>
    </row>
    <row r="13" ht="28" customHeight="1" spans="2:6">
      <c r="B13" s="55" t="s">
        <v>490</v>
      </c>
      <c r="C13" s="50" t="s">
        <v>427</v>
      </c>
    </row>
    <row r="14" ht="28" customHeight="1" spans="2:6">
      <c r="B14" s="55" t="s">
        <v>491</v>
      </c>
      <c r="C14" s="50" t="s">
        <v>492</v>
      </c>
    </row>
    <row r="15" ht="28" customHeight="1" spans="2:6">
      <c r="B15" s="55" t="s">
        <v>493</v>
      </c>
      <c r="C15" s="50" t="s">
        <v>494</v>
      </c>
    </row>
    <row r="16" ht="28" customHeight="1" spans="2:6">
      <c r="B16" s="55" t="s">
        <v>495</v>
      </c>
      <c r="C16" s="9"/>
    </row>
    <row r="17" ht="28" customHeight="1" spans="2:3">
      <c r="B17" s="55" t="s">
        <v>496</v>
      </c>
      <c r="C17" s="50" t="s">
        <v>497</v>
      </c>
    </row>
    <row r="18" ht="28" customHeight="1" spans="2:3">
      <c r="B18" s="55" t="s">
        <v>498</v>
      </c>
      <c r="C18" s="50" t="s">
        <v>499</v>
      </c>
    </row>
    <row r="19" ht="28" customHeight="1" spans="2:3">
      <c r="B19" s="55" t="s">
        <v>500</v>
      </c>
      <c r="C19" s="50" t="s">
        <v>501</v>
      </c>
    </row>
    <row r="20" ht="28" customHeight="1"/>
    <row r="21" ht="28" customHeight="1" spans="2:3">
      <c r="B21" s="63" t="s">
        <v>502</v>
      </c>
    </row>
    <row r="22" ht="28" customHeight="1" spans="2:3">
      <c r="B22" s="33" t="s">
        <v>503</v>
      </c>
    </row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</sheetData>
  <mergeCells count="14">
    <mergeCell ref="B2:F2"/>
    <mergeCell ref="B3:F3"/>
    <mergeCell ref="B4:F4"/>
    <mergeCell ref="B5:F5"/>
    <mergeCell ref="B12:F12"/>
    <mergeCell ref="C13:F13"/>
    <mergeCell ref="C14:F14"/>
    <mergeCell ref="C15:F15"/>
    <mergeCell ref="C16:F16"/>
    <mergeCell ref="C17:F17"/>
    <mergeCell ref="C18:F18"/>
    <mergeCell ref="C19:F19"/>
    <mergeCell ref="B21:F21"/>
    <mergeCell ref="B22:F2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3"/>
  <sheetViews>
    <sheetView showGridLines="0" workbookViewId="0">
      <selection activeCell="A1" sqref="A1"/>
    </sheetView>
  </sheetViews>
  <sheetFormatPr defaultColWidth="9" defaultRowHeight="14.4" outlineLevelCol="4"/>
  <cols>
    <col min="1" max="1" width="3" customWidth="1"/>
    <col min="2" max="2" width="8" customWidth="1"/>
    <col min="3" max="3" width="34" customWidth="1"/>
    <col min="4" max="5" width="18" customWidth="1"/>
    <col min="6" max="6" width="3" customWidth="1"/>
  </cols>
  <sheetData>
    <row r="1" ht="10" customHeight="1"/>
    <row r="2" ht="52" customHeight="1" spans="2:3">
      <c r="B2" s="34" t="s">
        <v>504</v>
      </c>
    </row>
    <row r="3" ht="20" customHeight="1" spans="2:3">
      <c r="B3" s="35" t="s">
        <v>2</v>
      </c>
    </row>
    <row r="4" ht="25" customHeight="1" spans="2:3">
      <c r="B4" s="2" t="s">
        <v>505</v>
      </c>
    </row>
    <row r="5" ht="24" customHeight="1" spans="2:3">
      <c r="B5" s="3" t="s">
        <v>506</v>
      </c>
    </row>
    <row r="6" ht="30" customHeight="1" spans="2:3">
      <c r="B6" s="49" t="s">
        <v>507</v>
      </c>
      <c r="C6" s="50" t="s">
        <v>508</v>
      </c>
    </row>
    <row r="7" ht="30" customHeight="1" spans="2:3">
      <c r="B7" s="49" t="s">
        <v>509</v>
      </c>
      <c r="C7" s="9"/>
    </row>
    <row r="8" ht="30" customHeight="1" spans="2:3">
      <c r="B8" s="49" t="s">
        <v>510</v>
      </c>
      <c r="C8" s="9"/>
    </row>
    <row r="9" ht="30" customHeight="1" spans="2:3">
      <c r="B9" s="49" t="s">
        <v>511</v>
      </c>
      <c r="C9" s="50" t="s">
        <v>512</v>
      </c>
    </row>
    <row r="10" ht="30" customHeight="1" spans="2:3">
      <c r="B10" s="49" t="s">
        <v>513</v>
      </c>
      <c r="C10" s="9"/>
    </row>
    <row r="11" ht="30" customHeight="1" spans="2:3">
      <c r="B11" s="49" t="s">
        <v>514</v>
      </c>
      <c r="C11" s="50" t="s">
        <v>515</v>
      </c>
    </row>
    <row r="12" ht="30" customHeight="1" spans="2:3">
      <c r="B12" s="49" t="s">
        <v>516</v>
      </c>
      <c r="C12" s="50" t="s">
        <v>517</v>
      </c>
    </row>
    <row r="13" ht="30" customHeight="1"/>
    <row r="14" ht="24" customHeight="1" spans="2:3">
      <c r="B14" s="54" t="s">
        <v>518</v>
      </c>
    </row>
    <row r="15" ht="30" customHeight="1" spans="2:3">
      <c r="B15" s="55" t="s">
        <v>519</v>
      </c>
      <c r="C15" s="9"/>
    </row>
    <row r="16" ht="30" customHeight="1" spans="2:3">
      <c r="B16" s="55" t="s">
        <v>520</v>
      </c>
      <c r="C16" s="50" t="s">
        <v>521</v>
      </c>
    </row>
    <row r="17" ht="30" customHeight="1" spans="2:3">
      <c r="B17" s="55" t="s">
        <v>522</v>
      </c>
      <c r="C17" s="9"/>
    </row>
    <row r="18" ht="30" customHeight="1" spans="2:3">
      <c r="B18" s="55" t="s">
        <v>523</v>
      </c>
      <c r="C18" s="9"/>
    </row>
    <row r="19" ht="30" customHeight="1" spans="2:3">
      <c r="B19" s="55" t="s">
        <v>524</v>
      </c>
      <c r="C19" s="9"/>
    </row>
    <row r="20" ht="30" customHeight="1" spans="2:3">
      <c r="B20" s="55" t="s">
        <v>525</v>
      </c>
      <c r="C20" s="50" t="s">
        <v>526</v>
      </c>
    </row>
    <row r="21" ht="30" customHeight="1" spans="2:3">
      <c r="B21" s="55" t="s">
        <v>527</v>
      </c>
      <c r="C21" s="50" t="s">
        <v>528</v>
      </c>
    </row>
    <row r="22" ht="30" customHeight="1"/>
    <row r="23" ht="20" customHeight="1" spans="2:3">
      <c r="B23" s="31" t="s">
        <v>529</v>
      </c>
    </row>
    <row r="24" ht="30" customHeight="1" spans="2:3">
      <c r="B24" s="33" t="s">
        <v>530</v>
      </c>
    </row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</sheetData>
  <mergeCells count="21">
    <mergeCell ref="B2:E2"/>
    <mergeCell ref="B3:E3"/>
    <mergeCell ref="B4:E4"/>
    <mergeCell ref="B5:E5"/>
    <mergeCell ref="C6:E6"/>
    <mergeCell ref="C7:E7"/>
    <mergeCell ref="C8:E8"/>
    <mergeCell ref="C9:E9"/>
    <mergeCell ref="C10:E10"/>
    <mergeCell ref="C11:E11"/>
    <mergeCell ref="C12:E12"/>
    <mergeCell ref="B14:E14"/>
    <mergeCell ref="C15:E15"/>
    <mergeCell ref="C16:E16"/>
    <mergeCell ref="C17:E17"/>
    <mergeCell ref="C18:E18"/>
    <mergeCell ref="C19:E19"/>
    <mergeCell ref="C20:E20"/>
    <mergeCell ref="C21:E21"/>
    <mergeCell ref="B23:E23"/>
    <mergeCell ref="B24:E24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9"/>
  <sheetViews>
    <sheetView showGridLines="0" workbookViewId="0">
      <selection activeCell="A1" sqref="A1"/>
    </sheetView>
  </sheetViews>
  <sheetFormatPr defaultColWidth="9" defaultRowHeight="14.4" outlineLevelCol="4"/>
  <cols>
    <col min="1" max="1" width="3" customWidth="1"/>
    <col min="2" max="2" width="8" customWidth="1"/>
    <col min="3" max="3" width="34" customWidth="1"/>
    <col min="4" max="5" width="20" customWidth="1"/>
    <col min="6" max="6" width="3" customWidth="1"/>
  </cols>
  <sheetData>
    <row r="1" ht="10" customHeight="1"/>
    <row r="2" ht="52" customHeight="1" spans="2:3">
      <c r="B2" s="34" t="s">
        <v>531</v>
      </c>
    </row>
    <row r="3" ht="20" customHeight="1" spans="2:3">
      <c r="B3" s="35" t="s">
        <v>2</v>
      </c>
    </row>
    <row r="4" ht="25" customHeight="1" spans="2:3">
      <c r="B4" s="2" t="s">
        <v>532</v>
      </c>
    </row>
    <row r="5" ht="24" customHeight="1" spans="2:3">
      <c r="B5" s="3" t="s">
        <v>533</v>
      </c>
    </row>
    <row r="6" ht="30" customHeight="1" spans="2:3">
      <c r="B6" s="49" t="s">
        <v>534</v>
      </c>
      <c r="C6" s="9"/>
    </row>
    <row r="7" ht="30" customHeight="1" spans="2:3">
      <c r="B7" s="49" t="s">
        <v>535</v>
      </c>
      <c r="C7" s="9"/>
    </row>
    <row r="8" ht="30" customHeight="1" spans="2:3">
      <c r="B8" s="49" t="s">
        <v>390</v>
      </c>
      <c r="C8" s="9"/>
    </row>
    <row r="9" ht="30" customHeight="1" spans="2:3">
      <c r="B9" s="49" t="s">
        <v>391</v>
      </c>
      <c r="C9" s="50" t="s">
        <v>536</v>
      </c>
    </row>
    <row r="10" ht="30" customHeight="1" spans="2:3">
      <c r="B10" s="49" t="s">
        <v>537</v>
      </c>
      <c r="C10" s="50" t="s">
        <v>536</v>
      </c>
    </row>
    <row r="11" ht="30" customHeight="1" spans="2:3">
      <c r="B11" s="49" t="s">
        <v>538</v>
      </c>
      <c r="C11" s="50" t="s">
        <v>473</v>
      </c>
    </row>
    <row r="12" ht="30" customHeight="1" spans="2:3">
      <c r="B12" s="49" t="s">
        <v>539</v>
      </c>
      <c r="C12" s="50" t="s">
        <v>540</v>
      </c>
    </row>
    <row r="13" ht="32" customHeight="1"/>
    <row r="14" ht="24" customHeight="1" spans="2:3">
      <c r="B14" s="54" t="s">
        <v>541</v>
      </c>
    </row>
    <row r="15" ht="250" customHeight="1" spans="2:3">
      <c r="B15" s="61" t="s">
        <v>542</v>
      </c>
    </row>
    <row r="16" ht="32" customHeight="1"/>
    <row r="17" ht="32" customHeight="1"/>
    <row r="18" ht="32" customHeight="1"/>
    <row r="19" ht="32" customHeight="1"/>
    <row r="20" ht="32" customHeight="1"/>
    <row r="21" ht="32" customHeight="1"/>
    <row r="22" ht="32" customHeight="1"/>
    <row r="23" ht="32" customHeight="1"/>
    <row r="24" ht="32" customHeight="1"/>
    <row r="25" ht="32" customHeight="1" spans="2:2">
      <c r="B25" s="62" t="s">
        <v>543</v>
      </c>
    </row>
    <row r="26" ht="32" customHeight="1" spans="2:2">
      <c r="B26" s="33" t="s">
        <v>544</v>
      </c>
    </row>
    <row r="27" ht="32" customHeight="1"/>
    <row r="28" ht="32" customHeight="1"/>
    <row r="29" ht="32" customHeight="1"/>
  </sheetData>
  <mergeCells count="15">
    <mergeCell ref="B2:E2"/>
    <mergeCell ref="B3:E3"/>
    <mergeCell ref="B4:E4"/>
    <mergeCell ref="B5:E5"/>
    <mergeCell ref="C6:E6"/>
    <mergeCell ref="C7:E7"/>
    <mergeCell ref="C8:E8"/>
    <mergeCell ref="C9:E9"/>
    <mergeCell ref="C10:E10"/>
    <mergeCell ref="C11:E11"/>
    <mergeCell ref="C12:E12"/>
    <mergeCell ref="B14:E14"/>
    <mergeCell ref="B25:E25"/>
    <mergeCell ref="B26:E26"/>
    <mergeCell ref="B15:E24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9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8" customWidth="1"/>
    <col min="3" max="3" width="28" customWidth="1"/>
    <col min="4" max="4" width="16" customWidth="1"/>
    <col min="5" max="5" width="14" customWidth="1"/>
    <col min="6" max="7" width="12" customWidth="1"/>
    <col min="8" max="9" width="14" customWidth="1"/>
    <col min="10" max="10" width="3" customWidth="1"/>
  </cols>
  <sheetData>
    <row r="1" ht="10" customHeight="1"/>
    <row r="2" ht="52" customHeight="1" spans="2:9">
      <c r="B2" s="34" t="s">
        <v>545</v>
      </c>
    </row>
    <row r="3" ht="20" customHeight="1" spans="2:9">
      <c r="B3" s="35" t="s">
        <v>2</v>
      </c>
    </row>
    <row r="4" ht="25" customHeight="1" spans="2:9">
      <c r="B4" s="2" t="s">
        <v>546</v>
      </c>
    </row>
    <row r="5" ht="22" customHeight="1" spans="2:9">
      <c r="B5" s="4" t="s">
        <v>547</v>
      </c>
      <c r="C5" s="4" t="s">
        <v>548</v>
      </c>
      <c r="D5" s="4" t="s">
        <v>549</v>
      </c>
      <c r="E5" s="4" t="s">
        <v>550</v>
      </c>
      <c r="F5" s="4" t="s">
        <v>551</v>
      </c>
      <c r="G5" s="4" t="s">
        <v>552</v>
      </c>
      <c r="H5" s="4" t="s">
        <v>553</v>
      </c>
      <c r="I5" s="4" t="s">
        <v>357</v>
      </c>
    </row>
    <row r="6" ht="22" customHeight="1" spans="2:9">
      <c r="B6" s="5" t="s">
        <v>554</v>
      </c>
      <c r="C6" s="6" t="s">
        <v>129</v>
      </c>
      <c r="D6" s="7" t="s">
        <v>555</v>
      </c>
      <c r="E6" s="7" t="s">
        <v>129</v>
      </c>
      <c r="F6" s="7" t="s">
        <v>129</v>
      </c>
      <c r="G6" s="7" t="s">
        <v>359</v>
      </c>
      <c r="H6" s="7" t="s">
        <v>556</v>
      </c>
      <c r="I6" s="6" t="s">
        <v>129</v>
      </c>
    </row>
    <row r="7" ht="22" customHeight="1" spans="2:9">
      <c r="B7" s="8" t="s">
        <v>557</v>
      </c>
      <c r="C7" s="9" t="s">
        <v>129</v>
      </c>
      <c r="D7" s="10" t="s">
        <v>558</v>
      </c>
      <c r="E7" s="10" t="s">
        <v>129</v>
      </c>
      <c r="F7" s="10" t="s">
        <v>129</v>
      </c>
      <c r="G7" s="10" t="s">
        <v>359</v>
      </c>
      <c r="H7" s="10" t="s">
        <v>556</v>
      </c>
      <c r="I7" s="9" t="s">
        <v>129</v>
      </c>
    </row>
    <row r="8" ht="22" customHeight="1" spans="2:9">
      <c r="B8" s="5" t="s">
        <v>559</v>
      </c>
      <c r="C8" s="6" t="s">
        <v>129</v>
      </c>
      <c r="D8" s="7" t="s">
        <v>560</v>
      </c>
      <c r="E8" s="7" t="s">
        <v>129</v>
      </c>
      <c r="F8" s="7" t="s">
        <v>129</v>
      </c>
      <c r="G8" s="7" t="s">
        <v>359</v>
      </c>
      <c r="H8" s="7" t="s">
        <v>556</v>
      </c>
      <c r="I8" s="6" t="s">
        <v>129</v>
      </c>
    </row>
    <row r="9" ht="22" customHeight="1" spans="2:9">
      <c r="B9" s="8" t="s">
        <v>561</v>
      </c>
      <c r="C9" s="9" t="s">
        <v>129</v>
      </c>
      <c r="D9" s="10" t="s">
        <v>562</v>
      </c>
      <c r="E9" s="10" t="s">
        <v>129</v>
      </c>
      <c r="F9" s="10" t="s">
        <v>129</v>
      </c>
      <c r="G9" s="10" t="s">
        <v>359</v>
      </c>
      <c r="H9" s="10" t="s">
        <v>556</v>
      </c>
      <c r="I9" s="9" t="s">
        <v>129</v>
      </c>
    </row>
    <row r="10" ht="22" customHeight="1" spans="2:9">
      <c r="B10" s="5" t="s">
        <v>563</v>
      </c>
      <c r="C10" s="6" t="s">
        <v>129</v>
      </c>
      <c r="D10" s="7" t="s">
        <v>564</v>
      </c>
      <c r="E10" s="7" t="s">
        <v>129</v>
      </c>
      <c r="F10" s="7" t="s">
        <v>129</v>
      </c>
      <c r="G10" s="7" t="s">
        <v>359</v>
      </c>
      <c r="H10" s="7" t="s">
        <v>556</v>
      </c>
      <c r="I10" s="6" t="s">
        <v>129</v>
      </c>
    </row>
    <row r="11" ht="22" customHeight="1" spans="2:9">
      <c r="B11" s="8" t="s">
        <v>565</v>
      </c>
      <c r="C11" s="9" t="s">
        <v>129</v>
      </c>
      <c r="D11" s="10" t="s">
        <v>566</v>
      </c>
      <c r="E11" s="10" t="s">
        <v>129</v>
      </c>
      <c r="F11" s="10" t="s">
        <v>129</v>
      </c>
      <c r="G11" s="10" t="s">
        <v>359</v>
      </c>
      <c r="H11" s="10" t="s">
        <v>556</v>
      </c>
      <c r="I11" s="9" t="s">
        <v>129</v>
      </c>
    </row>
    <row r="12" ht="22" customHeight="1" spans="2:9">
      <c r="B12" s="5" t="s">
        <v>567</v>
      </c>
      <c r="C12" s="6" t="s">
        <v>129</v>
      </c>
      <c r="D12" s="7" t="s">
        <v>568</v>
      </c>
      <c r="E12" s="7" t="s">
        <v>129</v>
      </c>
      <c r="F12" s="7" t="s">
        <v>129</v>
      </c>
      <c r="G12" s="7" t="s">
        <v>359</v>
      </c>
      <c r="H12" s="7" t="s">
        <v>556</v>
      </c>
      <c r="I12" s="6" t="s">
        <v>129</v>
      </c>
    </row>
    <row r="13" ht="22" customHeight="1" spans="2:9">
      <c r="B13" s="8" t="s">
        <v>569</v>
      </c>
      <c r="C13" s="9" t="s">
        <v>129</v>
      </c>
      <c r="D13" s="10" t="s">
        <v>570</v>
      </c>
      <c r="E13" s="10" t="s">
        <v>129</v>
      </c>
      <c r="F13" s="10" t="s">
        <v>129</v>
      </c>
      <c r="G13" s="10" t="s">
        <v>359</v>
      </c>
      <c r="H13" s="10" t="s">
        <v>556</v>
      </c>
      <c r="I13" s="9" t="s">
        <v>129</v>
      </c>
    </row>
    <row r="14" ht="22" customHeight="1" spans="2:9">
      <c r="B14" s="5" t="s">
        <v>571</v>
      </c>
      <c r="C14" s="6" t="s">
        <v>129</v>
      </c>
      <c r="D14" s="7" t="s">
        <v>572</v>
      </c>
      <c r="E14" s="7" t="s">
        <v>129</v>
      </c>
      <c r="F14" s="7" t="s">
        <v>129</v>
      </c>
      <c r="G14" s="7" t="s">
        <v>359</v>
      </c>
      <c r="H14" s="7" t="s">
        <v>556</v>
      </c>
      <c r="I14" s="6" t="s">
        <v>129</v>
      </c>
    </row>
    <row r="15" ht="22" customHeight="1" spans="2:9">
      <c r="B15" s="8" t="s">
        <v>573</v>
      </c>
      <c r="C15" s="9" t="s">
        <v>129</v>
      </c>
      <c r="D15" s="10" t="s">
        <v>574</v>
      </c>
      <c r="E15" s="10" t="s">
        <v>129</v>
      </c>
      <c r="F15" s="10" t="s">
        <v>129</v>
      </c>
      <c r="G15" s="10" t="s">
        <v>359</v>
      </c>
      <c r="H15" s="10" t="s">
        <v>556</v>
      </c>
      <c r="I15" s="9" t="s">
        <v>129</v>
      </c>
    </row>
    <row r="16" ht="22" customHeight="1" spans="2:9">
      <c r="B16" s="5" t="s">
        <v>575</v>
      </c>
      <c r="C16" s="6" t="s">
        <v>129</v>
      </c>
      <c r="D16" s="7" t="s">
        <v>576</v>
      </c>
      <c r="E16" s="7" t="s">
        <v>129</v>
      </c>
      <c r="F16" s="7" t="s">
        <v>129</v>
      </c>
      <c r="G16" s="7" t="s">
        <v>359</v>
      </c>
      <c r="H16" s="7" t="s">
        <v>556</v>
      </c>
      <c r="I16" s="6" t="s">
        <v>129</v>
      </c>
    </row>
    <row r="17" ht="22" customHeight="1" spans="2:9">
      <c r="B17" s="8" t="s">
        <v>577</v>
      </c>
      <c r="C17" s="9" t="s">
        <v>129</v>
      </c>
      <c r="D17" s="10" t="s">
        <v>578</v>
      </c>
      <c r="E17" s="10" t="s">
        <v>129</v>
      </c>
      <c r="F17" s="10" t="s">
        <v>129</v>
      </c>
      <c r="G17" s="10" t="s">
        <v>359</v>
      </c>
      <c r="H17" s="10" t="s">
        <v>556</v>
      </c>
      <c r="I17" s="9" t="s">
        <v>129</v>
      </c>
    </row>
    <row r="18" ht="22" customHeight="1" spans="2:9">
      <c r="B18" s="5" t="s">
        <v>579</v>
      </c>
      <c r="C18" s="6" t="s">
        <v>129</v>
      </c>
      <c r="D18" s="7" t="s">
        <v>580</v>
      </c>
      <c r="E18" s="7" t="s">
        <v>129</v>
      </c>
      <c r="F18" s="7" t="s">
        <v>129</v>
      </c>
      <c r="G18" s="7" t="s">
        <v>359</v>
      </c>
      <c r="H18" s="7" t="s">
        <v>556</v>
      </c>
      <c r="I18" s="6" t="s">
        <v>129</v>
      </c>
    </row>
    <row r="19" ht="22" customHeight="1" spans="2:9">
      <c r="B19" s="8" t="s">
        <v>581</v>
      </c>
      <c r="C19" s="9" t="s">
        <v>129</v>
      </c>
      <c r="D19" s="10" t="s">
        <v>555</v>
      </c>
      <c r="E19" s="10" t="s">
        <v>129</v>
      </c>
      <c r="F19" s="10" t="s">
        <v>129</v>
      </c>
      <c r="G19" s="10" t="s">
        <v>359</v>
      </c>
      <c r="H19" s="10" t="s">
        <v>556</v>
      </c>
      <c r="I19" s="9" t="s">
        <v>129</v>
      </c>
    </row>
    <row r="20" ht="22" customHeight="1" spans="2:9">
      <c r="B20" s="5" t="s">
        <v>582</v>
      </c>
      <c r="C20" s="6" t="s">
        <v>129</v>
      </c>
      <c r="D20" s="7" t="s">
        <v>558</v>
      </c>
      <c r="E20" s="7" t="s">
        <v>129</v>
      </c>
      <c r="F20" s="7" t="s">
        <v>129</v>
      </c>
      <c r="G20" s="7" t="s">
        <v>359</v>
      </c>
      <c r="H20" s="7" t="s">
        <v>556</v>
      </c>
      <c r="I20" s="6" t="s">
        <v>129</v>
      </c>
    </row>
    <row r="21" ht="22" customHeight="1" spans="2:9">
      <c r="B21" s="8" t="s">
        <v>583</v>
      </c>
      <c r="C21" s="9" t="s">
        <v>129</v>
      </c>
      <c r="D21" s="10" t="s">
        <v>560</v>
      </c>
      <c r="E21" s="10" t="s">
        <v>129</v>
      </c>
      <c r="F21" s="10" t="s">
        <v>129</v>
      </c>
      <c r="G21" s="10" t="s">
        <v>359</v>
      </c>
      <c r="H21" s="10" t="s">
        <v>556</v>
      </c>
      <c r="I21" s="9" t="s">
        <v>129</v>
      </c>
    </row>
    <row r="22" ht="22" customHeight="1"/>
    <row r="23" ht="20" customHeight="1" spans="2:9">
      <c r="B23" s="31" t="s">
        <v>584</v>
      </c>
    </row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4">
    <mergeCell ref="B2:I2"/>
    <mergeCell ref="B3:I3"/>
    <mergeCell ref="B4:I4"/>
    <mergeCell ref="B23:I23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4"/>
  <sheetViews>
    <sheetView showGridLines="0" workbookViewId="0">
      <selection activeCell="A1" sqref="A1"/>
    </sheetView>
  </sheetViews>
  <sheetFormatPr defaultColWidth="9" defaultRowHeight="14.4" outlineLevelCol="4"/>
  <cols>
    <col min="1" max="1" width="3" customWidth="1"/>
    <col min="2" max="2" width="8" customWidth="1"/>
    <col min="3" max="3" width="34" customWidth="1"/>
    <col min="4" max="5" width="20" customWidth="1"/>
    <col min="6" max="6" width="3" customWidth="1"/>
  </cols>
  <sheetData>
    <row r="1" ht="10" customHeight="1"/>
    <row r="2" ht="52" customHeight="1" spans="2:3">
      <c r="B2" s="34" t="s">
        <v>585</v>
      </c>
    </row>
    <row r="3" ht="20" customHeight="1" spans="2:3">
      <c r="B3" s="35" t="s">
        <v>2</v>
      </c>
    </row>
    <row r="4" ht="25" customHeight="1" spans="2:3">
      <c r="B4" s="2" t="s">
        <v>586</v>
      </c>
    </row>
    <row r="5" ht="24" customHeight="1" spans="2:3">
      <c r="B5" s="3" t="s">
        <v>587</v>
      </c>
    </row>
    <row r="6" ht="30" customHeight="1" spans="2:3">
      <c r="B6" s="49" t="s">
        <v>588</v>
      </c>
      <c r="C6" s="50" t="s">
        <v>589</v>
      </c>
    </row>
    <row r="7" ht="30" customHeight="1" spans="2:3">
      <c r="B7" s="49" t="s">
        <v>590</v>
      </c>
      <c r="C7" s="50" t="s">
        <v>591</v>
      </c>
    </row>
    <row r="8" ht="30" customHeight="1" spans="2:3">
      <c r="B8" s="49" t="s">
        <v>592</v>
      </c>
      <c r="C8" s="9"/>
    </row>
    <row r="9" ht="30" customHeight="1" spans="2:3">
      <c r="B9" s="49" t="s">
        <v>593</v>
      </c>
      <c r="C9" s="50" t="s">
        <v>594</v>
      </c>
    </row>
    <row r="10" ht="30" customHeight="1" spans="2:3">
      <c r="B10" s="49" t="s">
        <v>595</v>
      </c>
      <c r="C10" s="9"/>
    </row>
    <row r="11" ht="30" customHeight="1" spans="2:3">
      <c r="B11" s="49" t="s">
        <v>596</v>
      </c>
      <c r="C11" s="9"/>
    </row>
    <row r="12" ht="32" customHeight="1"/>
    <row r="13" ht="24" customHeight="1" spans="2:3">
      <c r="B13" s="54" t="s">
        <v>597</v>
      </c>
    </row>
    <row r="14" ht="250" customHeight="1" spans="2:3">
      <c r="B14" s="61" t="s">
        <v>598</v>
      </c>
    </row>
    <row r="15" ht="32" customHeight="1"/>
    <row r="16" ht="32" customHeight="1"/>
    <row r="17" ht="32" customHeight="1"/>
    <row r="18" ht="32" customHeight="1"/>
    <row r="19" ht="32" customHeight="1"/>
    <row r="20" ht="32" customHeight="1"/>
    <row r="21" ht="32" customHeight="1"/>
    <row r="22" ht="32" customHeight="1"/>
    <row r="23" ht="32" customHeight="1"/>
    <row r="24" ht="32" customHeight="1"/>
    <row r="25" ht="24" customHeight="1" spans="2:3">
      <c r="B25" s="16" t="s">
        <v>599</v>
      </c>
    </row>
    <row r="26" ht="28" customHeight="1" spans="2:3">
      <c r="B26" s="58" t="s">
        <v>600</v>
      </c>
      <c r="C26" s="9"/>
    </row>
    <row r="27" ht="28" customHeight="1" spans="2:3">
      <c r="B27" s="58" t="s">
        <v>601</v>
      </c>
      <c r="C27" s="9"/>
    </row>
    <row r="28" ht="28" customHeight="1" spans="2:3">
      <c r="B28" s="58" t="s">
        <v>602</v>
      </c>
      <c r="C28" s="9"/>
    </row>
    <row r="29" ht="28" customHeight="1" spans="2:3">
      <c r="B29" s="58" t="s">
        <v>603</v>
      </c>
      <c r="C29" s="9"/>
    </row>
    <row r="30" ht="32" customHeight="1"/>
    <row r="31" ht="32" customHeight="1" spans="2:3">
      <c r="B31" s="33" t="s">
        <v>604</v>
      </c>
    </row>
    <row r="32" ht="32" customHeight="1"/>
    <row r="33" ht="32" customHeight="1"/>
    <row r="34" ht="32" customHeight="1"/>
  </sheetData>
  <mergeCells count="18">
    <mergeCell ref="B2:E2"/>
    <mergeCell ref="B3:E3"/>
    <mergeCell ref="B4:E4"/>
    <mergeCell ref="B5:E5"/>
    <mergeCell ref="C6:E6"/>
    <mergeCell ref="C7:E7"/>
    <mergeCell ref="C8:E8"/>
    <mergeCell ref="C9:E9"/>
    <mergeCell ref="C10:E10"/>
    <mergeCell ref="C11:E11"/>
    <mergeCell ref="B13:E13"/>
    <mergeCell ref="B25:E25"/>
    <mergeCell ref="C26:E26"/>
    <mergeCell ref="C27:E27"/>
    <mergeCell ref="C28:E28"/>
    <mergeCell ref="C29:E29"/>
    <mergeCell ref="B31:E31"/>
    <mergeCell ref="B14:E24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7"/>
  <sheetViews>
    <sheetView showGridLines="0" workbookViewId="0">
      <selection activeCell="A1" sqref="A1"/>
    </sheetView>
  </sheetViews>
  <sheetFormatPr defaultColWidth="9" defaultRowHeight="14.4" outlineLevelCol="4"/>
  <cols>
    <col min="1" max="1" width="3" customWidth="1"/>
    <col min="2" max="2" width="8" customWidth="1"/>
    <col min="3" max="3" width="36" customWidth="1"/>
    <col min="4" max="5" width="18" customWidth="1"/>
    <col min="6" max="6" width="3" customWidth="1"/>
  </cols>
  <sheetData>
    <row r="1" ht="10" customHeight="1"/>
    <row r="2" ht="52" customHeight="1" spans="2:3">
      <c r="B2" s="34" t="s">
        <v>605</v>
      </c>
    </row>
    <row r="3" ht="20" customHeight="1" spans="2:3">
      <c r="B3" s="35" t="s">
        <v>2</v>
      </c>
    </row>
    <row r="4" ht="25" customHeight="1" spans="2:3">
      <c r="B4" s="2" t="s">
        <v>606</v>
      </c>
    </row>
    <row r="5" ht="24" customHeight="1" spans="2:3">
      <c r="B5" s="3" t="s">
        <v>607</v>
      </c>
    </row>
    <row r="6" ht="35" customHeight="1" spans="2:3">
      <c r="B6" s="49" t="s">
        <v>608</v>
      </c>
      <c r="C6" s="6"/>
    </row>
    <row r="7" ht="35" customHeight="1" spans="2:3">
      <c r="B7" s="53" t="s">
        <v>609</v>
      </c>
      <c r="C7" s="9"/>
    </row>
    <row r="8" ht="35" customHeight="1" spans="2:3">
      <c r="B8" s="49" t="s">
        <v>610</v>
      </c>
      <c r="C8" s="6"/>
    </row>
    <row r="9" ht="35" customHeight="1" spans="2:3">
      <c r="B9" s="53" t="s">
        <v>611</v>
      </c>
      <c r="C9" s="9"/>
    </row>
    <row r="10" ht="35" customHeight="1" spans="2:3">
      <c r="B10" s="49" t="s">
        <v>612</v>
      </c>
      <c r="C10" s="6"/>
    </row>
    <row r="11" ht="35" customHeight="1" spans="2:3">
      <c r="B11" s="53" t="s">
        <v>613</v>
      </c>
      <c r="C11" s="9"/>
    </row>
    <row r="12" ht="35" customHeight="1" spans="2:3">
      <c r="B12" s="49" t="s">
        <v>614</v>
      </c>
      <c r="C12" s="6"/>
    </row>
    <row r="13" ht="32" customHeight="1"/>
    <row r="14" ht="24" customHeight="1" spans="2:3">
      <c r="B14" s="54" t="s">
        <v>615</v>
      </c>
    </row>
    <row r="15" ht="35" customHeight="1" spans="2:3">
      <c r="B15" s="55" t="s">
        <v>616</v>
      </c>
      <c r="C15" s="56"/>
    </row>
    <row r="16" ht="35" customHeight="1" spans="2:3">
      <c r="B16" s="53" t="s">
        <v>617</v>
      </c>
      <c r="C16" s="9"/>
    </row>
    <row r="17" ht="35" customHeight="1" spans="2:3">
      <c r="B17" s="55" t="s">
        <v>618</v>
      </c>
      <c r="C17" s="56"/>
    </row>
    <row r="18" ht="35" customHeight="1" spans="2:3">
      <c r="B18" s="53" t="s">
        <v>619</v>
      </c>
      <c r="C18" s="9"/>
    </row>
    <row r="19" ht="35" customHeight="1" spans="2:3">
      <c r="B19" s="55" t="s">
        <v>620</v>
      </c>
      <c r="C19" s="56"/>
    </row>
    <row r="20" ht="32" customHeight="1"/>
    <row r="21" ht="24" customHeight="1" spans="2:3">
      <c r="B21" s="11" t="s">
        <v>621</v>
      </c>
    </row>
    <row r="22" ht="35" customHeight="1" spans="2:3">
      <c r="B22" s="57" t="s">
        <v>622</v>
      </c>
      <c r="C22" s="14"/>
    </row>
    <row r="23" ht="35" customHeight="1" spans="2:3">
      <c r="B23" s="53" t="s">
        <v>623</v>
      </c>
      <c r="C23" s="9"/>
    </row>
    <row r="24" ht="35" customHeight="1" spans="2:3">
      <c r="B24" s="57" t="s">
        <v>624</v>
      </c>
      <c r="C24" s="14"/>
    </row>
    <row r="25" ht="35" customHeight="1" spans="2:3">
      <c r="B25" s="53" t="s">
        <v>625</v>
      </c>
      <c r="C25" s="9"/>
    </row>
    <row r="26" ht="32" customHeight="1"/>
    <row r="27" ht="24" customHeight="1" spans="2:3">
      <c r="B27" s="16" t="s">
        <v>626</v>
      </c>
    </row>
    <row r="28" ht="35" customHeight="1" spans="2:3">
      <c r="B28" s="58" t="s">
        <v>627</v>
      </c>
      <c r="C28" s="19"/>
    </row>
    <row r="29" ht="35" customHeight="1" spans="2:3">
      <c r="B29" s="53" t="s">
        <v>628</v>
      </c>
      <c r="C29" s="9"/>
    </row>
    <row r="30" ht="35" customHeight="1" spans="2:3">
      <c r="B30" s="58" t="s">
        <v>629</v>
      </c>
      <c r="C30" s="19"/>
    </row>
    <row r="31" ht="35" customHeight="1" spans="2:3">
      <c r="B31" s="53" t="s">
        <v>630</v>
      </c>
      <c r="C31" s="9"/>
    </row>
    <row r="32" ht="32" customHeight="1"/>
    <row r="33" ht="24" customHeight="1" spans="2:3">
      <c r="B33" s="21" t="s">
        <v>631</v>
      </c>
    </row>
    <row r="34" ht="35" customHeight="1" spans="2:3">
      <c r="B34" s="59" t="s">
        <v>632</v>
      </c>
      <c r="C34" s="24"/>
    </row>
    <row r="35" ht="35" customHeight="1" spans="2:3">
      <c r="B35" s="53" t="s">
        <v>633</v>
      </c>
      <c r="C35" s="9"/>
    </row>
    <row r="36" ht="35" customHeight="1" spans="2:3">
      <c r="B36" s="59" t="s">
        <v>634</v>
      </c>
      <c r="C36" s="24"/>
    </row>
    <row r="37" ht="32" customHeight="1"/>
    <row r="38" ht="24" customHeight="1" spans="2:3">
      <c r="B38" s="26" t="s">
        <v>635</v>
      </c>
    </row>
    <row r="39" ht="35" customHeight="1" spans="2:3">
      <c r="B39" s="60" t="s">
        <v>636</v>
      </c>
      <c r="C39" s="29"/>
    </row>
    <row r="40" ht="35" customHeight="1" spans="2:3">
      <c r="B40" s="53" t="s">
        <v>637</v>
      </c>
      <c r="C40" s="9"/>
    </row>
    <row r="41" ht="35" customHeight="1" spans="2:3">
      <c r="B41" s="60" t="s">
        <v>638</v>
      </c>
      <c r="C41" s="29"/>
    </row>
    <row r="42" ht="35" customHeight="1" spans="2:3">
      <c r="B42" s="53" t="s">
        <v>639</v>
      </c>
      <c r="C42" s="9"/>
    </row>
    <row r="43" ht="32" customHeight="1"/>
    <row r="44" ht="32" customHeight="1" spans="2:3">
      <c r="B44" s="33" t="s">
        <v>640</v>
      </c>
    </row>
    <row r="45" ht="32" customHeight="1"/>
    <row r="46" ht="32" customHeight="1"/>
    <row r="47" ht="32" customHeight="1"/>
  </sheetData>
  <mergeCells count="37">
    <mergeCell ref="B2:E2"/>
    <mergeCell ref="B3:E3"/>
    <mergeCell ref="B4:E4"/>
    <mergeCell ref="B5:E5"/>
    <mergeCell ref="C6:E6"/>
    <mergeCell ref="C7:E7"/>
    <mergeCell ref="C8:E8"/>
    <mergeCell ref="C9:E9"/>
    <mergeCell ref="C10:E10"/>
    <mergeCell ref="C11:E11"/>
    <mergeCell ref="C12:E12"/>
    <mergeCell ref="B14:E14"/>
    <mergeCell ref="C15:E15"/>
    <mergeCell ref="C16:E16"/>
    <mergeCell ref="C17:E17"/>
    <mergeCell ref="C18:E18"/>
    <mergeCell ref="C19:E19"/>
    <mergeCell ref="B21:E21"/>
    <mergeCell ref="C22:E22"/>
    <mergeCell ref="C23:E23"/>
    <mergeCell ref="C24:E24"/>
    <mergeCell ref="C25:E25"/>
    <mergeCell ref="B27:E27"/>
    <mergeCell ref="C28:E28"/>
    <mergeCell ref="C29:E29"/>
    <mergeCell ref="C30:E30"/>
    <mergeCell ref="C31:E31"/>
    <mergeCell ref="B33:E33"/>
    <mergeCell ref="C34:E34"/>
    <mergeCell ref="C35:E35"/>
    <mergeCell ref="C36:E36"/>
    <mergeCell ref="B38:E38"/>
    <mergeCell ref="C39:E39"/>
    <mergeCell ref="C40:E40"/>
    <mergeCell ref="C41:E41"/>
    <mergeCell ref="C42:E42"/>
    <mergeCell ref="B44:E44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1"/>
  <sheetViews>
    <sheetView showGridLines="0" workbookViewId="0">
      <selection activeCell="A1" sqref="A1"/>
    </sheetView>
  </sheetViews>
  <sheetFormatPr defaultColWidth="9" defaultRowHeight="14.4" outlineLevelCol="4"/>
  <cols>
    <col min="1" max="1" width="3" customWidth="1"/>
    <col min="2" max="2" width="8" customWidth="1"/>
    <col min="3" max="3" width="32" customWidth="1"/>
    <col min="4" max="5" width="18" customWidth="1"/>
    <col min="6" max="6" width="3" customWidth="1"/>
  </cols>
  <sheetData>
    <row r="1" ht="10" customHeight="1"/>
    <row r="2" ht="52" customHeight="1" spans="2:3">
      <c r="B2" s="34" t="s">
        <v>641</v>
      </c>
    </row>
    <row r="3" ht="20" customHeight="1" spans="2:3">
      <c r="B3" s="35" t="s">
        <v>2</v>
      </c>
    </row>
    <row r="4" ht="25" customHeight="1" spans="2:3">
      <c r="B4" s="2" t="s">
        <v>642</v>
      </c>
    </row>
    <row r="5" ht="24" customHeight="1" spans="2:3">
      <c r="B5" s="3" t="s">
        <v>643</v>
      </c>
    </row>
    <row r="6" ht="32" customHeight="1" spans="2:3">
      <c r="B6" s="49" t="s">
        <v>644</v>
      </c>
      <c r="C6" s="50" t="s">
        <v>645</v>
      </c>
    </row>
    <row r="7" ht="32" customHeight="1" spans="2:3">
      <c r="B7" s="49" t="s">
        <v>646</v>
      </c>
      <c r="C7" s="50" t="s">
        <v>647</v>
      </c>
    </row>
    <row r="8" ht="32" customHeight="1" spans="2:3">
      <c r="B8" s="49" t="s">
        <v>648</v>
      </c>
      <c r="C8" s="50" t="s">
        <v>649</v>
      </c>
    </row>
    <row r="9" ht="32" customHeight="1" spans="2:3">
      <c r="B9" s="49" t="s">
        <v>650</v>
      </c>
      <c r="C9" s="50" t="s">
        <v>651</v>
      </c>
    </row>
    <row r="10" ht="32" customHeight="1" spans="2:3">
      <c r="B10" s="49" t="s">
        <v>652</v>
      </c>
      <c r="C10" s="50" t="s">
        <v>653</v>
      </c>
    </row>
    <row r="11" ht="32" customHeight="1" spans="2:3">
      <c r="B11" s="49" t="s">
        <v>654</v>
      </c>
      <c r="C11" s="9"/>
    </row>
    <row r="12" ht="32" customHeight="1" spans="2:3">
      <c r="B12" s="49" t="s">
        <v>655</v>
      </c>
      <c r="C12" s="9"/>
    </row>
    <row r="13" ht="32" customHeight="1" spans="2:3">
      <c r="B13" s="49" t="s">
        <v>656</v>
      </c>
      <c r="C13" s="50" t="s">
        <v>657</v>
      </c>
    </row>
    <row r="14" ht="32" customHeight="1" spans="2:3">
      <c r="B14" s="49" t="s">
        <v>658</v>
      </c>
      <c r="C14" s="50" t="s">
        <v>659</v>
      </c>
    </row>
    <row r="15" ht="30" customHeight="1"/>
    <row r="16" ht="20" customHeight="1" spans="2:3">
      <c r="B16" s="31" t="s">
        <v>660</v>
      </c>
    </row>
    <row r="17" ht="30" customHeight="1"/>
    <row r="18" ht="24" customHeight="1" spans="2:3">
      <c r="B18" s="16" t="s">
        <v>661</v>
      </c>
    </row>
    <row r="19" ht="28" customHeight="1" spans="2:3">
      <c r="B19" s="47" t="s">
        <v>662</v>
      </c>
      <c r="C19" s="51" t="s">
        <v>129</v>
      </c>
    </row>
    <row r="20" ht="28" customHeight="1" spans="2:3">
      <c r="B20" s="48" t="s">
        <v>663</v>
      </c>
      <c r="C20" s="52" t="s">
        <v>129</v>
      </c>
    </row>
    <row r="21" ht="28" customHeight="1" spans="2:3">
      <c r="B21" s="47" t="s">
        <v>664</v>
      </c>
      <c r="C21" s="51" t="s">
        <v>129</v>
      </c>
    </row>
    <row r="22" ht="28" customHeight="1" spans="2:3">
      <c r="B22" s="48" t="s">
        <v>665</v>
      </c>
      <c r="C22" s="52"/>
    </row>
    <row r="23" ht="28" customHeight="1" spans="2:3">
      <c r="B23" s="47" t="s">
        <v>666</v>
      </c>
      <c r="C23" s="51" t="s">
        <v>129</v>
      </c>
    </row>
    <row r="24" ht="28" customHeight="1" spans="2:3">
      <c r="B24" s="48" t="s">
        <v>667</v>
      </c>
      <c r="C24" s="52"/>
    </row>
    <row r="25" ht="28" customHeight="1" spans="2:3">
      <c r="B25" s="47" t="s">
        <v>668</v>
      </c>
      <c r="C25" s="51" t="s">
        <v>129</v>
      </c>
    </row>
    <row r="26" ht="28" customHeight="1" spans="2:3">
      <c r="B26" s="48" t="s">
        <v>669</v>
      </c>
      <c r="C26" s="52"/>
    </row>
    <row r="27" ht="28" customHeight="1" spans="2:3">
      <c r="B27" s="47" t="s">
        <v>670</v>
      </c>
      <c r="C27" s="51" t="s">
        <v>671</v>
      </c>
    </row>
    <row r="28" ht="30" customHeight="1"/>
    <row r="29" ht="30" customHeight="1"/>
    <row r="30" ht="30" customHeight="1"/>
    <row r="31" ht="30" customHeight="1"/>
  </sheetData>
  <mergeCells count="24">
    <mergeCell ref="B2:E2"/>
    <mergeCell ref="B3:E3"/>
    <mergeCell ref="B4:E4"/>
    <mergeCell ref="B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B16:E16"/>
    <mergeCell ref="B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3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10" customWidth="1"/>
    <col min="3" max="3" width="28" customWidth="1"/>
    <col min="4" max="4" width="16" customWidth="1"/>
    <col min="5" max="9" width="14" customWidth="1"/>
    <col min="10" max="10" width="3" customWidth="1"/>
  </cols>
  <sheetData>
    <row r="1" ht="10" customHeight="1"/>
    <row r="2" ht="48" customHeight="1" spans="2:9">
      <c r="B2" s="34" t="s">
        <v>672</v>
      </c>
    </row>
    <row r="3" ht="20" customHeight="1" spans="2:9">
      <c r="B3" s="35" t="s">
        <v>2</v>
      </c>
    </row>
    <row r="4" ht="25" customHeight="1" spans="2:9">
      <c r="B4" s="2" t="s">
        <v>673</v>
      </c>
    </row>
    <row r="5" ht="25" customHeight="1" spans="2:9">
      <c r="B5" s="4" t="s">
        <v>674</v>
      </c>
      <c r="C5" s="4" t="s">
        <v>675</v>
      </c>
      <c r="D5" s="4" t="s">
        <v>676</v>
      </c>
      <c r="E5" s="4" t="s">
        <v>677</v>
      </c>
      <c r="F5" s="4" t="s">
        <v>678</v>
      </c>
      <c r="G5" s="4" t="s">
        <v>679</v>
      </c>
      <c r="H5" s="4" t="s">
        <v>220</v>
      </c>
      <c r="I5" s="4" t="s">
        <v>680</v>
      </c>
    </row>
    <row r="6" ht="25" customHeight="1" spans="2:9">
      <c r="B6" s="5" t="s">
        <v>681</v>
      </c>
      <c r="C6" s="7" t="s">
        <v>129</v>
      </c>
      <c r="D6" s="7" t="s">
        <v>129</v>
      </c>
      <c r="E6" s="6" t="s">
        <v>129</v>
      </c>
      <c r="F6" s="7" t="s">
        <v>129</v>
      </c>
      <c r="G6" s="7" t="s">
        <v>129</v>
      </c>
      <c r="H6" s="7" t="s">
        <v>222</v>
      </c>
      <c r="I6" s="6" t="s">
        <v>129</v>
      </c>
    </row>
    <row r="7" ht="25" customHeight="1" spans="2:9">
      <c r="B7" s="8" t="s">
        <v>682</v>
      </c>
      <c r="C7" s="10" t="s">
        <v>129</v>
      </c>
      <c r="D7" s="10" t="s">
        <v>129</v>
      </c>
      <c r="E7" s="9" t="s">
        <v>129</v>
      </c>
      <c r="F7" s="10" t="s">
        <v>129</v>
      </c>
      <c r="G7" s="10" t="s">
        <v>129</v>
      </c>
      <c r="H7" s="10" t="s">
        <v>222</v>
      </c>
      <c r="I7" s="9" t="s">
        <v>129</v>
      </c>
    </row>
    <row r="8" ht="25" customHeight="1" spans="2:9">
      <c r="B8" s="5" t="s">
        <v>683</v>
      </c>
      <c r="C8" s="7" t="s">
        <v>129</v>
      </c>
      <c r="D8" s="7" t="s">
        <v>129</v>
      </c>
      <c r="E8" s="6" t="s">
        <v>129</v>
      </c>
      <c r="F8" s="7" t="s">
        <v>129</v>
      </c>
      <c r="G8" s="7" t="s">
        <v>129</v>
      </c>
      <c r="H8" s="7" t="s">
        <v>222</v>
      </c>
      <c r="I8" s="6" t="s">
        <v>129</v>
      </c>
    </row>
    <row r="9" ht="25" customHeight="1" spans="2:9">
      <c r="B9" s="8" t="s">
        <v>684</v>
      </c>
      <c r="C9" s="10" t="s">
        <v>129</v>
      </c>
      <c r="D9" s="10" t="s">
        <v>129</v>
      </c>
      <c r="E9" s="9" t="s">
        <v>129</v>
      </c>
      <c r="F9" s="10" t="s">
        <v>129</v>
      </c>
      <c r="G9" s="10" t="s">
        <v>129</v>
      </c>
      <c r="H9" s="10" t="s">
        <v>222</v>
      </c>
      <c r="I9" s="9" t="s">
        <v>129</v>
      </c>
    </row>
    <row r="10" ht="25" customHeight="1" spans="2:9">
      <c r="B10" s="5" t="s">
        <v>685</v>
      </c>
      <c r="C10" s="7" t="s">
        <v>129</v>
      </c>
      <c r="D10" s="7" t="s">
        <v>129</v>
      </c>
      <c r="E10" s="6" t="s">
        <v>129</v>
      </c>
      <c r="F10" s="7" t="s">
        <v>129</v>
      </c>
      <c r="G10" s="7" t="s">
        <v>129</v>
      </c>
      <c r="H10" s="7" t="s">
        <v>222</v>
      </c>
      <c r="I10" s="6" t="s">
        <v>129</v>
      </c>
    </row>
    <row r="11" ht="25" customHeight="1" spans="2:9">
      <c r="B11" s="8" t="s">
        <v>686</v>
      </c>
      <c r="C11" s="10" t="s">
        <v>129</v>
      </c>
      <c r="D11" s="10" t="s">
        <v>129</v>
      </c>
      <c r="E11" s="9" t="s">
        <v>129</v>
      </c>
      <c r="F11" s="10" t="s">
        <v>129</v>
      </c>
      <c r="G11" s="10" t="s">
        <v>129</v>
      </c>
      <c r="H11" s="10" t="s">
        <v>222</v>
      </c>
      <c r="I11" s="9" t="s">
        <v>129</v>
      </c>
    </row>
    <row r="12" ht="25" customHeight="1" spans="2:9">
      <c r="B12" s="5" t="s">
        <v>687</v>
      </c>
      <c r="C12" s="7" t="s">
        <v>129</v>
      </c>
      <c r="D12" s="7" t="s">
        <v>129</v>
      </c>
      <c r="E12" s="6" t="s">
        <v>129</v>
      </c>
      <c r="F12" s="7" t="s">
        <v>129</v>
      </c>
      <c r="G12" s="7" t="s">
        <v>129</v>
      </c>
      <c r="H12" s="7" t="s">
        <v>222</v>
      </c>
      <c r="I12" s="6" t="s">
        <v>129</v>
      </c>
    </row>
    <row r="13" ht="25" customHeight="1" spans="2:9">
      <c r="B13" s="8" t="s">
        <v>688</v>
      </c>
      <c r="C13" s="10" t="s">
        <v>129</v>
      </c>
      <c r="D13" s="10" t="s">
        <v>129</v>
      </c>
      <c r="E13" s="9" t="s">
        <v>129</v>
      </c>
      <c r="F13" s="10" t="s">
        <v>129</v>
      </c>
      <c r="G13" s="10" t="s">
        <v>129</v>
      </c>
      <c r="H13" s="10" t="s">
        <v>222</v>
      </c>
      <c r="I13" s="9" t="s">
        <v>129</v>
      </c>
    </row>
    <row r="14" ht="25" customHeight="1" spans="2:9">
      <c r="B14" s="5" t="s">
        <v>689</v>
      </c>
      <c r="C14" s="7" t="s">
        <v>129</v>
      </c>
      <c r="D14" s="7" t="s">
        <v>129</v>
      </c>
      <c r="E14" s="6" t="s">
        <v>129</v>
      </c>
      <c r="F14" s="7" t="s">
        <v>129</v>
      </c>
      <c r="G14" s="7" t="s">
        <v>129</v>
      </c>
      <c r="H14" s="7" t="s">
        <v>222</v>
      </c>
      <c r="I14" s="6" t="s">
        <v>129</v>
      </c>
    </row>
    <row r="15" ht="25" customHeight="1" spans="2:9">
      <c r="B15" s="8" t="s">
        <v>690</v>
      </c>
      <c r="C15" s="10" t="s">
        <v>129</v>
      </c>
      <c r="D15" s="10" t="s">
        <v>129</v>
      </c>
      <c r="E15" s="9" t="s">
        <v>129</v>
      </c>
      <c r="F15" s="10" t="s">
        <v>129</v>
      </c>
      <c r="G15" s="10" t="s">
        <v>129</v>
      </c>
      <c r="H15" s="10" t="s">
        <v>222</v>
      </c>
      <c r="I15" s="9" t="s">
        <v>129</v>
      </c>
    </row>
    <row r="16" ht="25" customHeight="1"/>
    <row r="17" ht="20" customHeight="1" spans="2:2">
      <c r="B17" s="31" t="s">
        <v>691</v>
      </c>
    </row>
    <row r="18" ht="25" customHeight="1"/>
    <row r="19" ht="25" customHeight="1"/>
    <row r="20" ht="25" customHeight="1"/>
    <row r="21" ht="25" customHeight="1"/>
    <row r="22" ht="25" customHeight="1"/>
    <row r="23" ht="25" customHeight="1"/>
  </sheetData>
  <mergeCells count="4">
    <mergeCell ref="B2:I2"/>
    <mergeCell ref="B3:I3"/>
    <mergeCell ref="B4:I4"/>
    <mergeCell ref="B17:I17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1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10" customWidth="1"/>
    <col min="3" max="3" width="28" customWidth="1"/>
    <col min="4" max="4" width="16" customWidth="1"/>
    <col min="5" max="9" width="14" customWidth="1"/>
    <col min="10" max="10" width="3" customWidth="1"/>
  </cols>
  <sheetData>
    <row r="1" ht="10" customHeight="1"/>
    <row r="2" ht="48" customHeight="1" spans="2:9">
      <c r="B2" s="1" t="s">
        <v>692</v>
      </c>
    </row>
    <row r="3" ht="20" customHeight="1" spans="2:9">
      <c r="B3" s="35" t="s">
        <v>2</v>
      </c>
    </row>
    <row r="4" ht="25" customHeight="1" spans="2:9">
      <c r="B4" s="2" t="s">
        <v>693</v>
      </c>
    </row>
    <row r="5" ht="24" customHeight="1" spans="2:9">
      <c r="B5" s="21" t="s">
        <v>694</v>
      </c>
    </row>
    <row r="6" ht="24" customHeight="1" spans="2:9">
      <c r="B6" s="22" t="s">
        <v>695</v>
      </c>
      <c r="C6" s="22" t="s">
        <v>696</v>
      </c>
      <c r="D6" s="22" t="s">
        <v>697</v>
      </c>
      <c r="E6" s="22" t="s">
        <v>698</v>
      </c>
      <c r="F6" s="22" t="s">
        <v>699</v>
      </c>
      <c r="G6" s="22" t="s">
        <v>220</v>
      </c>
      <c r="H6" s="22" t="s">
        <v>700</v>
      </c>
      <c r="I6" s="22" t="s">
        <v>357</v>
      </c>
    </row>
    <row r="7" ht="24" customHeight="1" spans="2:9">
      <c r="B7" s="36" t="s">
        <v>701</v>
      </c>
      <c r="C7" s="25" t="s">
        <v>129</v>
      </c>
      <c r="D7" s="25" t="s">
        <v>129</v>
      </c>
      <c r="E7" s="25" t="s">
        <v>129</v>
      </c>
      <c r="F7" s="25" t="s">
        <v>129</v>
      </c>
      <c r="G7" s="25" t="s">
        <v>129</v>
      </c>
      <c r="H7" s="25" t="s">
        <v>129</v>
      </c>
      <c r="I7" s="24" t="s">
        <v>129</v>
      </c>
    </row>
    <row r="8" ht="24" customHeight="1" spans="2:9">
      <c r="B8" s="38" t="s">
        <v>702</v>
      </c>
      <c r="C8" s="10" t="s">
        <v>129</v>
      </c>
      <c r="D8" s="10" t="s">
        <v>129</v>
      </c>
      <c r="E8" s="10" t="s">
        <v>129</v>
      </c>
      <c r="F8" s="10" t="s">
        <v>129</v>
      </c>
      <c r="G8" s="10" t="s">
        <v>129</v>
      </c>
      <c r="H8" s="10" t="s">
        <v>129</v>
      </c>
      <c r="I8" s="9" t="s">
        <v>129</v>
      </c>
    </row>
    <row r="9" ht="24" customHeight="1" spans="2:9">
      <c r="B9" s="36" t="s">
        <v>703</v>
      </c>
      <c r="C9" s="25" t="s">
        <v>129</v>
      </c>
      <c r="D9" s="25" t="s">
        <v>129</v>
      </c>
      <c r="E9" s="25" t="s">
        <v>129</v>
      </c>
      <c r="F9" s="25" t="s">
        <v>129</v>
      </c>
      <c r="G9" s="25" t="s">
        <v>129</v>
      </c>
      <c r="H9" s="25" t="s">
        <v>129</v>
      </c>
      <c r="I9" s="24" t="s">
        <v>129</v>
      </c>
    </row>
    <row r="10" ht="24" customHeight="1" spans="2:9">
      <c r="B10" s="38" t="s">
        <v>704</v>
      </c>
      <c r="C10" s="10" t="s">
        <v>129</v>
      </c>
      <c r="D10" s="10" t="s">
        <v>129</v>
      </c>
      <c r="E10" s="10" t="s">
        <v>129</v>
      </c>
      <c r="F10" s="10" t="s">
        <v>129</v>
      </c>
      <c r="G10" s="10" t="s">
        <v>129</v>
      </c>
      <c r="H10" s="10" t="s">
        <v>129</v>
      </c>
      <c r="I10" s="9" t="s">
        <v>129</v>
      </c>
    </row>
    <row r="11" ht="24" customHeight="1" spans="2:9">
      <c r="B11" s="36" t="s">
        <v>705</v>
      </c>
      <c r="C11" s="25" t="s">
        <v>129</v>
      </c>
      <c r="D11" s="25" t="s">
        <v>129</v>
      </c>
      <c r="E11" s="25" t="s">
        <v>129</v>
      </c>
      <c r="F11" s="25" t="s">
        <v>129</v>
      </c>
      <c r="G11" s="25" t="s">
        <v>129</v>
      </c>
      <c r="H11" s="25" t="s">
        <v>129</v>
      </c>
      <c r="I11" s="24" t="s">
        <v>129</v>
      </c>
    </row>
    <row r="12" ht="24" customHeight="1" spans="2:9">
      <c r="B12" s="38" t="s">
        <v>706</v>
      </c>
      <c r="C12" s="10" t="s">
        <v>129</v>
      </c>
      <c r="D12" s="10" t="s">
        <v>129</v>
      </c>
      <c r="E12" s="10" t="s">
        <v>129</v>
      </c>
      <c r="F12" s="10" t="s">
        <v>129</v>
      </c>
      <c r="G12" s="10" t="s">
        <v>129</v>
      </c>
      <c r="H12" s="10" t="s">
        <v>129</v>
      </c>
      <c r="I12" s="9" t="s">
        <v>129</v>
      </c>
    </row>
    <row r="13" ht="24" customHeight="1"/>
    <row r="14" ht="24" customHeight="1" spans="2:9">
      <c r="B14" s="11" t="s">
        <v>707</v>
      </c>
    </row>
    <row r="15" ht="24" customHeight="1" spans="2:9">
      <c r="B15" s="12" t="s">
        <v>708</v>
      </c>
      <c r="C15" s="12" t="s">
        <v>709</v>
      </c>
      <c r="D15" s="12" t="s">
        <v>710</v>
      </c>
      <c r="E15" s="12" t="s">
        <v>711</v>
      </c>
      <c r="F15" s="12" t="s">
        <v>712</v>
      </c>
      <c r="G15" s="12" t="s">
        <v>220</v>
      </c>
      <c r="H15" s="12" t="s">
        <v>713</v>
      </c>
      <c r="I15" s="12" t="s">
        <v>714</v>
      </c>
    </row>
    <row r="16" ht="24" customHeight="1" spans="2:9">
      <c r="B16" s="41" t="s">
        <v>715</v>
      </c>
      <c r="C16" s="15" t="s">
        <v>129</v>
      </c>
      <c r="D16" s="15" t="s">
        <v>129</v>
      </c>
      <c r="E16" s="15" t="s">
        <v>129</v>
      </c>
      <c r="F16" s="15" t="s">
        <v>129</v>
      </c>
      <c r="G16" s="15" t="s">
        <v>129</v>
      </c>
      <c r="H16" s="15" t="s">
        <v>129</v>
      </c>
      <c r="I16" s="14" t="s">
        <v>129</v>
      </c>
    </row>
    <row r="17" ht="24" customHeight="1" spans="2:9">
      <c r="B17" s="38" t="s">
        <v>716</v>
      </c>
      <c r="C17" s="10" t="s">
        <v>129</v>
      </c>
      <c r="D17" s="10" t="s">
        <v>129</v>
      </c>
      <c r="E17" s="10" t="s">
        <v>129</v>
      </c>
      <c r="F17" s="10" t="s">
        <v>129</v>
      </c>
      <c r="G17" s="10" t="s">
        <v>129</v>
      </c>
      <c r="H17" s="10" t="s">
        <v>129</v>
      </c>
      <c r="I17" s="9" t="s">
        <v>129</v>
      </c>
    </row>
    <row r="18" ht="24" customHeight="1" spans="2:9">
      <c r="B18" s="41" t="s">
        <v>717</v>
      </c>
      <c r="C18" s="15" t="s">
        <v>129</v>
      </c>
      <c r="D18" s="15" t="s">
        <v>129</v>
      </c>
      <c r="E18" s="15" t="s">
        <v>129</v>
      </c>
      <c r="F18" s="15" t="s">
        <v>129</v>
      </c>
      <c r="G18" s="15" t="s">
        <v>129</v>
      </c>
      <c r="H18" s="15" t="s">
        <v>129</v>
      </c>
      <c r="I18" s="14" t="s">
        <v>129</v>
      </c>
    </row>
    <row r="19" ht="24" customHeight="1" spans="2:9">
      <c r="B19" s="38" t="s">
        <v>718</v>
      </c>
      <c r="C19" s="10" t="s">
        <v>129</v>
      </c>
      <c r="D19" s="10" t="s">
        <v>129</v>
      </c>
      <c r="E19" s="10" t="s">
        <v>129</v>
      </c>
      <c r="F19" s="10" t="s">
        <v>129</v>
      </c>
      <c r="G19" s="10" t="s">
        <v>129</v>
      </c>
      <c r="H19" s="10" t="s">
        <v>129</v>
      </c>
      <c r="I19" s="9" t="s">
        <v>129</v>
      </c>
    </row>
    <row r="20" ht="24" customHeight="1" spans="2:9">
      <c r="B20" s="41" t="s">
        <v>702</v>
      </c>
      <c r="C20" s="15" t="s">
        <v>129</v>
      </c>
      <c r="D20" s="15" t="s">
        <v>129</v>
      </c>
      <c r="E20" s="15" t="s">
        <v>129</v>
      </c>
      <c r="F20" s="15" t="s">
        <v>129</v>
      </c>
      <c r="G20" s="15" t="s">
        <v>129</v>
      </c>
      <c r="H20" s="15" t="s">
        <v>129</v>
      </c>
      <c r="I20" s="14" t="s">
        <v>129</v>
      </c>
    </row>
    <row r="21" ht="24" customHeight="1" spans="2:9">
      <c r="B21" s="38" t="s">
        <v>719</v>
      </c>
      <c r="C21" s="10" t="s">
        <v>129</v>
      </c>
      <c r="D21" s="10" t="s">
        <v>129</v>
      </c>
      <c r="E21" s="10" t="s">
        <v>129</v>
      </c>
      <c r="F21" s="10" t="s">
        <v>129</v>
      </c>
      <c r="G21" s="10" t="s">
        <v>129</v>
      </c>
      <c r="H21" s="10" t="s">
        <v>129</v>
      </c>
      <c r="I21" s="9" t="s">
        <v>129</v>
      </c>
    </row>
    <row r="22" ht="24" customHeight="1" spans="2:9">
      <c r="B22" s="41" t="s">
        <v>720</v>
      </c>
      <c r="C22" s="15" t="s">
        <v>129</v>
      </c>
      <c r="D22" s="15" t="s">
        <v>129</v>
      </c>
      <c r="E22" s="15" t="s">
        <v>129</v>
      </c>
      <c r="F22" s="15" t="s">
        <v>129</v>
      </c>
      <c r="G22" s="15" t="s">
        <v>129</v>
      </c>
      <c r="H22" s="15" t="s">
        <v>129</v>
      </c>
      <c r="I22" s="14" t="s">
        <v>129</v>
      </c>
    </row>
    <row r="23" ht="24" customHeight="1" spans="2:9">
      <c r="B23" s="38" t="s">
        <v>721</v>
      </c>
      <c r="C23" s="10" t="s">
        <v>129</v>
      </c>
      <c r="D23" s="10" t="s">
        <v>129</v>
      </c>
      <c r="E23" s="10" t="s">
        <v>129</v>
      </c>
      <c r="F23" s="10" t="s">
        <v>129</v>
      </c>
      <c r="G23" s="10" t="s">
        <v>129</v>
      </c>
      <c r="H23" s="10" t="s">
        <v>129</v>
      </c>
      <c r="I23" s="9" t="s">
        <v>129</v>
      </c>
    </row>
    <row r="24" ht="24" customHeight="1" spans="2:9">
      <c r="B24" s="41" t="s">
        <v>722</v>
      </c>
      <c r="C24" s="15" t="s">
        <v>129</v>
      </c>
      <c r="D24" s="15" t="s">
        <v>129</v>
      </c>
      <c r="E24" s="15" t="s">
        <v>129</v>
      </c>
      <c r="F24" s="15" t="s">
        <v>129</v>
      </c>
      <c r="G24" s="15" t="s">
        <v>129</v>
      </c>
      <c r="H24" s="15" t="s">
        <v>129</v>
      </c>
      <c r="I24" s="14" t="s">
        <v>129</v>
      </c>
    </row>
    <row r="25" ht="24" customHeight="1"/>
    <row r="26" ht="20" customHeight="1" spans="2:9">
      <c r="B26" s="31" t="s">
        <v>723</v>
      </c>
    </row>
    <row r="27" ht="24" customHeight="1"/>
    <row r="28" ht="24" customHeight="1"/>
    <row r="29" ht="24" customHeight="1"/>
    <row r="30" ht="24" customHeight="1"/>
    <row r="31" ht="24" customHeight="1"/>
  </sheetData>
  <mergeCells count="6">
    <mergeCell ref="B2:I2"/>
    <mergeCell ref="B3:I3"/>
    <mergeCell ref="B4:I4"/>
    <mergeCell ref="B5:I5"/>
    <mergeCell ref="B14:I14"/>
    <mergeCell ref="B26:I26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7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10" customWidth="1"/>
    <col min="3" max="3" width="28" customWidth="1"/>
    <col min="4" max="4" width="16" customWidth="1"/>
    <col min="5" max="5" width="14" customWidth="1"/>
    <col min="6" max="7" width="12" customWidth="1"/>
    <col min="8" max="9" width="14" customWidth="1"/>
    <col min="10" max="10" width="3" customWidth="1"/>
  </cols>
  <sheetData>
    <row r="1" ht="10" customHeight="1"/>
    <row r="2" ht="48" customHeight="1" spans="2:9">
      <c r="B2" s="1" t="s">
        <v>724</v>
      </c>
    </row>
    <row r="3" ht="20" customHeight="1" spans="2:9">
      <c r="B3" s="35" t="s">
        <v>2</v>
      </c>
    </row>
    <row r="4" ht="25" customHeight="1" spans="2:9">
      <c r="B4" s="2" t="s">
        <v>725</v>
      </c>
    </row>
    <row r="5" ht="24" customHeight="1" spans="2:9">
      <c r="B5" s="4" t="s">
        <v>726</v>
      </c>
      <c r="C5" s="4" t="s">
        <v>727</v>
      </c>
      <c r="D5" s="4" t="s">
        <v>728</v>
      </c>
      <c r="E5" s="4" t="s">
        <v>729</v>
      </c>
      <c r="F5" s="4" t="s">
        <v>730</v>
      </c>
      <c r="G5" s="4" t="s">
        <v>731</v>
      </c>
      <c r="H5" s="4" t="s">
        <v>732</v>
      </c>
      <c r="I5" s="4" t="s">
        <v>733</v>
      </c>
    </row>
    <row r="6" ht="24" customHeight="1" spans="2:9">
      <c r="B6" s="5" t="s">
        <v>734</v>
      </c>
      <c r="C6" s="6" t="s">
        <v>129</v>
      </c>
      <c r="D6" s="7" t="s">
        <v>129</v>
      </c>
      <c r="E6" s="7" t="s">
        <v>129</v>
      </c>
      <c r="F6" s="7" t="s">
        <v>735</v>
      </c>
      <c r="G6" s="7" t="s">
        <v>736</v>
      </c>
      <c r="H6" s="7" t="s">
        <v>737</v>
      </c>
      <c r="I6" s="7" t="s">
        <v>738</v>
      </c>
    </row>
    <row r="7" ht="24" customHeight="1" spans="2:9">
      <c r="B7" s="8" t="s">
        <v>739</v>
      </c>
      <c r="C7" s="9" t="s">
        <v>129</v>
      </c>
      <c r="D7" s="10" t="s">
        <v>129</v>
      </c>
      <c r="E7" s="10" t="s">
        <v>129</v>
      </c>
      <c r="F7" s="10" t="s">
        <v>740</v>
      </c>
      <c r="G7" s="10" t="s">
        <v>741</v>
      </c>
      <c r="H7" s="10" t="s">
        <v>742</v>
      </c>
      <c r="I7" s="10" t="s">
        <v>738</v>
      </c>
    </row>
    <row r="8" ht="24" customHeight="1" spans="2:9">
      <c r="B8" s="5" t="s">
        <v>743</v>
      </c>
      <c r="C8" s="6" t="s">
        <v>129</v>
      </c>
      <c r="D8" s="7" t="s">
        <v>129</v>
      </c>
      <c r="E8" s="7" t="s">
        <v>129</v>
      </c>
      <c r="F8" s="7" t="s">
        <v>744</v>
      </c>
      <c r="G8" s="7" t="s">
        <v>745</v>
      </c>
      <c r="H8" s="7" t="s">
        <v>746</v>
      </c>
      <c r="I8" s="7" t="s">
        <v>738</v>
      </c>
    </row>
    <row r="9" ht="24" customHeight="1" spans="2:9">
      <c r="B9" s="8" t="s">
        <v>747</v>
      </c>
      <c r="C9" s="9" t="s">
        <v>129</v>
      </c>
      <c r="D9" s="10" t="s">
        <v>129</v>
      </c>
      <c r="E9" s="10" t="s">
        <v>129</v>
      </c>
      <c r="F9" s="10" t="s">
        <v>748</v>
      </c>
      <c r="G9" s="10" t="s">
        <v>749</v>
      </c>
      <c r="H9" s="10" t="s">
        <v>750</v>
      </c>
      <c r="I9" s="10" t="s">
        <v>738</v>
      </c>
    </row>
    <row r="10" ht="24" customHeight="1" spans="2:9">
      <c r="B10" s="5" t="s">
        <v>751</v>
      </c>
      <c r="C10" s="6" t="s">
        <v>129</v>
      </c>
      <c r="D10" s="7" t="s">
        <v>129</v>
      </c>
      <c r="E10" s="7" t="s">
        <v>129</v>
      </c>
      <c r="F10" s="7" t="s">
        <v>752</v>
      </c>
      <c r="G10" s="7" t="s">
        <v>753</v>
      </c>
      <c r="H10" s="7" t="s">
        <v>754</v>
      </c>
      <c r="I10" s="7" t="s">
        <v>738</v>
      </c>
    </row>
    <row r="11" ht="24" customHeight="1" spans="2:9">
      <c r="B11" s="8" t="s">
        <v>755</v>
      </c>
      <c r="C11" s="9" t="s">
        <v>129</v>
      </c>
      <c r="D11" s="10" t="s">
        <v>129</v>
      </c>
      <c r="E11" s="10" t="s">
        <v>129</v>
      </c>
      <c r="F11" s="10" t="s">
        <v>756</v>
      </c>
      <c r="G11" s="10" t="s">
        <v>757</v>
      </c>
      <c r="H11" s="10" t="s">
        <v>758</v>
      </c>
      <c r="I11" s="10" t="s">
        <v>738</v>
      </c>
    </row>
    <row r="12" ht="24" customHeight="1" spans="2:9">
      <c r="B12" s="5" t="s">
        <v>759</v>
      </c>
      <c r="C12" s="6" t="s">
        <v>129</v>
      </c>
      <c r="D12" s="7" t="s">
        <v>129</v>
      </c>
      <c r="E12" s="7" t="s">
        <v>129</v>
      </c>
      <c r="F12" s="7" t="s">
        <v>735</v>
      </c>
      <c r="G12" s="7" t="s">
        <v>736</v>
      </c>
      <c r="H12" s="7" t="s">
        <v>760</v>
      </c>
      <c r="I12" s="7" t="s">
        <v>738</v>
      </c>
    </row>
    <row r="13" ht="24" customHeight="1" spans="2:9">
      <c r="B13" s="8" t="s">
        <v>761</v>
      </c>
      <c r="C13" s="9" t="s">
        <v>129</v>
      </c>
      <c r="D13" s="10" t="s">
        <v>129</v>
      </c>
      <c r="E13" s="10" t="s">
        <v>129</v>
      </c>
      <c r="F13" s="10" t="s">
        <v>740</v>
      </c>
      <c r="G13" s="10" t="s">
        <v>741</v>
      </c>
      <c r="H13" s="10" t="s">
        <v>762</v>
      </c>
      <c r="I13" s="10" t="s">
        <v>738</v>
      </c>
    </row>
    <row r="14" ht="24" customHeight="1" spans="2:9">
      <c r="B14" s="5" t="s">
        <v>763</v>
      </c>
      <c r="C14" s="6" t="s">
        <v>129</v>
      </c>
      <c r="D14" s="7" t="s">
        <v>129</v>
      </c>
      <c r="E14" s="7" t="s">
        <v>129</v>
      </c>
      <c r="F14" s="7" t="s">
        <v>744</v>
      </c>
      <c r="G14" s="7" t="s">
        <v>745</v>
      </c>
      <c r="H14" s="7" t="s">
        <v>764</v>
      </c>
      <c r="I14" s="7" t="s">
        <v>738</v>
      </c>
    </row>
    <row r="15" ht="24" customHeight="1" spans="2:9">
      <c r="B15" s="8" t="s">
        <v>765</v>
      </c>
      <c r="C15" s="9" t="s">
        <v>129</v>
      </c>
      <c r="D15" s="10" t="s">
        <v>129</v>
      </c>
      <c r="E15" s="10" t="s">
        <v>129</v>
      </c>
      <c r="F15" s="10" t="s">
        <v>748</v>
      </c>
      <c r="G15" s="10" t="s">
        <v>749</v>
      </c>
      <c r="H15" s="10" t="s">
        <v>766</v>
      </c>
      <c r="I15" s="10" t="s">
        <v>738</v>
      </c>
    </row>
    <row r="16" ht="24" customHeight="1" spans="2:9">
      <c r="B16" s="5" t="s">
        <v>767</v>
      </c>
      <c r="C16" s="6" t="s">
        <v>129</v>
      </c>
      <c r="D16" s="7" t="s">
        <v>129</v>
      </c>
      <c r="E16" s="7" t="s">
        <v>129</v>
      </c>
      <c r="F16" s="7" t="s">
        <v>752</v>
      </c>
      <c r="G16" s="7" t="s">
        <v>753</v>
      </c>
      <c r="H16" s="7" t="s">
        <v>768</v>
      </c>
      <c r="I16" s="7" t="s">
        <v>738</v>
      </c>
    </row>
    <row r="17" ht="24" customHeight="1" spans="2:9">
      <c r="B17" s="8" t="s">
        <v>769</v>
      </c>
      <c r="C17" s="9" t="s">
        <v>129</v>
      </c>
      <c r="D17" s="10" t="s">
        <v>129</v>
      </c>
      <c r="E17" s="10" t="s">
        <v>129</v>
      </c>
      <c r="F17" s="10" t="s">
        <v>756</v>
      </c>
      <c r="G17" s="10" t="s">
        <v>757</v>
      </c>
      <c r="H17" s="10" t="s">
        <v>770</v>
      </c>
      <c r="I17" s="10" t="s">
        <v>738</v>
      </c>
    </row>
    <row r="18" ht="24" customHeight="1" spans="2:9">
      <c r="B18" s="5" t="s">
        <v>771</v>
      </c>
      <c r="C18" s="6" t="s">
        <v>129</v>
      </c>
      <c r="D18" s="7" t="s">
        <v>129</v>
      </c>
      <c r="E18" s="7" t="s">
        <v>129</v>
      </c>
      <c r="F18" s="7" t="s">
        <v>735</v>
      </c>
      <c r="G18" s="7" t="s">
        <v>736</v>
      </c>
      <c r="H18" s="7" t="s">
        <v>772</v>
      </c>
      <c r="I18" s="7" t="s">
        <v>738</v>
      </c>
    </row>
    <row r="19" ht="24" customHeight="1" spans="2:9">
      <c r="B19" s="8" t="s">
        <v>773</v>
      </c>
      <c r="C19" s="9" t="s">
        <v>129</v>
      </c>
      <c r="D19" s="10" t="s">
        <v>129</v>
      </c>
      <c r="E19" s="10" t="s">
        <v>129</v>
      </c>
      <c r="F19" s="10" t="s">
        <v>740</v>
      </c>
      <c r="G19" s="10" t="s">
        <v>741</v>
      </c>
      <c r="H19" s="10" t="s">
        <v>774</v>
      </c>
      <c r="I19" s="10" t="s">
        <v>738</v>
      </c>
    </row>
    <row r="20" ht="24" customHeight="1"/>
    <row r="21" ht="20" customHeight="1" spans="2:9">
      <c r="B21" s="31" t="s">
        <v>775</v>
      </c>
    </row>
    <row r="22" ht="24" customHeight="1"/>
    <row r="23" ht="24" customHeight="1"/>
    <row r="24" ht="24" customHeight="1"/>
    <row r="25" ht="24" customHeight="1"/>
    <row r="26" ht="24" customHeight="1"/>
    <row r="27" ht="24" customHeight="1"/>
  </sheetData>
  <mergeCells count="4">
    <mergeCell ref="B2:I2"/>
    <mergeCell ref="B3:I3"/>
    <mergeCell ref="B4:I4"/>
    <mergeCell ref="B21:I2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54"/>
  <sheetViews>
    <sheetView showGridLines="0" workbookViewId="0">
      <selection activeCell="A1" sqref="A1"/>
    </sheetView>
  </sheetViews>
  <sheetFormatPr defaultColWidth="9" defaultRowHeight="14.4" outlineLevelCol="6"/>
  <cols>
    <col min="1" max="1" width="3" customWidth="1"/>
    <col min="2" max="2" width="8" customWidth="1"/>
    <col min="3" max="3" width="32" customWidth="1"/>
    <col min="4" max="7" width="16" customWidth="1"/>
    <col min="8" max="8" width="3" customWidth="1"/>
  </cols>
  <sheetData>
    <row r="1" ht="10" customHeight="1"/>
    <row r="2" ht="52" customHeight="1" spans="2:7">
      <c r="B2" s="34" t="s">
        <v>776</v>
      </c>
    </row>
    <row r="3" ht="20" customHeight="1" spans="2:7">
      <c r="B3" s="2" t="s">
        <v>777</v>
      </c>
    </row>
    <row r="4" ht="24" customHeight="1" spans="2:7">
      <c r="B4" s="3" t="s">
        <v>778</v>
      </c>
    </row>
    <row r="5" ht="22" customHeight="1" spans="2:7">
      <c r="B5" s="4" t="s">
        <v>779</v>
      </c>
      <c r="C5" s="4" t="s">
        <v>780</v>
      </c>
      <c r="D5" s="4" t="s">
        <v>781</v>
      </c>
      <c r="E5" s="4" t="s">
        <v>782</v>
      </c>
      <c r="F5" s="4" t="s">
        <v>357</v>
      </c>
      <c r="G5" s="4" t="s">
        <v>129</v>
      </c>
    </row>
    <row r="6" ht="22" customHeight="1" spans="2:7">
      <c r="B6" s="40" t="s">
        <v>783</v>
      </c>
      <c r="C6" s="7">
        <f ca="1">COUNTA(INDIRECT("'ICC-17 Case Closure'!B6:B19"))</f>
        <v>14</v>
      </c>
      <c r="D6" s="7" t="s">
        <v>129</v>
      </c>
      <c r="E6" s="7" t="str">
        <f ca="1" t="shared" ref="E6:E18" si="0">IFERROR(C6-D6,"")</f>
        <v/>
      </c>
      <c r="F6" s="6" t="s">
        <v>129</v>
      </c>
      <c r="G6" s="7" t="s">
        <v>129</v>
      </c>
    </row>
    <row r="7" ht="22" customHeight="1" spans="2:7">
      <c r="B7" s="38" t="s">
        <v>784</v>
      </c>
      <c r="C7" s="10" t="s">
        <v>129</v>
      </c>
      <c r="D7" s="10" t="s">
        <v>129</v>
      </c>
      <c r="E7" s="10" t="str">
        <f t="shared" si="0"/>
        <v/>
      </c>
      <c r="F7" s="9" t="s">
        <v>129</v>
      </c>
      <c r="G7" s="10" t="s">
        <v>129</v>
      </c>
    </row>
    <row r="8" ht="22" customHeight="1" spans="2:7">
      <c r="B8" s="40" t="s">
        <v>785</v>
      </c>
      <c r="C8" s="7" t="s">
        <v>129</v>
      </c>
      <c r="D8" s="7" t="s">
        <v>129</v>
      </c>
      <c r="E8" s="7" t="str">
        <f t="shared" si="0"/>
        <v/>
      </c>
      <c r="F8" s="6" t="s">
        <v>129</v>
      </c>
      <c r="G8" s="7" t="s">
        <v>129</v>
      </c>
    </row>
    <row r="9" ht="22" customHeight="1" spans="2:7">
      <c r="B9" s="38" t="s">
        <v>786</v>
      </c>
      <c r="C9" s="10" t="s">
        <v>129</v>
      </c>
      <c r="D9" s="10" t="s">
        <v>129</v>
      </c>
      <c r="E9" s="10" t="str">
        <f t="shared" si="0"/>
        <v/>
      </c>
      <c r="F9" s="9" t="s">
        <v>129</v>
      </c>
      <c r="G9" s="10" t="s">
        <v>129</v>
      </c>
    </row>
    <row r="10" ht="22" customHeight="1" spans="2:7">
      <c r="B10" s="40" t="s">
        <v>787</v>
      </c>
      <c r="C10" s="7" t="s">
        <v>129</v>
      </c>
      <c r="D10" s="7" t="s">
        <v>129</v>
      </c>
      <c r="E10" s="7" t="str">
        <f t="shared" si="0"/>
        <v/>
      </c>
      <c r="F10" s="6" t="s">
        <v>129</v>
      </c>
      <c r="G10" s="7" t="s">
        <v>129</v>
      </c>
    </row>
    <row r="11" ht="22" customHeight="1" spans="2:7">
      <c r="B11" s="38" t="s">
        <v>788</v>
      </c>
      <c r="C11" s="10" t="s">
        <v>129</v>
      </c>
      <c r="D11" s="10" t="s">
        <v>129</v>
      </c>
      <c r="E11" s="10" t="str">
        <f t="shared" si="0"/>
        <v/>
      </c>
      <c r="F11" s="9" t="s">
        <v>129</v>
      </c>
      <c r="G11" s="10" t="s">
        <v>129</v>
      </c>
    </row>
    <row r="12" ht="22" customHeight="1" spans="2:7">
      <c r="B12" s="40" t="s">
        <v>789</v>
      </c>
      <c r="C12" s="7" t="s">
        <v>129</v>
      </c>
      <c r="D12" s="7" t="s">
        <v>129</v>
      </c>
      <c r="E12" s="7" t="str">
        <f t="shared" si="0"/>
        <v/>
      </c>
      <c r="F12" s="6" t="s">
        <v>129</v>
      </c>
      <c r="G12" s="7" t="s">
        <v>129</v>
      </c>
    </row>
    <row r="13" ht="22" customHeight="1" spans="2:7">
      <c r="B13" s="38" t="s">
        <v>790</v>
      </c>
      <c r="C13" s="10" t="s">
        <v>129</v>
      </c>
      <c r="D13" s="10" t="s">
        <v>129</v>
      </c>
      <c r="E13" s="10" t="str">
        <f t="shared" si="0"/>
        <v/>
      </c>
      <c r="F13" s="9" t="s">
        <v>129</v>
      </c>
      <c r="G13" s="10" t="s">
        <v>129</v>
      </c>
    </row>
    <row r="14" ht="22" customHeight="1" spans="2:7">
      <c r="B14" s="40" t="s">
        <v>791</v>
      </c>
      <c r="C14" s="7" t="s">
        <v>129</v>
      </c>
      <c r="D14" s="7" t="s">
        <v>129</v>
      </c>
      <c r="E14" s="7" t="str">
        <f t="shared" si="0"/>
        <v/>
      </c>
      <c r="F14" s="6" t="s">
        <v>129</v>
      </c>
      <c r="G14" s="7" t="s">
        <v>129</v>
      </c>
    </row>
    <row r="15" ht="22" customHeight="1" spans="2:7">
      <c r="B15" s="38" t="s">
        <v>792</v>
      </c>
      <c r="C15" s="10" t="s">
        <v>129</v>
      </c>
      <c r="D15" s="10" t="s">
        <v>129</v>
      </c>
      <c r="E15" s="10" t="str">
        <f t="shared" si="0"/>
        <v/>
      </c>
      <c r="F15" s="9" t="s">
        <v>129</v>
      </c>
      <c r="G15" s="10" t="s">
        <v>129</v>
      </c>
    </row>
    <row r="16" ht="22" customHeight="1" spans="2:7">
      <c r="B16" s="40" t="s">
        <v>793</v>
      </c>
      <c r="C16" s="7" t="s">
        <v>129</v>
      </c>
      <c r="D16" s="7" t="s">
        <v>129</v>
      </c>
      <c r="E16" s="7" t="str">
        <f t="shared" si="0"/>
        <v/>
      </c>
      <c r="F16" s="6" t="s">
        <v>129</v>
      </c>
      <c r="G16" s="7" t="s">
        <v>129</v>
      </c>
    </row>
    <row r="17" ht="22" customHeight="1" spans="2:7">
      <c r="B17" s="38" t="s">
        <v>794</v>
      </c>
      <c r="C17" s="10" t="s">
        <v>129</v>
      </c>
      <c r="D17" s="10" t="s">
        <v>129</v>
      </c>
      <c r="E17" s="10" t="str">
        <f t="shared" si="0"/>
        <v/>
      </c>
      <c r="F17" s="9" t="s">
        <v>129</v>
      </c>
      <c r="G17" s="10" t="s">
        <v>129</v>
      </c>
    </row>
    <row r="18" ht="22" customHeight="1" spans="2:7">
      <c r="B18" s="40" t="s">
        <v>795</v>
      </c>
      <c r="C18" s="7" t="s">
        <v>129</v>
      </c>
      <c r="D18" s="7" t="s">
        <v>129</v>
      </c>
      <c r="E18" s="7" t="str">
        <f t="shared" si="0"/>
        <v/>
      </c>
      <c r="F18" s="6" t="s">
        <v>129</v>
      </c>
      <c r="G18" s="7" t="s">
        <v>129</v>
      </c>
    </row>
    <row r="19" ht="22" customHeight="1"/>
    <row r="20" ht="24" customHeight="1" spans="2:7">
      <c r="B20" s="11" t="s">
        <v>796</v>
      </c>
    </row>
    <row r="21" ht="22" customHeight="1" spans="2:7">
      <c r="B21" s="12" t="s">
        <v>797</v>
      </c>
      <c r="C21" s="12" t="s">
        <v>798</v>
      </c>
      <c r="D21" s="12" t="s">
        <v>799</v>
      </c>
      <c r="E21" s="12" t="s">
        <v>319</v>
      </c>
      <c r="F21" s="12" t="s">
        <v>800</v>
      </c>
      <c r="G21" s="12" t="s">
        <v>357</v>
      </c>
    </row>
    <row r="22" ht="22" customHeight="1" spans="2:7">
      <c r="B22" s="41" t="s">
        <v>801</v>
      </c>
      <c r="C22" s="15" t="s">
        <v>129</v>
      </c>
      <c r="D22" s="15" t="s">
        <v>129</v>
      </c>
      <c r="E22" s="15" t="s">
        <v>129</v>
      </c>
      <c r="F22" s="15" t="s">
        <v>129</v>
      </c>
      <c r="G22" s="14" t="s">
        <v>129</v>
      </c>
    </row>
    <row r="23" ht="22" customHeight="1" spans="2:7">
      <c r="B23" s="38" t="s">
        <v>802</v>
      </c>
      <c r="C23" s="10" t="s">
        <v>129</v>
      </c>
      <c r="D23" s="10" t="s">
        <v>129</v>
      </c>
      <c r="E23" s="10" t="s">
        <v>129</v>
      </c>
      <c r="F23" s="10" t="s">
        <v>129</v>
      </c>
      <c r="G23" s="9" t="s">
        <v>129</v>
      </c>
    </row>
    <row r="24" ht="22" customHeight="1" spans="2:7">
      <c r="B24" s="41" t="s">
        <v>803</v>
      </c>
      <c r="C24" s="15" t="s">
        <v>129</v>
      </c>
      <c r="D24" s="15" t="s">
        <v>129</v>
      </c>
      <c r="E24" s="15" t="s">
        <v>129</v>
      </c>
      <c r="F24" s="15" t="s">
        <v>129</v>
      </c>
      <c r="G24" s="14" t="s">
        <v>129</v>
      </c>
    </row>
    <row r="25" ht="22" customHeight="1" spans="2:7">
      <c r="B25" s="38" t="s">
        <v>804</v>
      </c>
      <c r="C25" s="10" t="s">
        <v>129</v>
      </c>
      <c r="D25" s="10" t="s">
        <v>129</v>
      </c>
      <c r="E25" s="10" t="s">
        <v>129</v>
      </c>
      <c r="F25" s="10" t="s">
        <v>129</v>
      </c>
      <c r="G25" s="9" t="s">
        <v>129</v>
      </c>
    </row>
    <row r="26" ht="22" customHeight="1" spans="2:7">
      <c r="B26" s="41" t="s">
        <v>805</v>
      </c>
      <c r="C26" s="15" t="s">
        <v>129</v>
      </c>
      <c r="D26" s="15" t="s">
        <v>129</v>
      </c>
      <c r="E26" s="15" t="s">
        <v>129</v>
      </c>
      <c r="F26" s="15" t="s">
        <v>129</v>
      </c>
      <c r="G26" s="14" t="s">
        <v>129</v>
      </c>
    </row>
    <row r="27" ht="22" customHeight="1" spans="2:7">
      <c r="B27" s="38" t="s">
        <v>806</v>
      </c>
      <c r="C27" s="10" t="s">
        <v>129</v>
      </c>
      <c r="D27" s="10" t="s">
        <v>129</v>
      </c>
      <c r="E27" s="10" t="s">
        <v>129</v>
      </c>
      <c r="F27" s="10" t="s">
        <v>129</v>
      </c>
      <c r="G27" s="9" t="s">
        <v>129</v>
      </c>
    </row>
    <row r="28" ht="22" customHeight="1"/>
    <row r="29" ht="24" customHeight="1" spans="2:7">
      <c r="B29" s="16" t="s">
        <v>807</v>
      </c>
    </row>
    <row r="30" ht="22" customHeight="1" spans="2:7">
      <c r="B30" s="17" t="s">
        <v>147</v>
      </c>
      <c r="C30" s="17" t="s">
        <v>148</v>
      </c>
      <c r="D30" s="17" t="s">
        <v>129</v>
      </c>
      <c r="E30" s="17" t="s">
        <v>129</v>
      </c>
      <c r="F30" s="17" t="s">
        <v>129</v>
      </c>
      <c r="G30" s="17" t="s">
        <v>129</v>
      </c>
    </row>
    <row r="31" ht="28" customHeight="1" spans="2:7">
      <c r="B31" s="47" t="s">
        <v>808</v>
      </c>
      <c r="C31" s="19"/>
    </row>
    <row r="32" ht="28" customHeight="1" spans="2:7">
      <c r="B32" s="48" t="s">
        <v>809</v>
      </c>
      <c r="C32" s="9"/>
    </row>
    <row r="33" ht="28" customHeight="1" spans="2:3">
      <c r="B33" s="47" t="s">
        <v>810</v>
      </c>
      <c r="C33" s="19"/>
    </row>
    <row r="34" ht="28" customHeight="1" spans="2:3">
      <c r="B34" s="48" t="s">
        <v>811</v>
      </c>
      <c r="C34" s="9"/>
    </row>
    <row r="35" ht="28" customHeight="1" spans="2:3">
      <c r="B35" s="47" t="s">
        <v>812</v>
      </c>
      <c r="C35" s="19"/>
    </row>
    <row r="36" ht="28" customHeight="1" spans="2:3">
      <c r="B36" s="48" t="s">
        <v>813</v>
      </c>
      <c r="C36" s="9"/>
    </row>
    <row r="37" ht="28" customHeight="1" spans="2:3">
      <c r="B37" s="47" t="s">
        <v>814</v>
      </c>
      <c r="C37" s="19"/>
    </row>
    <row r="38" ht="28" customHeight="1" spans="2:3">
      <c r="B38" s="48" t="s">
        <v>815</v>
      </c>
      <c r="C38" s="9"/>
    </row>
    <row r="39" ht="28" customHeight="1" spans="2:3">
      <c r="B39" s="47" t="s">
        <v>816</v>
      </c>
      <c r="C39" s="19"/>
    </row>
    <row r="40" ht="28" customHeight="1" spans="2:3">
      <c r="B40" s="48" t="s">
        <v>817</v>
      </c>
      <c r="C40" s="9"/>
    </row>
    <row r="41" ht="22" customHeight="1"/>
    <row r="42" ht="22" customHeight="1" spans="2:3">
      <c r="B42" s="33" t="s">
        <v>818</v>
      </c>
    </row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16">
    <mergeCell ref="B2:G2"/>
    <mergeCell ref="B3:G3"/>
    <mergeCell ref="B4:G4"/>
    <mergeCell ref="B20:G20"/>
    <mergeCell ref="B29:G29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B42:G42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41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10" customWidth="1"/>
    <col min="3" max="3" width="22" customWidth="1"/>
    <col min="4" max="4" width="12" customWidth="1"/>
    <col min="5" max="5" width="14" customWidth="1"/>
    <col min="6" max="11" width="12" customWidth="1"/>
    <col min="12" max="12" width="3" customWidth="1"/>
  </cols>
  <sheetData>
    <row r="1" ht="10" customHeight="1"/>
    <row r="2" ht="48" customHeight="1" spans="2:11">
      <c r="B2" s="1" t="s">
        <v>819</v>
      </c>
    </row>
    <row r="3" ht="20" customHeight="1" spans="2:11">
      <c r="B3" s="35" t="s">
        <v>2</v>
      </c>
    </row>
    <row r="4" ht="25" customHeight="1" spans="2:11">
      <c r="B4" s="2" t="s">
        <v>820</v>
      </c>
    </row>
    <row r="5" ht="24" customHeight="1" spans="2:11">
      <c r="B5" s="3" t="s">
        <v>821</v>
      </c>
    </row>
    <row r="6" ht="22" customHeight="1" spans="2:11">
      <c r="B6" s="4" t="s">
        <v>726</v>
      </c>
      <c r="C6" s="4" t="s">
        <v>822</v>
      </c>
      <c r="D6" s="4" t="s">
        <v>551</v>
      </c>
      <c r="E6" s="4" t="s">
        <v>823</v>
      </c>
      <c r="F6" s="4" t="s">
        <v>824</v>
      </c>
      <c r="G6" s="4" t="s">
        <v>825</v>
      </c>
      <c r="H6" s="4" t="s">
        <v>826</v>
      </c>
      <c r="I6" s="4" t="s">
        <v>827</v>
      </c>
      <c r="J6" s="4" t="s">
        <v>828</v>
      </c>
      <c r="K6" s="4" t="s">
        <v>829</v>
      </c>
    </row>
    <row r="7" ht="22" customHeight="1" spans="2:11">
      <c r="B7" s="5" t="s">
        <v>734</v>
      </c>
      <c r="C7" s="7" t="s">
        <v>830</v>
      </c>
      <c r="D7" s="7" t="s">
        <v>129</v>
      </c>
      <c r="E7" s="7" t="s">
        <v>129</v>
      </c>
      <c r="F7" s="7" t="s">
        <v>129</v>
      </c>
      <c r="G7" s="5" t="str">
        <f ca="1" t="shared" ref="G7:G16" si="0">IFERROR(F7-TODAY(),"")</f>
        <v/>
      </c>
      <c r="H7" s="7" t="s">
        <v>831</v>
      </c>
      <c r="I7" s="7" t="s">
        <v>129</v>
      </c>
      <c r="J7" s="7" t="s">
        <v>129</v>
      </c>
      <c r="K7" s="7" t="s">
        <v>129</v>
      </c>
    </row>
    <row r="8" ht="22" customHeight="1" spans="2:11">
      <c r="B8" s="8" t="s">
        <v>739</v>
      </c>
      <c r="C8" s="10" t="s">
        <v>830</v>
      </c>
      <c r="D8" s="10" t="s">
        <v>129</v>
      </c>
      <c r="E8" s="10" t="s">
        <v>129</v>
      </c>
      <c r="F8" s="10" t="s">
        <v>129</v>
      </c>
      <c r="G8" s="8" t="str">
        <f ca="1" t="shared" si="0"/>
        <v/>
      </c>
      <c r="H8" s="10" t="s">
        <v>832</v>
      </c>
      <c r="I8" s="10" t="s">
        <v>129</v>
      </c>
      <c r="J8" s="10" t="s">
        <v>129</v>
      </c>
      <c r="K8" s="10" t="s">
        <v>129</v>
      </c>
    </row>
    <row r="9" ht="22" customHeight="1" spans="2:11">
      <c r="B9" s="5" t="s">
        <v>743</v>
      </c>
      <c r="C9" s="7" t="s">
        <v>830</v>
      </c>
      <c r="D9" s="7" t="s">
        <v>129</v>
      </c>
      <c r="E9" s="7" t="s">
        <v>129</v>
      </c>
      <c r="F9" s="7" t="s">
        <v>129</v>
      </c>
      <c r="G9" s="5" t="str">
        <f ca="1" t="shared" si="0"/>
        <v/>
      </c>
      <c r="H9" s="7" t="s">
        <v>833</v>
      </c>
      <c r="I9" s="7" t="s">
        <v>129</v>
      </c>
      <c r="J9" s="7" t="s">
        <v>129</v>
      </c>
      <c r="K9" s="7" t="s">
        <v>129</v>
      </c>
    </row>
    <row r="10" ht="22" customHeight="1" spans="2:11">
      <c r="B10" s="8" t="s">
        <v>747</v>
      </c>
      <c r="C10" s="10" t="s">
        <v>830</v>
      </c>
      <c r="D10" s="10" t="s">
        <v>129</v>
      </c>
      <c r="E10" s="10" t="s">
        <v>129</v>
      </c>
      <c r="F10" s="10" t="s">
        <v>129</v>
      </c>
      <c r="G10" s="8" t="str">
        <f ca="1" t="shared" si="0"/>
        <v/>
      </c>
      <c r="H10" s="10" t="s">
        <v>834</v>
      </c>
      <c r="I10" s="10" t="s">
        <v>129</v>
      </c>
      <c r="J10" s="10" t="s">
        <v>129</v>
      </c>
      <c r="K10" s="10" t="s">
        <v>129</v>
      </c>
    </row>
    <row r="11" ht="22" customHeight="1" spans="2:11">
      <c r="B11" s="5" t="s">
        <v>751</v>
      </c>
      <c r="C11" s="7" t="s">
        <v>830</v>
      </c>
      <c r="D11" s="7" t="s">
        <v>129</v>
      </c>
      <c r="E11" s="7" t="s">
        <v>129</v>
      </c>
      <c r="F11" s="7" t="s">
        <v>129</v>
      </c>
      <c r="G11" s="5" t="str">
        <f ca="1" t="shared" si="0"/>
        <v/>
      </c>
      <c r="H11" s="7" t="s">
        <v>835</v>
      </c>
      <c r="I11" s="7" t="s">
        <v>129</v>
      </c>
      <c r="J11" s="7" t="s">
        <v>129</v>
      </c>
      <c r="K11" s="7" t="s">
        <v>129</v>
      </c>
    </row>
    <row r="12" ht="22" customHeight="1" spans="2:11">
      <c r="B12" s="8" t="s">
        <v>755</v>
      </c>
      <c r="C12" s="10" t="s">
        <v>830</v>
      </c>
      <c r="D12" s="10" t="s">
        <v>129</v>
      </c>
      <c r="E12" s="10" t="s">
        <v>129</v>
      </c>
      <c r="F12" s="10" t="s">
        <v>129</v>
      </c>
      <c r="G12" s="8" t="str">
        <f ca="1" t="shared" si="0"/>
        <v/>
      </c>
      <c r="H12" s="10" t="s">
        <v>836</v>
      </c>
      <c r="I12" s="10" t="s">
        <v>129</v>
      </c>
      <c r="J12" s="10" t="s">
        <v>129</v>
      </c>
      <c r="K12" s="10" t="s">
        <v>129</v>
      </c>
    </row>
    <row r="13" ht="22" customHeight="1" spans="2:11">
      <c r="B13" s="5" t="s">
        <v>759</v>
      </c>
      <c r="C13" s="7" t="s">
        <v>830</v>
      </c>
      <c r="D13" s="7" t="s">
        <v>129</v>
      </c>
      <c r="E13" s="7" t="s">
        <v>129</v>
      </c>
      <c r="F13" s="7" t="s">
        <v>129</v>
      </c>
      <c r="G13" s="5" t="str">
        <f ca="1" t="shared" si="0"/>
        <v/>
      </c>
      <c r="H13" s="7" t="s">
        <v>837</v>
      </c>
      <c r="I13" s="7" t="s">
        <v>129</v>
      </c>
      <c r="J13" s="7" t="s">
        <v>129</v>
      </c>
      <c r="K13" s="7" t="s">
        <v>129</v>
      </c>
    </row>
    <row r="14" ht="22" customHeight="1" spans="2:11">
      <c r="B14" s="8" t="s">
        <v>838</v>
      </c>
      <c r="C14" s="10" t="s">
        <v>830</v>
      </c>
      <c r="D14" s="10" t="s">
        <v>129</v>
      </c>
      <c r="E14" s="10" t="s">
        <v>129</v>
      </c>
      <c r="F14" s="10" t="s">
        <v>129</v>
      </c>
      <c r="G14" s="8" t="str">
        <f ca="1" t="shared" si="0"/>
        <v/>
      </c>
      <c r="H14" s="10" t="s">
        <v>839</v>
      </c>
      <c r="I14" s="10" t="s">
        <v>129</v>
      </c>
      <c r="J14" s="10" t="s">
        <v>129</v>
      </c>
      <c r="K14" s="10" t="s">
        <v>129</v>
      </c>
    </row>
    <row r="15" ht="22" customHeight="1" spans="2:11">
      <c r="B15" s="5" t="s">
        <v>840</v>
      </c>
      <c r="C15" s="7" t="s">
        <v>830</v>
      </c>
      <c r="D15" s="7" t="s">
        <v>129</v>
      </c>
      <c r="E15" s="7" t="s">
        <v>129</v>
      </c>
      <c r="F15" s="7" t="s">
        <v>129</v>
      </c>
      <c r="G15" s="5" t="str">
        <f ca="1" t="shared" si="0"/>
        <v/>
      </c>
      <c r="H15" s="7" t="s">
        <v>841</v>
      </c>
      <c r="I15" s="7" t="s">
        <v>129</v>
      </c>
      <c r="J15" s="7" t="s">
        <v>129</v>
      </c>
      <c r="K15" s="7" t="s">
        <v>129</v>
      </c>
    </row>
    <row r="16" ht="22" customHeight="1" spans="2:11">
      <c r="B16" s="8" t="s">
        <v>842</v>
      </c>
      <c r="C16" s="10" t="s">
        <v>830</v>
      </c>
      <c r="D16" s="10" t="s">
        <v>129</v>
      </c>
      <c r="E16" s="10" t="s">
        <v>129</v>
      </c>
      <c r="F16" s="10" t="s">
        <v>129</v>
      </c>
      <c r="G16" s="8" t="str">
        <f ca="1" t="shared" si="0"/>
        <v/>
      </c>
      <c r="H16" s="10" t="s">
        <v>843</v>
      </c>
      <c r="I16" s="10" t="s">
        <v>129</v>
      </c>
      <c r="J16" s="10" t="s">
        <v>129</v>
      </c>
      <c r="K16" s="10" t="s">
        <v>129</v>
      </c>
    </row>
    <row r="17" ht="22" customHeight="1"/>
    <row r="18" ht="24" customHeight="1" spans="2:11">
      <c r="B18" s="11" t="s">
        <v>844</v>
      </c>
    </row>
    <row r="19" ht="22" customHeight="1" spans="2:11">
      <c r="B19" s="12" t="s">
        <v>779</v>
      </c>
      <c r="C19" s="12" t="s">
        <v>845</v>
      </c>
      <c r="D19" s="12" t="s">
        <v>846</v>
      </c>
      <c r="E19" s="12" t="s">
        <v>847</v>
      </c>
      <c r="F19" s="12" t="s">
        <v>848</v>
      </c>
      <c r="G19" s="12" t="s">
        <v>129</v>
      </c>
      <c r="H19" s="12" t="s">
        <v>129</v>
      </c>
      <c r="I19" s="12" t="s">
        <v>129</v>
      </c>
      <c r="J19" s="12" t="s">
        <v>129</v>
      </c>
      <c r="K19" s="12" t="s">
        <v>129</v>
      </c>
    </row>
    <row r="20" ht="22" customHeight="1" spans="2:11">
      <c r="B20" s="41" t="s">
        <v>849</v>
      </c>
      <c r="C20" s="15" t="s">
        <v>129</v>
      </c>
      <c r="D20" s="15" t="s">
        <v>129</v>
      </c>
      <c r="E20" s="15" t="s">
        <v>129</v>
      </c>
      <c r="F20" s="15" t="s">
        <v>129</v>
      </c>
      <c r="G20" s="42"/>
      <c r="H20" s="42"/>
      <c r="I20" s="42"/>
      <c r="J20" s="42"/>
      <c r="K20" s="42"/>
    </row>
    <row r="21" ht="22" customHeight="1" spans="2:11">
      <c r="B21" s="38" t="s">
        <v>850</v>
      </c>
      <c r="C21" s="10" t="s">
        <v>129</v>
      </c>
      <c r="D21" s="10" t="s">
        <v>129</v>
      </c>
      <c r="E21" s="10" t="s">
        <v>129</v>
      </c>
      <c r="F21" s="10" t="s">
        <v>129</v>
      </c>
      <c r="G21" s="43"/>
      <c r="H21" s="43"/>
      <c r="I21" s="43"/>
      <c r="J21" s="43"/>
      <c r="K21" s="43"/>
    </row>
    <row r="22" ht="22" customHeight="1" spans="2:11">
      <c r="B22" s="41" t="s">
        <v>851</v>
      </c>
      <c r="C22" s="15" t="s">
        <v>129</v>
      </c>
      <c r="D22" s="15" t="s">
        <v>129</v>
      </c>
      <c r="E22" s="15" t="s">
        <v>129</v>
      </c>
      <c r="F22" s="15" t="s">
        <v>129</v>
      </c>
      <c r="G22" s="42"/>
      <c r="H22" s="42"/>
      <c r="I22" s="42"/>
      <c r="J22" s="42"/>
      <c r="K22" s="42"/>
    </row>
    <row r="23" ht="22" customHeight="1" spans="2:11">
      <c r="B23" s="38" t="s">
        <v>852</v>
      </c>
      <c r="C23" s="10" t="s">
        <v>129</v>
      </c>
      <c r="D23" s="10" t="s">
        <v>129</v>
      </c>
      <c r="E23" s="10" t="s">
        <v>129</v>
      </c>
      <c r="F23" s="10" t="s">
        <v>129</v>
      </c>
      <c r="G23" s="43"/>
      <c r="H23" s="43"/>
      <c r="I23" s="43"/>
      <c r="J23" s="43"/>
      <c r="K23" s="43"/>
    </row>
    <row r="24" ht="22" customHeight="1" spans="2:11">
      <c r="B24" s="41" t="s">
        <v>853</v>
      </c>
      <c r="C24" s="15" t="s">
        <v>129</v>
      </c>
      <c r="D24" s="15" t="s">
        <v>129</v>
      </c>
      <c r="E24" s="15" t="s">
        <v>129</v>
      </c>
      <c r="F24" s="15" t="s">
        <v>129</v>
      </c>
      <c r="G24" s="42"/>
      <c r="H24" s="42"/>
      <c r="I24" s="42"/>
      <c r="J24" s="42"/>
      <c r="K24" s="42"/>
    </row>
    <row r="25" ht="22" customHeight="1" spans="2:11">
      <c r="B25" s="38" t="s">
        <v>854</v>
      </c>
      <c r="C25" s="10" t="s">
        <v>129</v>
      </c>
      <c r="D25" s="10" t="s">
        <v>129</v>
      </c>
      <c r="E25" s="10" t="s">
        <v>129</v>
      </c>
      <c r="F25" s="10" t="s">
        <v>129</v>
      </c>
      <c r="G25" s="43"/>
      <c r="H25" s="43"/>
      <c r="I25" s="43"/>
      <c r="J25" s="43"/>
      <c r="K25" s="43"/>
    </row>
    <row r="26" ht="22" customHeight="1" spans="2:11">
      <c r="B26" s="41" t="s">
        <v>855</v>
      </c>
      <c r="C26" s="15" t="s">
        <v>129</v>
      </c>
      <c r="D26" s="15" t="s">
        <v>129</v>
      </c>
      <c r="E26" s="15" t="s">
        <v>129</v>
      </c>
      <c r="F26" s="15" t="s">
        <v>129</v>
      </c>
      <c r="G26" s="42"/>
      <c r="H26" s="42"/>
      <c r="I26" s="42"/>
      <c r="J26" s="42"/>
      <c r="K26" s="42"/>
    </row>
    <row r="27" ht="22" customHeight="1" spans="2:11">
      <c r="B27" s="38" t="s">
        <v>856</v>
      </c>
      <c r="C27" s="10" t="s">
        <v>129</v>
      </c>
      <c r="D27" s="10" t="s">
        <v>129</v>
      </c>
      <c r="E27" s="10" t="s">
        <v>129</v>
      </c>
      <c r="F27" s="10" t="s">
        <v>129</v>
      </c>
      <c r="G27" s="43"/>
      <c r="H27" s="43"/>
      <c r="I27" s="43"/>
      <c r="J27" s="43"/>
      <c r="K27" s="43"/>
    </row>
    <row r="28" ht="22" customHeight="1" spans="2:11">
      <c r="B28" s="44" t="s">
        <v>857</v>
      </c>
      <c r="C28" s="45" t="s">
        <v>129</v>
      </c>
      <c r="D28" s="45" t="s">
        <v>129</v>
      </c>
      <c r="E28" s="45" t="s">
        <v>129</v>
      </c>
      <c r="F28" s="45" t="s">
        <v>129</v>
      </c>
      <c r="G28" s="46"/>
      <c r="H28" s="46"/>
      <c r="I28" s="46"/>
      <c r="J28" s="46"/>
      <c r="K28" s="46"/>
    </row>
    <row r="29" ht="22" customHeight="1" spans="2:11">
      <c r="B29" s="38" t="s">
        <v>858</v>
      </c>
      <c r="C29" s="10" t="s">
        <v>129</v>
      </c>
      <c r="D29" s="10" t="s">
        <v>129</v>
      </c>
      <c r="E29" s="10" t="s">
        <v>129</v>
      </c>
      <c r="F29" s="10" t="s">
        <v>129</v>
      </c>
      <c r="G29" s="43"/>
      <c r="H29" s="43"/>
      <c r="I29" s="43"/>
      <c r="J29" s="43"/>
      <c r="K29" s="43"/>
    </row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mergeCells count="5">
    <mergeCell ref="B2:K2"/>
    <mergeCell ref="B3:K3"/>
    <mergeCell ref="B4:K4"/>
    <mergeCell ref="B5:K5"/>
    <mergeCell ref="B18:K18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1"/>
  <sheetViews>
    <sheetView showGridLines="0" workbookViewId="0">
      <selection activeCell="A1" sqref="A1"/>
    </sheetView>
  </sheetViews>
  <sheetFormatPr defaultColWidth="9" defaultRowHeight="14.4" outlineLevelCol="7"/>
  <cols>
    <col min="1" max="1" width="3" customWidth="1"/>
    <col min="2" max="2" width="10" customWidth="1"/>
    <col min="3" max="3" width="28" customWidth="1"/>
    <col min="4" max="4" width="16" customWidth="1"/>
    <col min="5" max="8" width="14" customWidth="1"/>
    <col min="9" max="9" width="3" customWidth="1"/>
  </cols>
  <sheetData>
    <row r="1" ht="10" customHeight="1"/>
    <row r="2" ht="48" customHeight="1" spans="2:8">
      <c r="B2" s="1" t="s">
        <v>859</v>
      </c>
    </row>
    <row r="3" ht="20" customHeight="1" spans="2:8">
      <c r="B3" s="35" t="s">
        <v>2</v>
      </c>
    </row>
    <row r="4" ht="25" customHeight="1" spans="2:8">
      <c r="B4" s="2" t="s">
        <v>860</v>
      </c>
    </row>
    <row r="5" ht="24" customHeight="1" spans="2:8">
      <c r="B5" s="3" t="s">
        <v>861</v>
      </c>
    </row>
    <row r="6" ht="25" customHeight="1" spans="2:8">
      <c r="B6" s="4" t="s">
        <v>862</v>
      </c>
      <c r="C6" s="4" t="s">
        <v>863</v>
      </c>
      <c r="D6" s="4" t="s">
        <v>864</v>
      </c>
      <c r="E6" s="4" t="s">
        <v>865</v>
      </c>
      <c r="F6" s="4" t="s">
        <v>866</v>
      </c>
      <c r="G6" s="4" t="s">
        <v>220</v>
      </c>
      <c r="H6" s="4" t="s">
        <v>867</v>
      </c>
    </row>
    <row r="7" ht="25" customHeight="1" spans="2:8">
      <c r="B7" s="40" t="s">
        <v>868</v>
      </c>
      <c r="C7" s="7" t="s">
        <v>129</v>
      </c>
      <c r="D7" s="7" t="s">
        <v>129</v>
      </c>
      <c r="E7" s="7" t="s">
        <v>129</v>
      </c>
      <c r="F7" s="7" t="s">
        <v>129</v>
      </c>
      <c r="G7" s="7" t="s">
        <v>129</v>
      </c>
      <c r="H7" s="6" t="s">
        <v>129</v>
      </c>
    </row>
    <row r="8" ht="25" customHeight="1" spans="2:8">
      <c r="B8" s="38" t="s">
        <v>869</v>
      </c>
      <c r="C8" s="10" t="s">
        <v>129</v>
      </c>
      <c r="D8" s="10" t="s">
        <v>129</v>
      </c>
      <c r="E8" s="10" t="s">
        <v>129</v>
      </c>
      <c r="F8" s="10" t="s">
        <v>129</v>
      </c>
      <c r="G8" s="10" t="s">
        <v>129</v>
      </c>
      <c r="H8" s="9" t="s">
        <v>129</v>
      </c>
    </row>
    <row r="9" ht="25" customHeight="1" spans="2:8">
      <c r="B9" s="40" t="s">
        <v>870</v>
      </c>
      <c r="C9" s="7" t="s">
        <v>129</v>
      </c>
      <c r="D9" s="7" t="s">
        <v>129</v>
      </c>
      <c r="E9" s="7" t="s">
        <v>129</v>
      </c>
      <c r="F9" s="7" t="s">
        <v>129</v>
      </c>
      <c r="G9" s="7" t="s">
        <v>129</v>
      </c>
      <c r="H9" s="6" t="s">
        <v>129</v>
      </c>
    </row>
    <row r="10" ht="25" customHeight="1" spans="2:8">
      <c r="B10" s="38" t="s">
        <v>871</v>
      </c>
      <c r="C10" s="10" t="s">
        <v>129</v>
      </c>
      <c r="D10" s="10" t="s">
        <v>129</v>
      </c>
      <c r="E10" s="10" t="s">
        <v>129</v>
      </c>
      <c r="F10" s="10" t="s">
        <v>129</v>
      </c>
      <c r="G10" s="10" t="s">
        <v>129</v>
      </c>
      <c r="H10" s="9" t="s">
        <v>129</v>
      </c>
    </row>
    <row r="11" ht="25" customHeight="1" spans="2:8">
      <c r="B11" s="40" t="s">
        <v>872</v>
      </c>
      <c r="C11" s="7" t="s">
        <v>129</v>
      </c>
      <c r="D11" s="7" t="s">
        <v>129</v>
      </c>
      <c r="E11" s="7" t="s">
        <v>129</v>
      </c>
      <c r="F11" s="7" t="s">
        <v>129</v>
      </c>
      <c r="G11" s="7" t="s">
        <v>129</v>
      </c>
      <c r="H11" s="6" t="s">
        <v>129</v>
      </c>
    </row>
    <row r="12" ht="25" customHeight="1" spans="2:8">
      <c r="B12" s="38" t="s">
        <v>873</v>
      </c>
      <c r="C12" s="10" t="s">
        <v>129</v>
      </c>
      <c r="D12" s="10" t="s">
        <v>129</v>
      </c>
      <c r="E12" s="10" t="s">
        <v>129</v>
      </c>
      <c r="F12" s="10" t="s">
        <v>129</v>
      </c>
      <c r="G12" s="10" t="s">
        <v>129</v>
      </c>
      <c r="H12" s="9" t="s">
        <v>129</v>
      </c>
    </row>
    <row r="13" ht="25" customHeight="1" spans="2:8">
      <c r="B13" s="40" t="s">
        <v>874</v>
      </c>
      <c r="C13" s="7" t="s">
        <v>129</v>
      </c>
      <c r="D13" s="7" t="s">
        <v>129</v>
      </c>
      <c r="E13" s="7" t="s">
        <v>129</v>
      </c>
      <c r="F13" s="7" t="s">
        <v>129</v>
      </c>
      <c r="G13" s="7" t="s">
        <v>129</v>
      </c>
      <c r="H13" s="6" t="s">
        <v>129</v>
      </c>
    </row>
    <row r="14" ht="25" customHeight="1" spans="2:8">
      <c r="B14" s="38" t="s">
        <v>875</v>
      </c>
      <c r="C14" s="10" t="s">
        <v>129</v>
      </c>
      <c r="D14" s="10" t="s">
        <v>129</v>
      </c>
      <c r="E14" s="10" t="s">
        <v>129</v>
      </c>
      <c r="F14" s="10" t="s">
        <v>129</v>
      </c>
      <c r="G14" s="10" t="s">
        <v>129</v>
      </c>
      <c r="H14" s="9" t="s">
        <v>129</v>
      </c>
    </row>
    <row r="15" ht="25" customHeight="1" spans="2:8">
      <c r="B15" s="40" t="s">
        <v>876</v>
      </c>
      <c r="C15" s="7" t="s">
        <v>129</v>
      </c>
      <c r="D15" s="7" t="s">
        <v>129</v>
      </c>
      <c r="E15" s="7" t="s">
        <v>129</v>
      </c>
      <c r="F15" s="7" t="s">
        <v>129</v>
      </c>
      <c r="G15" s="7" t="s">
        <v>129</v>
      </c>
      <c r="H15" s="6" t="s">
        <v>129</v>
      </c>
    </row>
    <row r="16" ht="25" customHeight="1" spans="2:8">
      <c r="B16" s="38" t="s">
        <v>877</v>
      </c>
      <c r="C16" s="10" t="s">
        <v>129</v>
      </c>
      <c r="D16" s="10" t="s">
        <v>129</v>
      </c>
      <c r="E16" s="10" t="s">
        <v>129</v>
      </c>
      <c r="F16" s="10" t="s">
        <v>129</v>
      </c>
      <c r="G16" s="10" t="s">
        <v>129</v>
      </c>
      <c r="H16" s="9" t="s">
        <v>129</v>
      </c>
    </row>
    <row r="17" ht="25" customHeight="1" spans="2:8">
      <c r="B17" s="40" t="s">
        <v>878</v>
      </c>
      <c r="C17" s="7" t="s">
        <v>129</v>
      </c>
      <c r="D17" s="7" t="s">
        <v>129</v>
      </c>
      <c r="E17" s="7" t="s">
        <v>129</v>
      </c>
      <c r="F17" s="7" t="s">
        <v>129</v>
      </c>
      <c r="G17" s="7" t="s">
        <v>129</v>
      </c>
      <c r="H17" s="6" t="s">
        <v>129</v>
      </c>
    </row>
    <row r="18" ht="25" customHeight="1" spans="2:8">
      <c r="B18" s="38" t="s">
        <v>879</v>
      </c>
      <c r="C18" s="10" t="s">
        <v>129</v>
      </c>
      <c r="D18" s="10" t="s">
        <v>129</v>
      </c>
      <c r="E18" s="10" t="s">
        <v>129</v>
      </c>
      <c r="F18" s="10" t="s">
        <v>129</v>
      </c>
      <c r="G18" s="10" t="s">
        <v>129</v>
      </c>
      <c r="H18" s="9" t="s">
        <v>129</v>
      </c>
    </row>
    <row r="19" ht="25" customHeight="1"/>
    <row r="20" ht="24" customHeight="1" spans="2:8">
      <c r="B20" s="11" t="s">
        <v>880</v>
      </c>
    </row>
    <row r="21" ht="25" customHeight="1" spans="2:8">
      <c r="B21" s="12" t="s">
        <v>881</v>
      </c>
      <c r="C21" s="12" t="s">
        <v>882</v>
      </c>
      <c r="D21" s="12" t="s">
        <v>883</v>
      </c>
      <c r="E21" s="12" t="s">
        <v>884</v>
      </c>
      <c r="F21" s="12" t="s">
        <v>885</v>
      </c>
      <c r="G21" s="12" t="s">
        <v>886</v>
      </c>
      <c r="H21" s="12" t="s">
        <v>887</v>
      </c>
    </row>
    <row r="22" ht="25" customHeight="1" spans="2:8">
      <c r="B22" s="15"/>
      <c r="C22" s="15"/>
      <c r="D22" s="15"/>
      <c r="E22" s="15"/>
      <c r="F22" s="15"/>
      <c r="G22" s="15"/>
      <c r="H22" s="15"/>
    </row>
    <row r="23" ht="25" customHeight="1" spans="2:8">
      <c r="B23" s="10"/>
      <c r="C23" s="10"/>
      <c r="D23" s="10"/>
      <c r="E23" s="10"/>
      <c r="F23" s="10"/>
      <c r="G23" s="10"/>
      <c r="H23" s="10"/>
    </row>
    <row r="24" ht="25" customHeight="1" spans="2:8">
      <c r="B24" s="15"/>
      <c r="C24" s="15"/>
      <c r="D24" s="15"/>
      <c r="E24" s="15"/>
      <c r="F24" s="15"/>
      <c r="G24" s="15"/>
      <c r="H24" s="15"/>
    </row>
    <row r="25" ht="25" customHeight="1" spans="2:8">
      <c r="B25" s="10"/>
      <c r="C25" s="10"/>
      <c r="D25" s="10"/>
      <c r="E25" s="10"/>
      <c r="F25" s="10"/>
      <c r="G25" s="10"/>
      <c r="H25" s="10"/>
    </row>
    <row r="26" ht="25" customHeight="1" spans="2:8">
      <c r="B26" s="15"/>
      <c r="C26" s="15"/>
      <c r="D26" s="15"/>
      <c r="E26" s="15"/>
      <c r="F26" s="15"/>
      <c r="G26" s="15"/>
      <c r="H26" s="15"/>
    </row>
    <row r="27" ht="25" customHeight="1" spans="2:8">
      <c r="B27" s="10"/>
      <c r="C27" s="10"/>
      <c r="D27" s="10"/>
      <c r="E27" s="10"/>
      <c r="F27" s="10"/>
      <c r="G27" s="10"/>
      <c r="H27" s="10"/>
    </row>
    <row r="28" ht="25" customHeight="1" spans="2:8">
      <c r="B28" s="15"/>
      <c r="C28" s="15"/>
      <c r="D28" s="15"/>
      <c r="E28" s="15"/>
      <c r="F28" s="15"/>
      <c r="G28" s="15"/>
      <c r="H28" s="15"/>
    </row>
    <row r="29" ht="25" customHeight="1" spans="2:8">
      <c r="B29" s="10"/>
      <c r="C29" s="10"/>
      <c r="D29" s="10"/>
      <c r="E29" s="10"/>
      <c r="F29" s="10"/>
      <c r="G29" s="10"/>
      <c r="H29" s="10"/>
    </row>
    <row r="30" ht="25" customHeight="1" spans="2:8">
      <c r="B30" s="15"/>
      <c r="C30" s="15"/>
      <c r="D30" s="15"/>
      <c r="E30" s="15"/>
      <c r="F30" s="15"/>
      <c r="G30" s="15"/>
      <c r="H30" s="15"/>
    </row>
    <row r="31" ht="25" customHeight="1"/>
  </sheetData>
  <mergeCells count="5">
    <mergeCell ref="B2:H2"/>
    <mergeCell ref="B3:H3"/>
    <mergeCell ref="B4:H4"/>
    <mergeCell ref="B5:H5"/>
    <mergeCell ref="B20:H20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9"/>
  <sheetViews>
    <sheetView showGridLines="0" workbookViewId="0">
      <selection activeCell="A1" sqref="A1"/>
    </sheetView>
  </sheetViews>
  <sheetFormatPr defaultColWidth="9" defaultRowHeight="14.4"/>
  <cols>
    <col min="1" max="1" width="3" customWidth="1"/>
    <col min="2" max="2" width="10" customWidth="1"/>
    <col min="3" max="3" width="28" customWidth="1"/>
    <col min="4" max="4" width="16" customWidth="1"/>
    <col min="5" max="5" width="14" customWidth="1"/>
    <col min="6" max="6" width="12" customWidth="1"/>
    <col min="7" max="9" width="14" customWidth="1"/>
    <col min="10" max="10" width="3" customWidth="1"/>
  </cols>
  <sheetData>
    <row r="1" ht="10" customHeight="1"/>
    <row r="2" ht="48" customHeight="1" spans="2:9">
      <c r="B2" s="34" t="s">
        <v>888</v>
      </c>
    </row>
    <row r="3" ht="20" customHeight="1" spans="2:9">
      <c r="B3" s="35" t="s">
        <v>2</v>
      </c>
    </row>
    <row r="4" ht="25" customHeight="1" spans="2:9">
      <c r="B4" s="32" t="s">
        <v>889</v>
      </c>
    </row>
    <row r="5" ht="25" customHeight="1" spans="2:9">
      <c r="B5" s="22" t="s">
        <v>890</v>
      </c>
      <c r="C5" s="22" t="s">
        <v>891</v>
      </c>
      <c r="D5" s="22" t="s">
        <v>892</v>
      </c>
      <c r="E5" s="22" t="s">
        <v>893</v>
      </c>
      <c r="F5" s="22" t="s">
        <v>894</v>
      </c>
      <c r="G5" s="22" t="s">
        <v>895</v>
      </c>
      <c r="H5" s="22" t="s">
        <v>896</v>
      </c>
      <c r="I5" s="22" t="s">
        <v>897</v>
      </c>
    </row>
    <row r="6" ht="25" customHeight="1" spans="2:9">
      <c r="B6" s="23" t="s">
        <v>898</v>
      </c>
      <c r="C6" s="24" t="s">
        <v>899</v>
      </c>
      <c r="D6" s="25" t="s">
        <v>129</v>
      </c>
      <c r="E6" s="25" t="s">
        <v>129</v>
      </c>
      <c r="F6" s="25" t="s">
        <v>129</v>
      </c>
      <c r="G6" s="24" t="s">
        <v>129</v>
      </c>
      <c r="H6" s="25" t="s">
        <v>129</v>
      </c>
      <c r="I6" s="25" t="s">
        <v>900</v>
      </c>
    </row>
    <row r="7" ht="25" customHeight="1" spans="2:9">
      <c r="B7" s="8" t="s">
        <v>901</v>
      </c>
      <c r="C7" s="9" t="s">
        <v>902</v>
      </c>
      <c r="D7" s="10" t="s">
        <v>129</v>
      </c>
      <c r="E7" s="10" t="s">
        <v>129</v>
      </c>
      <c r="F7" s="10" t="s">
        <v>129</v>
      </c>
      <c r="G7" s="9" t="s">
        <v>129</v>
      </c>
      <c r="H7" s="10" t="s">
        <v>129</v>
      </c>
      <c r="I7" s="10" t="s">
        <v>900</v>
      </c>
    </row>
    <row r="8" ht="25" customHeight="1" spans="2:9">
      <c r="B8" s="23" t="s">
        <v>903</v>
      </c>
      <c r="C8" s="24" t="s">
        <v>904</v>
      </c>
      <c r="D8" s="25" t="s">
        <v>129</v>
      </c>
      <c r="E8" s="25" t="s">
        <v>129</v>
      </c>
      <c r="F8" s="25" t="s">
        <v>129</v>
      </c>
      <c r="G8" s="24" t="s">
        <v>129</v>
      </c>
      <c r="H8" s="25" t="s">
        <v>129</v>
      </c>
      <c r="I8" s="25" t="s">
        <v>900</v>
      </c>
    </row>
    <row r="9" ht="25" customHeight="1" spans="2:9">
      <c r="B9" s="8" t="s">
        <v>905</v>
      </c>
      <c r="C9" s="9" t="s">
        <v>906</v>
      </c>
      <c r="D9" s="10" t="s">
        <v>129</v>
      </c>
      <c r="E9" s="10" t="s">
        <v>129</v>
      </c>
      <c r="F9" s="10" t="s">
        <v>129</v>
      </c>
      <c r="G9" s="9" t="s">
        <v>129</v>
      </c>
      <c r="H9" s="10" t="s">
        <v>129</v>
      </c>
      <c r="I9" s="10" t="s">
        <v>900</v>
      </c>
    </row>
    <row r="10" ht="25" customHeight="1" spans="2:9">
      <c r="B10" s="23" t="s">
        <v>907</v>
      </c>
      <c r="C10" s="24" t="s">
        <v>908</v>
      </c>
      <c r="D10" s="25" t="s">
        <v>129</v>
      </c>
      <c r="E10" s="25" t="s">
        <v>129</v>
      </c>
      <c r="F10" s="25" t="s">
        <v>129</v>
      </c>
      <c r="G10" s="24" t="s">
        <v>129</v>
      </c>
      <c r="H10" s="25" t="s">
        <v>129</v>
      </c>
      <c r="I10" s="25" t="s">
        <v>900</v>
      </c>
    </row>
    <row r="11" ht="25" customHeight="1" spans="2:9">
      <c r="B11" s="8" t="s">
        <v>909</v>
      </c>
      <c r="C11" s="9" t="s">
        <v>910</v>
      </c>
      <c r="D11" s="10" t="s">
        <v>129</v>
      </c>
      <c r="E11" s="10" t="s">
        <v>129</v>
      </c>
      <c r="F11" s="10" t="s">
        <v>129</v>
      </c>
      <c r="G11" s="9" t="s">
        <v>129</v>
      </c>
      <c r="H11" s="10" t="s">
        <v>129</v>
      </c>
      <c r="I11" s="10" t="s">
        <v>900</v>
      </c>
    </row>
    <row r="12" ht="25" customHeight="1" spans="2:9">
      <c r="B12" s="23" t="s">
        <v>911</v>
      </c>
      <c r="C12" s="24" t="s">
        <v>912</v>
      </c>
      <c r="D12" s="25" t="s">
        <v>129</v>
      </c>
      <c r="E12" s="25" t="s">
        <v>129</v>
      </c>
      <c r="F12" s="25" t="s">
        <v>129</v>
      </c>
      <c r="G12" s="24" t="s">
        <v>129</v>
      </c>
      <c r="H12" s="25" t="s">
        <v>129</v>
      </c>
      <c r="I12" s="25" t="s">
        <v>900</v>
      </c>
    </row>
    <row r="13" ht="25" customHeight="1" spans="2:9">
      <c r="B13" s="8" t="s">
        <v>913</v>
      </c>
      <c r="C13" s="9" t="s">
        <v>914</v>
      </c>
      <c r="D13" s="10" t="s">
        <v>129</v>
      </c>
      <c r="E13" s="10" t="s">
        <v>129</v>
      </c>
      <c r="F13" s="10" t="s">
        <v>129</v>
      </c>
      <c r="G13" s="9" t="s">
        <v>129</v>
      </c>
      <c r="H13" s="10" t="s">
        <v>129</v>
      </c>
      <c r="I13" s="10" t="s">
        <v>900</v>
      </c>
    </row>
    <row r="14" ht="25" customHeight="1" spans="2:9">
      <c r="B14" s="23" t="s">
        <v>915</v>
      </c>
      <c r="C14" s="24" t="s">
        <v>916</v>
      </c>
      <c r="D14" s="25" t="s">
        <v>129</v>
      </c>
      <c r="E14" s="25" t="s">
        <v>129</v>
      </c>
      <c r="F14" s="25" t="s">
        <v>129</v>
      </c>
      <c r="G14" s="24" t="s">
        <v>129</v>
      </c>
      <c r="H14" s="25" t="s">
        <v>129</v>
      </c>
      <c r="I14" s="25" t="s">
        <v>900</v>
      </c>
    </row>
    <row r="15" ht="25" customHeight="1" spans="2:9">
      <c r="B15" s="8" t="s">
        <v>917</v>
      </c>
      <c r="C15" s="9" t="s">
        <v>918</v>
      </c>
      <c r="D15" s="10" t="s">
        <v>129</v>
      </c>
      <c r="E15" s="10" t="s">
        <v>129</v>
      </c>
      <c r="F15" s="10" t="s">
        <v>129</v>
      </c>
      <c r="G15" s="9" t="s">
        <v>129</v>
      </c>
      <c r="H15" s="10" t="s">
        <v>129</v>
      </c>
      <c r="I15" s="10" t="s">
        <v>900</v>
      </c>
    </row>
    <row r="16" ht="25" customHeight="1" spans="2:9">
      <c r="B16" s="23" t="s">
        <v>919</v>
      </c>
      <c r="C16" s="24" t="s">
        <v>899</v>
      </c>
      <c r="D16" s="25" t="s">
        <v>129</v>
      </c>
      <c r="E16" s="25" t="s">
        <v>129</v>
      </c>
      <c r="F16" s="25" t="s">
        <v>129</v>
      </c>
      <c r="G16" s="24" t="s">
        <v>129</v>
      </c>
      <c r="H16" s="25" t="s">
        <v>129</v>
      </c>
      <c r="I16" s="25" t="s">
        <v>900</v>
      </c>
    </row>
    <row r="17" ht="25" customHeight="1" spans="2:9">
      <c r="B17" s="8" t="s">
        <v>920</v>
      </c>
      <c r="C17" s="9" t="s">
        <v>902</v>
      </c>
      <c r="D17" s="10" t="s">
        <v>129</v>
      </c>
      <c r="E17" s="10" t="s">
        <v>129</v>
      </c>
      <c r="F17" s="10" t="s">
        <v>129</v>
      </c>
      <c r="G17" s="9" t="s">
        <v>129</v>
      </c>
      <c r="H17" s="10" t="s">
        <v>129</v>
      </c>
      <c r="I17" s="10" t="s">
        <v>900</v>
      </c>
    </row>
    <row r="18" ht="25" customHeight="1"/>
    <row r="19" ht="24" customHeight="1" spans="2:9">
      <c r="B19" s="21" t="s">
        <v>921</v>
      </c>
    </row>
    <row r="20" ht="25" customHeight="1" spans="2:9">
      <c r="B20" s="36" t="s">
        <v>922</v>
      </c>
      <c r="F20" s="37">
        <f>COUNTA(B6:B17)</f>
        <v>12</v>
      </c>
    </row>
    <row r="21" ht="25" customHeight="1" spans="2:9">
      <c r="B21" s="38" t="s">
        <v>923</v>
      </c>
      <c r="F21" s="39">
        <f>COUNTIF(I6:I17,"Resolved")</f>
        <v>0</v>
      </c>
    </row>
    <row r="22" ht="25" customHeight="1" spans="2:9">
      <c r="B22" s="36" t="s">
        <v>900</v>
      </c>
      <c r="F22" s="37">
        <f>COUNTIF(I6:I17,"Under Investigation")</f>
        <v>12</v>
      </c>
    </row>
    <row r="23" ht="25" customHeight="1" spans="2:9">
      <c r="B23" s="38" t="s">
        <v>924</v>
      </c>
      <c r="F23" s="39">
        <f>COUNTIF(I6:I17,"Referred")</f>
        <v>0</v>
      </c>
    </row>
    <row r="24" ht="25" customHeight="1" spans="2:9">
      <c r="B24" s="36" t="s">
        <v>925</v>
      </c>
      <c r="F24" s="37" t="str">
        <f>IFERROR(ROUND(C21/C20*100,1),"")</f>
        <v/>
      </c>
    </row>
    <row r="25" ht="25" customHeight="1"/>
    <row r="26" ht="25" customHeight="1"/>
    <row r="27" ht="25" customHeight="1"/>
    <row r="28" ht="25" customHeight="1"/>
    <row r="29" ht="25" customHeight="1"/>
  </sheetData>
  <mergeCells count="14">
    <mergeCell ref="B2:I2"/>
    <mergeCell ref="B3:I3"/>
    <mergeCell ref="B4:I4"/>
    <mergeCell ref="B19:I19"/>
    <mergeCell ref="B20:E20"/>
    <mergeCell ref="F20:I20"/>
    <mergeCell ref="B21:E21"/>
    <mergeCell ref="F21:I21"/>
    <mergeCell ref="B22:E22"/>
    <mergeCell ref="F22:I22"/>
    <mergeCell ref="B23:E23"/>
    <mergeCell ref="F23:I23"/>
    <mergeCell ref="B24:E24"/>
    <mergeCell ref="F24:I24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57"/>
  <sheetViews>
    <sheetView showGridLines="0" workbookViewId="0">
      <selection activeCell="A1" sqref="A1"/>
    </sheetView>
  </sheetViews>
  <sheetFormatPr defaultColWidth="9" defaultRowHeight="14.4" outlineLevelCol="6"/>
  <cols>
    <col min="1" max="1" width="3" customWidth="1"/>
    <col min="2" max="2" width="8" customWidth="1"/>
    <col min="3" max="3" width="38" customWidth="1"/>
    <col min="4" max="7" width="14" customWidth="1"/>
    <col min="8" max="8" width="3" customWidth="1"/>
  </cols>
  <sheetData>
    <row r="1" ht="10" customHeight="1"/>
    <row r="2" ht="48" customHeight="1" spans="2:7">
      <c r="B2" s="1" t="s">
        <v>926</v>
      </c>
    </row>
    <row r="3" ht="20" customHeight="1" spans="2:7">
      <c r="B3" s="2" t="s">
        <v>927</v>
      </c>
    </row>
    <row r="4" ht="24" customHeight="1" spans="2:7">
      <c r="B4" s="3" t="s">
        <v>928</v>
      </c>
    </row>
    <row r="5" ht="22" customHeight="1" spans="2:7">
      <c r="B5" s="4" t="s">
        <v>121</v>
      </c>
      <c r="C5" s="4" t="s">
        <v>929</v>
      </c>
      <c r="D5" s="4" t="s">
        <v>930</v>
      </c>
      <c r="E5" s="4" t="s">
        <v>931</v>
      </c>
      <c r="F5" s="4" t="s">
        <v>932</v>
      </c>
      <c r="G5" s="4" t="s">
        <v>933</v>
      </c>
    </row>
    <row r="6" ht="22" customHeight="1" spans="2:7">
      <c r="B6" s="5">
        <v>1</v>
      </c>
      <c r="C6" s="6" t="s">
        <v>934</v>
      </c>
      <c r="D6" s="7" t="s">
        <v>935</v>
      </c>
      <c r="E6" s="7" t="s">
        <v>936</v>
      </c>
      <c r="F6" s="6" t="s">
        <v>129</v>
      </c>
      <c r="G6" s="6" t="s">
        <v>129</v>
      </c>
    </row>
    <row r="7" ht="22" customHeight="1" spans="2:7">
      <c r="B7" s="8">
        <v>2</v>
      </c>
      <c r="C7" s="9" t="s">
        <v>937</v>
      </c>
      <c r="D7" s="10" t="s">
        <v>935</v>
      </c>
      <c r="E7" s="10" t="s">
        <v>936</v>
      </c>
      <c r="F7" s="9" t="s">
        <v>129</v>
      </c>
      <c r="G7" s="9" t="s">
        <v>129</v>
      </c>
    </row>
    <row r="8" ht="22" customHeight="1" spans="2:7">
      <c r="B8" s="5">
        <v>3</v>
      </c>
      <c r="C8" s="6" t="s">
        <v>938</v>
      </c>
      <c r="D8" s="7" t="s">
        <v>935</v>
      </c>
      <c r="E8" s="7" t="s">
        <v>936</v>
      </c>
      <c r="F8" s="6" t="s">
        <v>129</v>
      </c>
      <c r="G8" s="6" t="s">
        <v>129</v>
      </c>
    </row>
    <row r="9" ht="22" customHeight="1" spans="2:7">
      <c r="B9" s="8">
        <v>4</v>
      </c>
      <c r="C9" s="9" t="s">
        <v>939</v>
      </c>
      <c r="D9" s="10" t="s">
        <v>935</v>
      </c>
      <c r="E9" s="10" t="s">
        <v>936</v>
      </c>
      <c r="F9" s="9" t="s">
        <v>129</v>
      </c>
      <c r="G9" s="9" t="s">
        <v>129</v>
      </c>
    </row>
    <row r="10" ht="22" customHeight="1" spans="2:7">
      <c r="B10" s="5">
        <v>5</v>
      </c>
      <c r="C10" s="6" t="s">
        <v>940</v>
      </c>
      <c r="D10" s="7" t="s">
        <v>935</v>
      </c>
      <c r="E10" s="7" t="s">
        <v>936</v>
      </c>
      <c r="F10" s="6" t="s">
        <v>129</v>
      </c>
      <c r="G10" s="6" t="s">
        <v>129</v>
      </c>
    </row>
    <row r="11" ht="22" customHeight="1" spans="2:7">
      <c r="B11" s="8">
        <v>6</v>
      </c>
      <c r="C11" s="9" t="s">
        <v>941</v>
      </c>
      <c r="D11" s="10" t="s">
        <v>935</v>
      </c>
      <c r="E11" s="10" t="s">
        <v>936</v>
      </c>
      <c r="F11" s="9" t="s">
        <v>129</v>
      </c>
      <c r="G11" s="9" t="s">
        <v>129</v>
      </c>
    </row>
    <row r="12" ht="22" customHeight="1" spans="2:7">
      <c r="B12" s="5">
        <v>7</v>
      </c>
      <c r="C12" s="6" t="s">
        <v>942</v>
      </c>
      <c r="D12" s="7" t="s">
        <v>935</v>
      </c>
      <c r="E12" s="7" t="s">
        <v>936</v>
      </c>
      <c r="F12" s="6" t="s">
        <v>129</v>
      </c>
      <c r="G12" s="6" t="s">
        <v>129</v>
      </c>
    </row>
    <row r="13" ht="22" customHeight="1"/>
    <row r="14" ht="24" customHeight="1" spans="2:7">
      <c r="B14" s="11" t="s">
        <v>943</v>
      </c>
    </row>
    <row r="15" ht="22" customHeight="1" spans="2:7">
      <c r="B15" s="12" t="s">
        <v>121</v>
      </c>
      <c r="C15" s="12" t="s">
        <v>929</v>
      </c>
      <c r="D15" s="12" t="s">
        <v>930</v>
      </c>
      <c r="E15" s="12" t="s">
        <v>931</v>
      </c>
      <c r="F15" s="12" t="s">
        <v>932</v>
      </c>
      <c r="G15" s="12" t="s">
        <v>933</v>
      </c>
    </row>
    <row r="16" ht="22" customHeight="1" spans="2:7">
      <c r="B16" s="13">
        <v>1</v>
      </c>
      <c r="C16" s="14" t="s">
        <v>944</v>
      </c>
      <c r="D16" s="15" t="s">
        <v>935</v>
      </c>
      <c r="E16" s="15" t="s">
        <v>936</v>
      </c>
      <c r="F16" s="14" t="s">
        <v>129</v>
      </c>
      <c r="G16" s="14" t="s">
        <v>129</v>
      </c>
    </row>
    <row r="17" ht="22" customHeight="1" spans="2:7">
      <c r="B17" s="8">
        <v>2</v>
      </c>
      <c r="C17" s="9" t="s">
        <v>945</v>
      </c>
      <c r="D17" s="10" t="s">
        <v>935</v>
      </c>
      <c r="E17" s="10" t="s">
        <v>936</v>
      </c>
      <c r="F17" s="9" t="s">
        <v>129</v>
      </c>
      <c r="G17" s="9" t="s">
        <v>129</v>
      </c>
    </row>
    <row r="18" ht="22" customHeight="1" spans="2:7">
      <c r="B18" s="13">
        <v>3</v>
      </c>
      <c r="C18" s="14" t="s">
        <v>946</v>
      </c>
      <c r="D18" s="15" t="s">
        <v>935</v>
      </c>
      <c r="E18" s="15" t="s">
        <v>936</v>
      </c>
      <c r="F18" s="14" t="s">
        <v>129</v>
      </c>
      <c r="G18" s="14" t="s">
        <v>129</v>
      </c>
    </row>
    <row r="19" ht="22" customHeight="1" spans="2:7">
      <c r="B19" s="8">
        <v>4</v>
      </c>
      <c r="C19" s="9" t="s">
        <v>947</v>
      </c>
      <c r="D19" s="10" t="s">
        <v>935</v>
      </c>
      <c r="E19" s="10" t="s">
        <v>936</v>
      </c>
      <c r="F19" s="9" t="s">
        <v>129</v>
      </c>
      <c r="G19" s="9" t="s">
        <v>129</v>
      </c>
    </row>
    <row r="20" ht="22" customHeight="1" spans="2:7">
      <c r="B20" s="13">
        <v>5</v>
      </c>
      <c r="C20" s="14" t="s">
        <v>948</v>
      </c>
      <c r="D20" s="15" t="s">
        <v>935</v>
      </c>
      <c r="E20" s="15" t="s">
        <v>936</v>
      </c>
      <c r="F20" s="14" t="s">
        <v>129</v>
      </c>
      <c r="G20" s="14" t="s">
        <v>129</v>
      </c>
    </row>
    <row r="21" ht="22" customHeight="1" spans="2:7">
      <c r="B21" s="8">
        <v>6</v>
      </c>
      <c r="C21" s="9" t="s">
        <v>949</v>
      </c>
      <c r="D21" s="10" t="s">
        <v>935</v>
      </c>
      <c r="E21" s="10" t="s">
        <v>936</v>
      </c>
      <c r="F21" s="9" t="s">
        <v>129</v>
      </c>
      <c r="G21" s="9" t="s">
        <v>129</v>
      </c>
    </row>
    <row r="22" ht="22" customHeight="1" spans="2:7">
      <c r="B22" s="13">
        <v>7</v>
      </c>
      <c r="C22" s="14" t="s">
        <v>950</v>
      </c>
      <c r="D22" s="15" t="s">
        <v>935</v>
      </c>
      <c r="E22" s="15" t="s">
        <v>936</v>
      </c>
      <c r="F22" s="14" t="s">
        <v>129</v>
      </c>
      <c r="G22" s="14" t="s">
        <v>129</v>
      </c>
    </row>
    <row r="23" ht="22" customHeight="1"/>
    <row r="24" ht="24" customHeight="1" spans="2:7">
      <c r="B24" s="16" t="s">
        <v>951</v>
      </c>
    </row>
    <row r="25" ht="22" customHeight="1" spans="2:7">
      <c r="B25" s="17" t="s">
        <v>121</v>
      </c>
      <c r="C25" s="17" t="s">
        <v>929</v>
      </c>
      <c r="D25" s="17" t="s">
        <v>930</v>
      </c>
      <c r="E25" s="17" t="s">
        <v>931</v>
      </c>
      <c r="F25" s="17" t="s">
        <v>932</v>
      </c>
      <c r="G25" s="17" t="s">
        <v>933</v>
      </c>
    </row>
    <row r="26" ht="22" customHeight="1" spans="2:7">
      <c r="B26" s="18">
        <v>1</v>
      </c>
      <c r="C26" s="19" t="s">
        <v>952</v>
      </c>
      <c r="D26" s="20" t="s">
        <v>935</v>
      </c>
      <c r="E26" s="20" t="s">
        <v>936</v>
      </c>
      <c r="F26" s="19" t="s">
        <v>129</v>
      </c>
      <c r="G26" s="19" t="s">
        <v>129</v>
      </c>
    </row>
    <row r="27" ht="22" customHeight="1" spans="2:7">
      <c r="B27" s="8">
        <v>2</v>
      </c>
      <c r="C27" s="9" t="s">
        <v>953</v>
      </c>
      <c r="D27" s="10" t="s">
        <v>935</v>
      </c>
      <c r="E27" s="10" t="s">
        <v>936</v>
      </c>
      <c r="F27" s="9" t="s">
        <v>129</v>
      </c>
      <c r="G27" s="9" t="s">
        <v>129</v>
      </c>
    </row>
    <row r="28" ht="22" customHeight="1" spans="2:7">
      <c r="B28" s="18">
        <v>3</v>
      </c>
      <c r="C28" s="19" t="s">
        <v>954</v>
      </c>
      <c r="D28" s="20" t="s">
        <v>935</v>
      </c>
      <c r="E28" s="20" t="s">
        <v>936</v>
      </c>
      <c r="F28" s="19" t="s">
        <v>129</v>
      </c>
      <c r="G28" s="19" t="s">
        <v>129</v>
      </c>
    </row>
    <row r="29" ht="22" customHeight="1" spans="2:7">
      <c r="B29" s="8">
        <v>4</v>
      </c>
      <c r="C29" s="9" t="s">
        <v>955</v>
      </c>
      <c r="D29" s="10" t="s">
        <v>935</v>
      </c>
      <c r="E29" s="10" t="s">
        <v>936</v>
      </c>
      <c r="F29" s="9" t="s">
        <v>129</v>
      </c>
      <c r="G29" s="9" t="s">
        <v>129</v>
      </c>
    </row>
    <row r="30" ht="22" customHeight="1" spans="2:7">
      <c r="B30" s="18">
        <v>5</v>
      </c>
      <c r="C30" s="19" t="s">
        <v>956</v>
      </c>
      <c r="D30" s="20" t="s">
        <v>935</v>
      </c>
      <c r="E30" s="20" t="s">
        <v>936</v>
      </c>
      <c r="F30" s="19" t="s">
        <v>129</v>
      </c>
      <c r="G30" s="19" t="s">
        <v>129</v>
      </c>
    </row>
    <row r="31" ht="22" customHeight="1" spans="2:7">
      <c r="B31" s="8">
        <v>6</v>
      </c>
      <c r="C31" s="9" t="s">
        <v>957</v>
      </c>
      <c r="D31" s="10" t="s">
        <v>935</v>
      </c>
      <c r="E31" s="10" t="s">
        <v>936</v>
      </c>
      <c r="F31" s="9" t="s">
        <v>129</v>
      </c>
      <c r="G31" s="9" t="s">
        <v>129</v>
      </c>
    </row>
    <row r="32" ht="22" customHeight="1" spans="2:7">
      <c r="B32" s="18">
        <v>7</v>
      </c>
      <c r="C32" s="19" t="s">
        <v>958</v>
      </c>
      <c r="D32" s="20" t="s">
        <v>935</v>
      </c>
      <c r="E32" s="20" t="s">
        <v>936</v>
      </c>
      <c r="F32" s="19" t="s">
        <v>129</v>
      </c>
      <c r="G32" s="19" t="s">
        <v>129</v>
      </c>
    </row>
    <row r="33" ht="22" customHeight="1" spans="2:7">
      <c r="B33" s="8">
        <v>8</v>
      </c>
      <c r="C33" s="9" t="s">
        <v>959</v>
      </c>
      <c r="D33" s="10" t="s">
        <v>935</v>
      </c>
      <c r="E33" s="10" t="s">
        <v>936</v>
      </c>
      <c r="F33" s="9" t="s">
        <v>129</v>
      </c>
      <c r="G33" s="9" t="s">
        <v>129</v>
      </c>
    </row>
    <row r="34" ht="22" customHeight="1"/>
    <row r="35" ht="24" customHeight="1" spans="2:7">
      <c r="B35" s="21" t="s">
        <v>960</v>
      </c>
    </row>
    <row r="36" ht="22" customHeight="1" spans="2:7">
      <c r="B36" s="22" t="s">
        <v>121</v>
      </c>
      <c r="C36" s="22" t="s">
        <v>929</v>
      </c>
      <c r="D36" s="22" t="s">
        <v>930</v>
      </c>
      <c r="E36" s="22" t="s">
        <v>931</v>
      </c>
      <c r="F36" s="22" t="s">
        <v>932</v>
      </c>
      <c r="G36" s="22" t="s">
        <v>933</v>
      </c>
    </row>
    <row r="37" ht="22" customHeight="1" spans="2:7">
      <c r="B37" s="23">
        <v>1</v>
      </c>
      <c r="C37" s="24" t="s">
        <v>961</v>
      </c>
      <c r="D37" s="25" t="s">
        <v>935</v>
      </c>
      <c r="E37" s="25" t="s">
        <v>936</v>
      </c>
      <c r="F37" s="24" t="s">
        <v>129</v>
      </c>
      <c r="G37" s="24" t="s">
        <v>129</v>
      </c>
    </row>
    <row r="38" ht="22" customHeight="1" spans="2:7">
      <c r="B38" s="8">
        <v>2</v>
      </c>
      <c r="C38" s="9" t="s">
        <v>962</v>
      </c>
      <c r="D38" s="10" t="s">
        <v>935</v>
      </c>
      <c r="E38" s="10" t="s">
        <v>936</v>
      </c>
      <c r="F38" s="9" t="s">
        <v>129</v>
      </c>
      <c r="G38" s="9" t="s">
        <v>129</v>
      </c>
    </row>
    <row r="39" ht="22" customHeight="1" spans="2:7">
      <c r="B39" s="23">
        <v>3</v>
      </c>
      <c r="C39" s="24" t="s">
        <v>963</v>
      </c>
      <c r="D39" s="25" t="s">
        <v>935</v>
      </c>
      <c r="E39" s="25" t="s">
        <v>936</v>
      </c>
      <c r="F39" s="24" t="s">
        <v>129</v>
      </c>
      <c r="G39" s="24" t="s">
        <v>129</v>
      </c>
    </row>
    <row r="40" ht="22" customHeight="1" spans="2:7">
      <c r="B40" s="8">
        <v>4</v>
      </c>
      <c r="C40" s="9" t="s">
        <v>964</v>
      </c>
      <c r="D40" s="10" t="s">
        <v>935</v>
      </c>
      <c r="E40" s="10" t="s">
        <v>936</v>
      </c>
      <c r="F40" s="9" t="s">
        <v>129</v>
      </c>
      <c r="G40" s="9" t="s">
        <v>129</v>
      </c>
    </row>
    <row r="41" ht="22" customHeight="1" spans="2:7">
      <c r="B41" s="23">
        <v>5</v>
      </c>
      <c r="C41" s="24" t="s">
        <v>965</v>
      </c>
      <c r="D41" s="25" t="s">
        <v>935</v>
      </c>
      <c r="E41" s="25" t="s">
        <v>936</v>
      </c>
      <c r="F41" s="24" t="s">
        <v>129</v>
      </c>
      <c r="G41" s="24" t="s">
        <v>129</v>
      </c>
    </row>
    <row r="42" ht="22" customHeight="1"/>
    <row r="43" ht="24" customHeight="1" spans="2:7">
      <c r="B43" s="26" t="s">
        <v>966</v>
      </c>
    </row>
    <row r="44" ht="22" customHeight="1" spans="2:7">
      <c r="B44" s="27" t="s">
        <v>121</v>
      </c>
      <c r="C44" s="27" t="s">
        <v>929</v>
      </c>
      <c r="D44" s="27" t="s">
        <v>930</v>
      </c>
      <c r="E44" s="27" t="s">
        <v>931</v>
      </c>
      <c r="F44" s="27" t="s">
        <v>932</v>
      </c>
      <c r="G44" s="27" t="s">
        <v>933</v>
      </c>
    </row>
    <row r="45" ht="22" customHeight="1" spans="2:7">
      <c r="B45" s="28">
        <v>1</v>
      </c>
      <c r="C45" s="29" t="s">
        <v>967</v>
      </c>
      <c r="D45" s="30" t="s">
        <v>935</v>
      </c>
      <c r="E45" s="30" t="s">
        <v>936</v>
      </c>
      <c r="F45" s="29" t="s">
        <v>129</v>
      </c>
      <c r="G45" s="29" t="s">
        <v>129</v>
      </c>
    </row>
    <row r="46" ht="22" customHeight="1" spans="2:7">
      <c r="B46" s="8">
        <v>2</v>
      </c>
      <c r="C46" s="9" t="s">
        <v>968</v>
      </c>
      <c r="D46" s="10" t="s">
        <v>935</v>
      </c>
      <c r="E46" s="10" t="s">
        <v>936</v>
      </c>
      <c r="F46" s="9" t="s">
        <v>129</v>
      </c>
      <c r="G46" s="9" t="s">
        <v>129</v>
      </c>
    </row>
    <row r="47" ht="22" customHeight="1" spans="2:7">
      <c r="B47" s="28">
        <v>3</v>
      </c>
      <c r="C47" s="29" t="s">
        <v>969</v>
      </c>
      <c r="D47" s="30" t="s">
        <v>935</v>
      </c>
      <c r="E47" s="30" t="s">
        <v>936</v>
      </c>
      <c r="F47" s="29" t="s">
        <v>129</v>
      </c>
      <c r="G47" s="29" t="s">
        <v>129</v>
      </c>
    </row>
    <row r="48" ht="22" customHeight="1" spans="2:7">
      <c r="B48" s="8">
        <v>4</v>
      </c>
      <c r="C48" s="9" t="s">
        <v>970</v>
      </c>
      <c r="D48" s="10" t="s">
        <v>971</v>
      </c>
      <c r="E48" s="10" t="s">
        <v>936</v>
      </c>
      <c r="F48" s="9" t="s">
        <v>129</v>
      </c>
      <c r="G48" s="9" t="s">
        <v>129</v>
      </c>
    </row>
    <row r="49" ht="22" customHeight="1" spans="2:7">
      <c r="B49" s="28">
        <v>5</v>
      </c>
      <c r="C49" s="29" t="s">
        <v>972</v>
      </c>
      <c r="D49" s="30" t="s">
        <v>935</v>
      </c>
      <c r="E49" s="30" t="s">
        <v>936</v>
      </c>
      <c r="F49" s="29" t="s">
        <v>129</v>
      </c>
      <c r="G49" s="29" t="s">
        <v>129</v>
      </c>
    </row>
    <row r="50" ht="22" customHeight="1"/>
    <row r="51" ht="20" customHeight="1" spans="2:7">
      <c r="B51" s="31" t="s">
        <v>973</v>
      </c>
    </row>
    <row r="52" ht="22" customHeight="1" spans="2:7">
      <c r="B52" s="32" t="s">
        <v>974</v>
      </c>
    </row>
    <row r="53" ht="22" customHeight="1" spans="2:7">
      <c r="B53" s="33" t="s">
        <v>975</v>
      </c>
    </row>
    <row r="54" ht="22" customHeight="1"/>
    <row r="55" ht="22" customHeight="1"/>
    <row r="56" ht="22" customHeight="1"/>
    <row r="57" ht="22" customHeight="1"/>
  </sheetData>
  <mergeCells count="10">
    <mergeCell ref="B2:G2"/>
    <mergeCell ref="B3:G3"/>
    <mergeCell ref="B4:G4"/>
    <mergeCell ref="B14:G14"/>
    <mergeCell ref="B24:G24"/>
    <mergeCell ref="B35:G35"/>
    <mergeCell ref="B43:G43"/>
    <mergeCell ref="B51:G51"/>
    <mergeCell ref="B52:G52"/>
    <mergeCell ref="B53:G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INDEX</vt:lpstr>
      <vt:lpstr>ICC-00 Composition</vt:lpstr>
      <vt:lpstr>ICC-NA Notice &amp; Agenda</vt:lpstr>
      <vt:lpstr>ICC-AT Attendance</vt:lpstr>
      <vt:lpstr>ICC-MM Minutes</vt:lpstr>
      <vt:lpstr>ICC-ATR Action Report</vt:lpstr>
      <vt:lpstr>ICC-01 Awareness Calendar</vt:lpstr>
      <vt:lpstr>ICC-02 Training Register</vt:lpstr>
      <vt:lpstr>ICC-03 Declaration Register</vt:lpstr>
      <vt:lpstr>ICC-04 Policy Display</vt:lpstr>
      <vt:lpstr>ICC-05 Complaint Receipt</vt:lpstr>
      <vt:lpstr>ICC-06 Acknowledgement</vt:lpstr>
      <vt:lpstr>ICC-07 Conciliation Form</vt:lpstr>
      <vt:lpstr>ICC-08 Inquiry Committee</vt:lpstr>
      <vt:lpstr>ICC-09 Respondent Notice</vt:lpstr>
      <vt:lpstr>ICC-10 Witness Statements</vt:lpstr>
      <vt:lpstr>ICC-11 Evidence Register</vt:lpstr>
      <vt:lpstr>ICC-12 Proceedings Log</vt:lpstr>
      <vt:lpstr>ICC-13 Inquiry Report</vt:lpstr>
      <vt:lpstr>ICC-14 Decision Register</vt:lpstr>
      <vt:lpstr>ICC-15 Appeal Register</vt:lpstr>
      <vt:lpstr>ICC-16 Relief Monitoring</vt:lpstr>
      <vt:lpstr>ICC-17 Case Closure</vt:lpstr>
      <vt:lpstr>ICC-18 Annual Report</vt:lpstr>
      <vt:lpstr>ICC-19 Case Dashboard</vt:lpstr>
      <vt:lpstr>ICC-20 Support Tracker</vt:lpstr>
      <vt:lpstr>ICC-21 Non-Retaliation</vt:lpstr>
      <vt:lpstr>ICC-22 Compliance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dcterms:created xsi:type="dcterms:W3CDTF">2026-04-19T15:25:00Z</dcterms:created>
  <dcterms:modified xsi:type="dcterms:W3CDTF">2026-04-23T04:43:56Z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93E1EB05DA124C98A35ECC3F45429BBD_12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