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CC-00 Composition" sheetId="2" state="visible" r:id="rId2"/>
    <sheet xmlns:r="http://schemas.openxmlformats.org/officeDocument/2006/relationships" name="ACC-NA Notice &amp; Agenda" sheetId="3" state="visible" r:id="rId3"/>
    <sheet xmlns:r="http://schemas.openxmlformats.org/officeDocument/2006/relationships" name="ACC-AT Attendance" sheetId="4" state="visible" r:id="rId4"/>
    <sheet xmlns:r="http://schemas.openxmlformats.org/officeDocument/2006/relationships" name="ACC-MM Minutes" sheetId="5" state="visible" r:id="rId5"/>
    <sheet xmlns:r="http://schemas.openxmlformats.org/officeDocument/2006/relationships" name="ACC-ATR Action Report" sheetId="6" state="visible" r:id="rId6"/>
    <sheet xmlns:r="http://schemas.openxmlformats.org/officeDocument/2006/relationships" name="ACC-01 Alumni Registration" sheetId="7" state="visible" r:id="rId7"/>
    <sheet xmlns:r="http://schemas.openxmlformats.org/officeDocument/2006/relationships" name="ACC-02 Alumni Database" sheetId="8" state="visible" r:id="rId8"/>
    <sheet xmlns:r="http://schemas.openxmlformats.org/officeDocument/2006/relationships" name="ACC-03 Chapter Register" sheetId="9" state="visible" r:id="rId9"/>
    <sheet xmlns:r="http://schemas.openxmlformats.org/officeDocument/2006/relationships" name="ACC-05 Distinguished Alumni" sheetId="10" state="visible" r:id="rId10"/>
    <sheet xmlns:r="http://schemas.openxmlformats.org/officeDocument/2006/relationships" name="ACC-07 Office-Bearers" sheetId="11" state="visible" r:id="rId11"/>
    <sheet xmlns:r="http://schemas.openxmlformats.org/officeDocument/2006/relationships" name="ACC-09 Alumni Meet Register" sheetId="12" state="visible" r:id="rId12"/>
    <sheet xmlns:r="http://schemas.openxmlformats.org/officeDocument/2006/relationships" name="ACC-10 Guest Lectures" sheetId="13" state="visible" r:id="rId13"/>
    <sheet xmlns:r="http://schemas.openxmlformats.org/officeDocument/2006/relationships" name="ACC-11 Mentorship Register" sheetId="14" state="visible" r:id="rId14"/>
    <sheet xmlns:r="http://schemas.openxmlformats.org/officeDocument/2006/relationships" name="ACC-16 Placement Referrals" sheetId="15" state="visible" r:id="rId15"/>
    <sheet xmlns:r="http://schemas.openxmlformats.org/officeDocument/2006/relationships" name="ACC-20 Donations Register" sheetId="16" state="visible" r:id="rId16"/>
    <sheet xmlns:r="http://schemas.openxmlformats.org/officeDocument/2006/relationships" name="ACC-22 Scholarship Register" sheetId="17" state="visible" r:id="rId17"/>
    <sheet xmlns:r="http://schemas.openxmlformats.org/officeDocument/2006/relationships" name="ACC-24 Newsletter Register" sheetId="18" state="visible" r:id="rId18"/>
    <sheet xmlns:r="http://schemas.openxmlformats.org/officeDocument/2006/relationships" name="ACC-27 Alumni Survey" sheetId="19" state="visible" r:id="rId19"/>
    <sheet xmlns:r="http://schemas.openxmlformats.org/officeDocument/2006/relationships" name="ACC-28 NAAC NIRF Data" sheetId="20" state="visible" r:id="rId20"/>
    <sheet xmlns:r="http://schemas.openxmlformats.org/officeDocument/2006/relationships" name="ACC-29 Employer Feedback" sheetId="21" state="visible" r:id="rId21"/>
    <sheet xmlns:r="http://schemas.openxmlformats.org/officeDocument/2006/relationships" name="ACC-30 KPI Dashboard" sheetId="22" state="visible" r:id="rId22"/>
    <sheet xmlns:r="http://schemas.openxmlformats.org/officeDocument/2006/relationships" name="ACC-31 Annual Repo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7B1D1D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7B1D1D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3B0000"/>
      <sz val="10"/>
    </font>
    <font>
      <name val="Arial"/>
      <b val="1"/>
      <color rgb="003F2000"/>
      <sz val="10"/>
    </font>
    <font>
      <name val="Arial"/>
      <b val="1"/>
      <color rgb="00042F2E"/>
      <sz val="10"/>
    </font>
  </fonts>
  <fills count="20">
    <fill>
      <patternFill/>
    </fill>
    <fill>
      <patternFill patternType="gray125"/>
    </fill>
    <fill>
      <patternFill patternType="solid">
        <fgColor rgb="003B0000"/>
      </patternFill>
    </fill>
    <fill>
      <patternFill patternType="solid">
        <fgColor rgb="00FEE2E2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7B1D1D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66534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6D28D9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0" fillId="7" borderId="1" pivotButton="0" quotePrefix="0" xfId="0"/>
    <xf numFmtId="0" fontId="0" fillId="14" borderId="1" pivotButton="0" quotePrefix="0" xfId="0"/>
    <xf numFmtId="0" fontId="4" fillId="1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15" fillId="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11" borderId="1" pivotButton="0" quotePrefix="0" xfId="0"/>
    <xf numFmtId="0" fontId="5" fillId="12" borderId="1" applyAlignment="1" pivotButton="0" quotePrefix="0" xfId="0">
      <alignment horizontal="left" vertical="center" wrapText="1"/>
    </xf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ALUMNI COORDINATION COMMITTEE (ACC)
Data Collection Formats — Master Workbook</t>
        </is>
      </c>
    </row>
    <row r="3" ht="28" customHeight="1">
      <c r="B3" s="2" t="inlineStr">
        <is>
          <t>Institution: _________________________  Alumni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ACC-00</t>
        </is>
      </c>
      <c r="C6" s="6" t="inlineStr">
        <is>
          <t>Committee Composition &amp; Members Register</t>
        </is>
      </c>
      <c r="D6" s="6" t="inlineStr">
        <is>
          <t>Record committee members, alumni office team &amp; advisors</t>
        </is>
      </c>
      <c r="E6" s="7" t="inlineStr">
        <is>
          <t>Annual</t>
        </is>
      </c>
    </row>
    <row r="7" ht="20" customHeight="1">
      <c r="B7" s="8" t="inlineStr">
        <is>
          <t>ACC-NA</t>
        </is>
      </c>
      <c r="C7" s="9" t="inlineStr">
        <is>
          <t>Meeting Notice, Agenda &amp; Dispatch Record</t>
        </is>
      </c>
      <c r="D7" s="9" t="inlineStr">
        <is>
          <t>Formal notice and agenda for ACC meetings</t>
        </is>
      </c>
      <c r="E7" s="10" t="inlineStr">
        <is>
          <t>Each Meeting</t>
        </is>
      </c>
    </row>
    <row r="8" ht="20" customHeight="1">
      <c r="B8" s="5" t="inlineStr">
        <is>
          <t>ACC-AT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ACC-MM</t>
        </is>
      </c>
      <c r="C9" s="9" t="inlineStr">
        <is>
          <t>Meeting Minutes &amp; Resolutions</t>
        </is>
      </c>
      <c r="D9" s="9" t="inlineStr">
        <is>
          <t>Record discussions,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ACC-ATR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ALUMNI DATABASE &amp; REGISTRATION ──</t>
        </is>
      </c>
    </row>
    <row r="12" ht="20" customHeight="1">
      <c r="B12" s="5" t="inlineStr">
        <is>
          <t>ACC-01</t>
        </is>
      </c>
      <c r="C12" s="6" t="inlineStr">
        <is>
          <t>Alumni Master Registration Form</t>
        </is>
      </c>
      <c r="D12" s="6" t="inlineStr">
        <is>
          <t>Capture comprehensive profile of each alumnus/a</t>
        </is>
      </c>
      <c r="E12" s="7" t="inlineStr">
        <is>
          <t>On Registration</t>
        </is>
      </c>
    </row>
    <row r="13" ht="20" customHeight="1">
      <c r="B13" s="8" t="inlineStr">
        <is>
          <t>ACC-02</t>
        </is>
      </c>
      <c r="C13" s="9" t="inlineStr">
        <is>
          <t>Alumni Database Register</t>
        </is>
      </c>
      <c r="D13" s="9" t="inlineStr">
        <is>
          <t>Consolidated database of all registered alumni</t>
        </is>
      </c>
      <c r="E13" s="10" t="inlineStr">
        <is>
          <t>Continuous</t>
        </is>
      </c>
    </row>
    <row r="14" ht="20" customHeight="1">
      <c r="B14" s="5" t="inlineStr">
        <is>
          <t>ACC-03</t>
        </is>
      </c>
      <c r="C14" s="6" t="inlineStr">
        <is>
          <t>Alumni Chapter / Network Register</t>
        </is>
      </c>
      <c r="D14" s="6" t="inlineStr">
        <is>
          <t>Record regional, national &amp; international chapters</t>
        </is>
      </c>
      <c r="E14" s="7" t="inlineStr">
        <is>
          <t>Annual / Continuous</t>
        </is>
      </c>
    </row>
    <row r="15" ht="20" customHeight="1">
      <c r="B15" s="8" t="inlineStr">
        <is>
          <t>ACC-04</t>
        </is>
      </c>
      <c r="C15" s="9" t="inlineStr">
        <is>
          <t>Alumni Data Update &amp; Verification Form</t>
        </is>
      </c>
      <c r="D15" s="9" t="inlineStr">
        <is>
          <t>Capture updated contact, career &amp; professional details</t>
        </is>
      </c>
      <c r="E15" s="10" t="inlineStr">
        <is>
          <t>Annual / On Request</t>
        </is>
      </c>
    </row>
    <row r="16" ht="20" customHeight="1">
      <c r="B16" s="5" t="inlineStr">
        <is>
          <t>ACC-05</t>
        </is>
      </c>
      <c r="C16" s="6" t="inlineStr">
        <is>
          <t>Distinguished Alumni Register</t>
        </is>
      </c>
      <c r="D16" s="6" t="inlineStr">
        <is>
          <t>Maintain record of award-winning / eminent alumni</t>
        </is>
      </c>
      <c r="E16" s="7" t="inlineStr">
        <is>
          <t>Annual</t>
        </is>
      </c>
    </row>
    <row r="17" ht="20" customHeight="1">
      <c r="B17" s="4" t="inlineStr">
        <is>
          <t>── ALUMNI ASSOCIATION &amp; GOVERNANCE ──</t>
        </is>
      </c>
    </row>
    <row r="18" ht="20" customHeight="1">
      <c r="B18" s="5" t="inlineStr">
        <is>
          <t>ACC-06</t>
        </is>
      </c>
      <c r="C18" s="6" t="inlineStr">
        <is>
          <t>Alumni Association Constitution Register</t>
        </is>
      </c>
      <c r="D18" s="6" t="inlineStr">
        <is>
          <t>Document association rules, bye-laws &amp; governance structure</t>
        </is>
      </c>
      <c r="E18" s="7" t="inlineStr">
        <is>
          <t>Annual</t>
        </is>
      </c>
    </row>
    <row r="19" ht="20" customHeight="1">
      <c r="B19" s="8" t="inlineStr">
        <is>
          <t>ACC-07</t>
        </is>
      </c>
      <c r="C19" s="9" t="inlineStr">
        <is>
          <t>Alumni Association Office-Bearer Register</t>
        </is>
      </c>
      <c r="D19" s="9" t="inlineStr">
        <is>
          <t>Record elected/nominated office-bearers &amp; their roles</t>
        </is>
      </c>
      <c r="E19" s="10" t="inlineStr">
        <is>
          <t>Annual / On Election</t>
        </is>
      </c>
    </row>
    <row r="20" ht="20" customHeight="1">
      <c r="B20" s="5" t="inlineStr">
        <is>
          <t>ACC-08</t>
        </is>
      </c>
      <c r="C20" s="6" t="inlineStr">
        <is>
          <t>Alumni Association Meeting Register</t>
        </is>
      </c>
      <c r="D20" s="6" t="inlineStr">
        <is>
          <t>Track association governing body meetings &amp; decisions</t>
        </is>
      </c>
      <c r="E20" s="7" t="inlineStr">
        <is>
          <t>Per Meeting</t>
        </is>
      </c>
    </row>
    <row r="21" ht="20" customHeight="1">
      <c r="B21" s="4" t="inlineStr">
        <is>
          <t>── ENGAGEMENT PROGRAMMES &amp; EVENTS ──</t>
        </is>
      </c>
    </row>
    <row r="22" ht="20" customHeight="1">
      <c r="B22" s="5" t="inlineStr">
        <is>
          <t>ACC-09</t>
        </is>
      </c>
      <c r="C22" s="6" t="inlineStr">
        <is>
          <t>Alumni Meet / Homecoming Event Register</t>
        </is>
      </c>
      <c r="D22" s="6" t="inlineStr">
        <is>
          <t>Plan and record annual alumni meets, reunions &amp; homecomings</t>
        </is>
      </c>
      <c r="E22" s="7" t="inlineStr">
        <is>
          <t>Annual / Per Event</t>
        </is>
      </c>
    </row>
    <row r="23" ht="20" customHeight="1">
      <c r="B23" s="8" t="inlineStr">
        <is>
          <t>ACC-10</t>
        </is>
      </c>
      <c r="C23" s="9" t="inlineStr">
        <is>
          <t>Alumni Guest Lecture &amp; Expert Talk Register</t>
        </is>
      </c>
      <c r="D23" s="9" t="inlineStr">
        <is>
          <t>Document guest sessions by alumni for students</t>
        </is>
      </c>
      <c r="E23" s="10" t="inlineStr">
        <is>
          <t>Continuous</t>
        </is>
      </c>
    </row>
    <row r="24" ht="20" customHeight="1">
      <c r="B24" s="5" t="inlineStr">
        <is>
          <t>ACC-11</t>
        </is>
      </c>
      <c r="C24" s="6" t="inlineStr">
        <is>
          <t>Alumni Mentorship Programme Register</t>
        </is>
      </c>
      <c r="D24" s="6" t="inlineStr">
        <is>
          <t>Track alumni-student mentorship pairs &amp; sessions</t>
        </is>
      </c>
      <c r="E24" s="7" t="inlineStr">
        <is>
          <t>Semester / Annual</t>
        </is>
      </c>
    </row>
    <row r="25" ht="20" customHeight="1">
      <c r="B25" s="8" t="inlineStr">
        <is>
          <t>ACC-12</t>
        </is>
      </c>
      <c r="C25" s="9" t="inlineStr">
        <is>
          <t>Alumni Webinar / Virtual Engagement Register</t>
        </is>
      </c>
      <c r="D25" s="9" t="inlineStr">
        <is>
          <t>Record online alumni engagement activities</t>
        </is>
      </c>
      <c r="E25" s="10" t="inlineStr">
        <is>
          <t>Continuous</t>
        </is>
      </c>
    </row>
    <row r="26" ht="20" customHeight="1">
      <c r="B26" s="5" t="inlineStr">
        <is>
          <t>ACC-13</t>
        </is>
      </c>
      <c r="C26" s="6" t="inlineStr">
        <is>
          <t>Alumni Industry Visit &amp; Exposure Register</t>
        </is>
      </c>
      <c r="D26" s="6" t="inlineStr">
        <is>
          <t>Track visits to alumni-led companies &amp; industry sites</t>
        </is>
      </c>
      <c r="E26" s="7" t="inlineStr">
        <is>
          <t>Continuous</t>
        </is>
      </c>
    </row>
    <row r="27" ht="20" customHeight="1">
      <c r="B27" s="8" t="inlineStr">
        <is>
          <t>ACC-14</t>
        </is>
      </c>
      <c r="C27" s="9" t="inlineStr">
        <is>
          <t>Alumni Sports &amp; Cultural Event Register</t>
        </is>
      </c>
      <c r="D27" s="9" t="inlineStr">
        <is>
          <t>Document alumni sports meets, cultural events &amp; reunions</t>
        </is>
      </c>
      <c r="E27" s="10" t="inlineStr">
        <is>
          <t>Annual</t>
        </is>
      </c>
    </row>
    <row r="28" ht="20" customHeight="1">
      <c r="B28" s="5" t="inlineStr">
        <is>
          <t>ACC-15</t>
        </is>
      </c>
      <c r="C28" s="6" t="inlineStr">
        <is>
          <t>Batch Reunion Planning &amp; Execution Register</t>
        </is>
      </c>
      <c r="D28" s="6" t="inlineStr">
        <is>
          <t>Plan and execute batch-specific reunion events</t>
        </is>
      </c>
      <c r="E28" s="7" t="inlineStr">
        <is>
          <t>Per Reunion</t>
        </is>
      </c>
    </row>
    <row r="29" ht="20" customHeight="1">
      <c r="B29" s="4" t="inlineStr">
        <is>
          <t>── CAREER SUPPORT &amp; PLACEMENT ──</t>
        </is>
      </c>
    </row>
    <row r="30" ht="20" customHeight="1">
      <c r="B30" s="5" t="inlineStr">
        <is>
          <t>ACC-16</t>
        </is>
      </c>
      <c r="C30" s="6" t="inlineStr">
        <is>
          <t>Alumni Placement &amp; Referral Register</t>
        </is>
      </c>
      <c r="D30" s="6" t="inlineStr">
        <is>
          <t>Track jobs and internships referred by alumni</t>
        </is>
      </c>
      <c r="E30" s="7" t="inlineStr">
        <is>
          <t>Continuous</t>
        </is>
      </c>
    </row>
    <row r="31" ht="20" customHeight="1">
      <c r="B31" s="8" t="inlineStr">
        <is>
          <t>ACC-17</t>
        </is>
      </c>
      <c r="C31" s="9" t="inlineStr">
        <is>
          <t>Alumni Campus Recruitment Drive Register</t>
        </is>
      </c>
      <c r="D31" s="9" t="inlineStr">
        <is>
          <t>Record recruitment drives organised by alumni companies</t>
        </is>
      </c>
      <c r="E31" s="10" t="inlineStr">
        <is>
          <t>Continuous</t>
        </is>
      </c>
    </row>
    <row r="32" ht="20" customHeight="1">
      <c r="B32" s="5" t="inlineStr">
        <is>
          <t>ACC-18</t>
        </is>
      </c>
      <c r="C32" s="6" t="inlineStr">
        <is>
          <t>Alumni Career Counselling Register</t>
        </is>
      </c>
      <c r="D32" s="6" t="inlineStr">
        <is>
          <t>Track one-on-one career guidance by alumni</t>
        </is>
      </c>
      <c r="E32" s="7" t="inlineStr">
        <is>
          <t>Continuous</t>
        </is>
      </c>
    </row>
    <row r="33" ht="20" customHeight="1">
      <c r="B33" s="8" t="inlineStr">
        <is>
          <t>ACC-19</t>
        </is>
      </c>
      <c r="C33" s="9" t="inlineStr">
        <is>
          <t>Alumni Entrepreneurship Support Register</t>
        </is>
      </c>
      <c r="D33" s="9" t="inlineStr">
        <is>
          <t>Document startup mentoring, funding &amp; connections by alumni</t>
        </is>
      </c>
      <c r="E33" s="10" t="inlineStr">
        <is>
          <t>Continuous</t>
        </is>
      </c>
    </row>
    <row r="34" ht="20" customHeight="1">
      <c r="B34" s="4" t="inlineStr">
        <is>
          <t>── CONTRIBUTIONS &amp; FUND MANAGEMENT ──</t>
        </is>
      </c>
    </row>
    <row r="35" ht="20" customHeight="1">
      <c r="B35" s="8" t="inlineStr">
        <is>
          <t>ACC-20</t>
        </is>
      </c>
      <c r="C35" s="9" t="inlineStr">
        <is>
          <t>Alumni Donation &amp; Contribution Register</t>
        </is>
      </c>
      <c r="D35" s="9" t="inlineStr">
        <is>
          <t>Record all financial donations and in-kind contributions</t>
        </is>
      </c>
      <c r="E35" s="10" t="inlineStr">
        <is>
          <t>Continuous</t>
        </is>
      </c>
    </row>
    <row r="36" ht="20" customHeight="1">
      <c r="B36" s="5" t="inlineStr">
        <is>
          <t>ACC-21</t>
        </is>
      </c>
      <c r="C36" s="6" t="inlineStr">
        <is>
          <t>Alumni Fund Utilisation Register</t>
        </is>
      </c>
      <c r="D36" s="6" t="inlineStr">
        <is>
          <t>Track how alumni funds are spent and reported</t>
        </is>
      </c>
      <c r="E36" s="7" t="inlineStr">
        <is>
          <t>Quarterly / Annual</t>
        </is>
      </c>
    </row>
    <row r="37" ht="20" customHeight="1">
      <c r="B37" s="8" t="inlineStr">
        <is>
          <t>ACC-22</t>
        </is>
      </c>
      <c r="C37" s="9" t="inlineStr">
        <is>
          <t>Alumni Scholarship Register</t>
        </is>
      </c>
      <c r="D37" s="9" t="inlineStr">
        <is>
          <t>Track scholarships funded or facilitated by alumni</t>
        </is>
      </c>
      <c r="E37" s="10" t="inlineStr">
        <is>
          <t>Annual</t>
        </is>
      </c>
    </row>
    <row r="38" ht="20" customHeight="1">
      <c r="B38" s="5" t="inlineStr">
        <is>
          <t>ACC-23</t>
        </is>
      </c>
      <c r="C38" s="6" t="inlineStr">
        <is>
          <t>Alumni Equipment &amp; Infrastructure Gift Register</t>
        </is>
      </c>
      <c r="D38" s="6" t="inlineStr">
        <is>
          <t>Document equipment, labs, books gifted by alumni</t>
        </is>
      </c>
      <c r="E38" s="7" t="inlineStr">
        <is>
          <t>As Received</t>
        </is>
      </c>
    </row>
    <row r="39" ht="20" customHeight="1">
      <c r="B39" s="4" t="inlineStr">
        <is>
          <t>── COMMUNICATION &amp; OUTREACH ──</t>
        </is>
      </c>
    </row>
    <row r="40" ht="20" customHeight="1">
      <c r="B40" s="5" t="inlineStr">
        <is>
          <t>ACC-24</t>
        </is>
      </c>
      <c r="C40" s="6" t="inlineStr">
        <is>
          <t>Alumni Newsletter / Magazine Register</t>
        </is>
      </c>
      <c r="D40" s="6" t="inlineStr">
        <is>
          <t>Plan, publish and track alumni newsletters</t>
        </is>
      </c>
      <c r="E40" s="7" t="inlineStr">
        <is>
          <t>Quarterly / Annual</t>
        </is>
      </c>
    </row>
    <row r="41" ht="20" customHeight="1">
      <c r="B41" s="8" t="inlineStr">
        <is>
          <t>ACC-25</t>
        </is>
      </c>
      <c r="C41" s="9" t="inlineStr">
        <is>
          <t>Alumni Social Media &amp; Digital Outreach Register</t>
        </is>
      </c>
      <c r="D41" s="9" t="inlineStr">
        <is>
          <t>Monitor social media groups, pages &amp; digital engagement</t>
        </is>
      </c>
      <c r="E41" s="10" t="inlineStr">
        <is>
          <t>Monthly</t>
        </is>
      </c>
    </row>
    <row r="42" ht="20" customHeight="1">
      <c r="B42" s="5" t="inlineStr">
        <is>
          <t>ACC-26</t>
        </is>
      </c>
      <c r="C42" s="6" t="inlineStr">
        <is>
          <t>Alumni Communication Log</t>
        </is>
      </c>
      <c r="D42" s="6" t="inlineStr">
        <is>
          <t>Record all formal communications sent to alumni</t>
        </is>
      </c>
      <c r="E42" s="7" t="inlineStr">
        <is>
          <t>Continuous</t>
        </is>
      </c>
    </row>
    <row r="43" ht="20" customHeight="1">
      <c r="B43" s="8" t="inlineStr">
        <is>
          <t>ACC-27</t>
        </is>
      </c>
      <c r="C43" s="9" t="inlineStr">
        <is>
          <t>Alumni Survey &amp; Feedback Register</t>
        </is>
      </c>
      <c r="D43" s="9" t="inlineStr">
        <is>
          <t>Conduct and analyse alumni satisfaction &amp; feedback surveys</t>
        </is>
      </c>
      <c r="E43" s="10" t="inlineStr">
        <is>
          <t>Annual</t>
        </is>
      </c>
    </row>
    <row r="44" ht="20" customHeight="1">
      <c r="B44" s="4" t="inlineStr">
        <is>
          <t>── ACCREDITATION &amp; REPORTING ──</t>
        </is>
      </c>
    </row>
    <row r="45" ht="20" customHeight="1">
      <c r="B45" s="8" t="inlineStr">
        <is>
          <t>ACC-28</t>
        </is>
      </c>
      <c r="C45" s="9" t="inlineStr">
        <is>
          <t>Alumni NAAC/NBA/NIRF Data Compilation Form</t>
        </is>
      </c>
      <c r="D45" s="9" t="inlineStr">
        <is>
          <t>Compile alumni data for accreditation and rankings</t>
        </is>
      </c>
      <c r="E45" s="10" t="inlineStr">
        <is>
          <t>Annual</t>
        </is>
      </c>
    </row>
    <row r="46" ht="20" customHeight="1">
      <c r="B46" s="5" t="inlineStr">
        <is>
          <t>ACC-29</t>
        </is>
      </c>
      <c r="C46" s="6" t="inlineStr">
        <is>
          <t>Alumni Employer Feedback Summary</t>
        </is>
      </c>
      <c r="D46" s="6" t="inlineStr">
        <is>
          <t>Consolidate employer satisfaction survey by alumni</t>
        </is>
      </c>
      <c r="E46" s="7" t="inlineStr">
        <is>
          <t>Annual</t>
        </is>
      </c>
    </row>
    <row r="47" ht="20" customHeight="1">
      <c r="B47" s="8" t="inlineStr">
        <is>
          <t>ACC-30</t>
        </is>
      </c>
      <c r="C47" s="9" t="inlineStr">
        <is>
          <t>ACC KPI Dashboard</t>
        </is>
      </c>
      <c r="D47" s="9" t="inlineStr">
        <is>
          <t>Track all alumni engagement KPIs vs. targets</t>
        </is>
      </c>
      <c r="E47" s="10" t="inlineStr">
        <is>
          <t>Quarterly / Annual</t>
        </is>
      </c>
    </row>
    <row r="48" ht="20" customHeight="1">
      <c r="B48" s="5" t="inlineStr">
        <is>
          <t>ACC-31</t>
        </is>
      </c>
      <c r="C48" s="6" t="inlineStr">
        <is>
          <t>Alumni Annual Report Compilation Form</t>
        </is>
      </c>
      <c r="D48" s="6" t="inlineStr">
        <is>
          <t>Year-end report for management and Governing Body</t>
        </is>
      </c>
      <c r="E48" s="7" t="inlineStr">
        <is>
          <t>Annual</t>
        </is>
      </c>
    </row>
    <row r="100">
      <c r="B100" s="11" t="inlineStr">
        <is>
          <t>• ACC = Alumni Coordination Committee — the body responsible for building, maintaining and leveraging the alumni ecosystem.</t>
        </is>
      </c>
    </row>
    <row r="101">
      <c r="B101" s="11" t="inlineStr">
        <is>
          <t>• Alumni engagement data feeds into: NAAC AQAR Criterion V.4, NIRF (Graduation Outcomes), NBA SAR, IQAC annual reports.</t>
        </is>
      </c>
    </row>
    <row r="102">
      <c r="B102" s="11" t="inlineStr">
        <is>
          <t>• Alumni Association must be formally registered (under Societies Act / Trust Act) with documented bye-laws.</t>
        </is>
      </c>
    </row>
    <row r="103">
      <c r="B103" s="11" t="inlineStr">
        <is>
          <t>• All financial contributions must be routed through the institutional Finance Committee and audited annually.</t>
        </is>
      </c>
    </row>
    <row r="104">
      <c r="B104" s="11" t="inlineStr">
        <is>
          <t>• Alumni data is personal data — maintain under institutional privacy policy; PDPB compliance required.</t>
        </is>
      </c>
    </row>
    <row r="105">
      <c r="B105" s="11" t="inlineStr">
        <is>
          <t>• Employer feedback by alumni (ACC-29) is a mandatory NAAC Criterion V survey — conduct at least annually.</t>
        </is>
      </c>
    </row>
  </sheetData>
  <mergeCells count="16">
    <mergeCell ref="B17:E17"/>
    <mergeCell ref="B102:E102"/>
    <mergeCell ref="B105:E105"/>
    <mergeCell ref="B21:E21"/>
    <mergeCell ref="B44:E44"/>
    <mergeCell ref="B100:E100"/>
    <mergeCell ref="B29:E29"/>
    <mergeCell ref="B39:E39"/>
    <mergeCell ref="B11:E11"/>
    <mergeCell ref="B104:E104"/>
    <mergeCell ref="B3:E3"/>
    <mergeCell ref="B5:E5"/>
    <mergeCell ref="B2:E2"/>
    <mergeCell ref="B103:E103"/>
    <mergeCell ref="B101:E101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ACC-00: ALUMNI COORDINATION COMMITTEE —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 / Organisation</t>
        </is>
      </c>
      <c r="E4" s="13" t="inlineStr">
        <is>
          <t>Role in ACC</t>
        </is>
      </c>
      <c r="F4" s="13" t="inlineStr">
        <is>
          <t>Domain Expertise</t>
        </is>
      </c>
      <c r="G4" s="13" t="inlineStr">
        <is>
          <t>Email / Phone</t>
        </is>
      </c>
      <c r="H4" s="13" t="inlineStr">
        <is>
          <t>Term (From–To)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 / Dean Alumni Affairs</t>
        </is>
      </c>
      <c r="E5" s="14" t="inlineStr">
        <is>
          <t>Chairperson</t>
        </is>
      </c>
      <c r="F5" s="16" t="inlineStr">
        <is>
          <t>Alumni Strategy &amp; Leadership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Faculty In-charge — Alumni Relations</t>
        </is>
      </c>
      <c r="E6" s="8" t="inlineStr">
        <is>
          <t>Alumni Coordinator</t>
        </is>
      </c>
      <c r="F6" s="10" t="inlineStr">
        <is>
          <t>Alumni Engagement &amp;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Alumni Office Administrative Officer</t>
        </is>
      </c>
      <c r="E7" s="14" t="inlineStr">
        <is>
          <t>Member Secretary</t>
        </is>
      </c>
      <c r="F7" s="16" t="inlineStr">
        <is>
          <t>Administration &amp; Database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Faculty (Engineering / Sciences)</t>
        </is>
      </c>
      <c r="E8" s="8" t="inlineStr">
        <is>
          <t>Faculty Representative – 1</t>
        </is>
      </c>
      <c r="F8" s="10" t="inlineStr">
        <is>
          <t>Technical Alumni Connect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Faculty (Management / Arts)</t>
        </is>
      </c>
      <c r="E9" s="14" t="inlineStr">
        <is>
          <t>Faculty Representative – 2</t>
        </is>
      </c>
      <c r="F9" s="16" t="inlineStr">
        <is>
          <t>Industry Alumni Connect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T&amp;P Officer (Ex-officio)</t>
        </is>
      </c>
      <c r="E10" s="8" t="inlineStr">
        <is>
          <t>Training &amp; Placement Officer</t>
        </is>
      </c>
      <c r="F10" s="10" t="inlineStr">
        <is>
          <t>Career &amp; Placement Linkage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Final Year Student — Student Council</t>
        </is>
      </c>
      <c r="E11" s="14" t="inlineStr">
        <is>
          <t>Student Representative</t>
        </is>
      </c>
      <c r="F11" s="16" t="inlineStr">
        <is>
          <t>Current Student-Alumni Bridge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President — Alumni Association</t>
        </is>
      </c>
      <c r="E12" s="8" t="inlineStr">
        <is>
          <t>Alumni President</t>
        </is>
      </c>
      <c r="F12" s="10" t="inlineStr">
        <is>
          <t>Alumni Governance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Vice-President — Alumni Association</t>
        </is>
      </c>
      <c r="E13" s="14" t="inlineStr">
        <is>
          <t>Alumni Vice-President</t>
        </is>
      </c>
      <c r="F13" s="16" t="inlineStr">
        <is>
          <t>Alumni Chapters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Senior Eminent Alumnus (Industry)</t>
        </is>
      </c>
      <c r="E14" s="8" t="inlineStr">
        <is>
          <t>Distinguished Alumnus – 1</t>
        </is>
      </c>
      <c r="F14" s="10" t="inlineStr">
        <is>
          <t>Industry Linkage &amp; Mentorship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Senior Eminent Alumnus (Academia / Govt.)</t>
        </is>
      </c>
      <c r="E15" s="14" t="inlineStr">
        <is>
          <t>Distinguished Alumnus – 2</t>
        </is>
      </c>
      <c r="F15" s="16" t="inlineStr">
        <is>
          <t>Academic &amp; Policy Connect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IQAC In-charge</t>
        </is>
      </c>
      <c r="E16" s="8" t="inlineStr">
        <is>
          <t>IQAC Coordinator (Ex-officio)</t>
        </is>
      </c>
      <c r="F16" s="10" t="inlineStr">
        <is>
          <t>Quality &amp; Accreditation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Finance Officer</t>
        </is>
      </c>
      <c r="E17" s="14" t="inlineStr">
        <is>
          <t>Finance Officer (Ex-officio)</t>
        </is>
      </c>
      <c r="F17" s="16" t="inlineStr">
        <is>
          <t>Alumni Fund Management</t>
        </is>
      </c>
      <c r="G17" s="15" t="inlineStr"/>
      <c r="H17" s="16" t="inlineStr"/>
      <c r="I17" s="16" t="inlineStr"/>
    </row>
    <row r="18" ht="22" customHeight="1"/>
    <row r="19" ht="20" customHeight="1">
      <c r="B19" s="17" t="inlineStr">
        <is>
          <t>Committee meets minimum twice a year. Alumni Association office-bearers are co-opted members. Reconstitute annually or on expiry of alumni office-bearer terms.</t>
        </is>
      </c>
    </row>
    <row r="20" ht="22" customHeight="1"/>
    <row r="21" ht="22" customHeight="1"/>
    <row r="22" ht="22" customHeight="1"/>
    <row r="23" ht="22" customHeight="1"/>
  </sheetData>
  <mergeCells count="3">
    <mergeCell ref="B3:I3"/>
    <mergeCell ref="B19:I19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ACC: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 / Discussion Topic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ACC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Alumni database update — new registrations, data corrections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Alumni Association — governing body update &amp; chapter news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Alumni engagement events — upcoming calendar review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Alumni guest lectures &amp; expert talks — schedule &amp; outcomes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Alumni mentorship programme — batch assignments &amp; session logs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Alumni placement &amp; campus recruitment — referrals and drives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Alumni contributions — donations, scholarships, equipment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Alumni communication — newsletter, social media, digital update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Alumni survey &amp; feedback — results and action plan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NAAC/NIRF alumni data — compilation and verification status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Distinguished alumni nominations — review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Alumni fund — utilisation report and audit status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Annual alumni meet — planning or post-event review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Any Other Matter with Permission of Chairperson (AOMPC)</t>
        </is>
      </c>
      <c r="D28" s="10" t="inlineStr"/>
      <c r="E28" s="10" t="inlineStr"/>
    </row>
    <row r="29" ht="24" customHeight="1"/>
    <row r="30" ht="24" customHeight="1">
      <c r="B30" s="20" t="inlineStr">
        <is>
          <t>DISPATCH RECORD</t>
        </is>
      </c>
    </row>
    <row r="31" ht="24" customHeight="1">
      <c r="B31" s="21" t="inlineStr">
        <is>
          <t>Sl.</t>
        </is>
      </c>
      <c r="C31" s="21" t="inlineStr">
        <is>
          <t>Member Name &amp; Role</t>
        </is>
      </c>
      <c r="D31" s="21" t="inlineStr">
        <is>
          <t>Mode of Dispatch</t>
        </is>
      </c>
      <c r="E31" s="21" t="inlineStr">
        <is>
          <t>Date &amp; Acknowledgement</t>
        </is>
      </c>
    </row>
    <row r="32" ht="22" customHeight="1">
      <c r="B32" s="22" t="n"/>
      <c r="C32" s="22" t="n"/>
      <c r="D32" s="22" t="n"/>
      <c r="E32" s="22" t="n"/>
    </row>
    <row r="33" ht="22" customHeight="1">
      <c r="B33" s="10" t="n"/>
      <c r="C33" s="10" t="n"/>
      <c r="D33" s="10" t="n"/>
      <c r="E33" s="10" t="n"/>
    </row>
    <row r="34" ht="22" customHeight="1">
      <c r="B34" s="22" t="n"/>
      <c r="C34" s="22" t="n"/>
      <c r="D34" s="22" t="n"/>
      <c r="E34" s="22" t="n"/>
    </row>
    <row r="35" ht="22" customHeight="1">
      <c r="B35" s="10" t="n"/>
      <c r="C35" s="10" t="n"/>
      <c r="D35" s="10" t="n"/>
      <c r="E35" s="10" t="n"/>
    </row>
    <row r="36" ht="24" customHeight="1"/>
    <row r="37" ht="24" customHeight="1"/>
    <row r="38" ht="24" customHeight="1"/>
    <row r="39" ht="24" customHeight="1"/>
  </sheetData>
  <mergeCells count="11">
    <mergeCell ref="C5:E5"/>
    <mergeCell ref="B30:E30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ACC: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Designation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/>
    <row r="21" ht="24" customHeight="1">
      <c r="B21" s="20" t="inlineStr">
        <is>
          <t>QUORUM VERIFICATION</t>
        </is>
      </c>
    </row>
    <row r="22" ht="22" customHeight="1">
      <c r="B22" s="23" t="inlineStr">
        <is>
          <t>Total ACC Members</t>
        </is>
      </c>
      <c r="G22" s="24" t="inlineStr"/>
    </row>
    <row r="23" ht="22" customHeight="1">
      <c r="B23" s="25" t="inlineStr">
        <is>
          <t>Present (Physical)</t>
        </is>
      </c>
      <c r="G23" s="24">
        <f>COUNTIF(F5:F19,"P")</f>
        <v/>
      </c>
    </row>
    <row r="24" ht="22" customHeight="1">
      <c r="B24" s="23" t="inlineStr">
        <is>
          <t>Present (VC)</t>
        </is>
      </c>
      <c r="G24" s="24" t="inlineStr"/>
    </row>
    <row r="25" ht="22" customHeight="1">
      <c r="B25" s="25" t="inlineStr">
        <is>
          <t>Total Effective</t>
        </is>
      </c>
      <c r="G25" s="24">
        <f>IFERROR(C23+C24,"")</f>
        <v/>
      </c>
    </row>
    <row r="26" ht="22" customHeight="1">
      <c r="B26" s="23" t="inlineStr">
        <is>
          <t>Quorum Required (50%)</t>
        </is>
      </c>
      <c r="G26" s="24" t="inlineStr"/>
    </row>
    <row r="27" ht="22" customHeight="1">
      <c r="B27" s="25" t="inlineStr">
        <is>
          <t>Quorum Achieved?</t>
        </is>
      </c>
      <c r="G27" s="26">
        <f>IFERROR(IF(C25&gt;=C26,"YES — Meeting Valid","NO — Adjourned"),"")</f>
        <v/>
      </c>
    </row>
    <row r="28" ht="22" customHeight="1"/>
    <row r="29" ht="22" customHeight="1"/>
  </sheetData>
  <mergeCells count="15">
    <mergeCell ref="G24:I24"/>
    <mergeCell ref="B21:I21"/>
    <mergeCell ref="B24:F24"/>
    <mergeCell ref="G27:I27"/>
    <mergeCell ref="G22:I22"/>
    <mergeCell ref="B2:I2"/>
    <mergeCell ref="B25:F25"/>
    <mergeCell ref="G23:I23"/>
    <mergeCell ref="B3:I3"/>
    <mergeCell ref="B23:F23"/>
    <mergeCell ref="G26:I26"/>
    <mergeCell ref="B22:F22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ACC: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14" t="inlineStr">
        <is>
          <t>ACC/RES/001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2" customHeight="1">
      <c r="B7" s="8" t="inlineStr">
        <is>
          <t>ACC/RES/002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14" t="inlineStr">
        <is>
          <t>ACC/RES/003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2" customHeight="1">
      <c r="B9" s="8" t="inlineStr">
        <is>
          <t>ACC/RES/004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14" t="inlineStr">
        <is>
          <t>ACC/RES/005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2" customHeight="1">
      <c r="B11" s="8" t="inlineStr">
        <is>
          <t>ACC/RES/006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14" t="inlineStr">
        <is>
          <t>ACC/RES/007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2" customHeight="1">
      <c r="B13" s="8" t="inlineStr">
        <is>
          <t>ACC/RES/008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14" t="inlineStr">
        <is>
          <t>ACC/RES/009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2" customHeight="1">
      <c r="B15" s="8" t="inlineStr">
        <is>
          <t>ACC/RES/010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14" t="inlineStr">
        <is>
          <t>ACC/RES/011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2" customHeight="1">
      <c r="B17" s="8" t="inlineStr">
        <is>
          <t>ACC/RES/012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14" t="inlineStr">
        <is>
          <t>ACC/RES/013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2" customHeight="1">
      <c r="B19" s="8" t="inlineStr">
        <is>
          <t>ACC/RES/014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Alumni Coordinator: ___________________</t>
        </is>
      </c>
    </row>
    <row r="22" ht="30" customHeight="1"/>
    <row r="23" ht="30" customHeight="1"/>
    <row r="24" ht="30" customHeight="1"/>
    <row r="25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ACC: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ACC/RES/001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ACC/RES/002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ACC/RES/003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ACC/RES/004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ACC/RES/005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ACC/RES/006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ACC/RES/007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ACC/RES/008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ACC/RES/009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ACC/RES/010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ACC/RES/011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ACC/RES/012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ACC/RES/013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ACC/RES/014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1" t="inlineStr">
        <is>
          <t>ACC/RES/015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In Progress</t>
        </is>
      </c>
    </row>
    <row r="20" ht="26" customHeight="1"/>
    <row r="21" ht="24" customHeight="1">
      <c r="B21" s="34" t="inlineStr">
        <is>
          <t>ATR SUMMARY</t>
        </is>
      </c>
    </row>
    <row r="22" ht="26" customHeight="1">
      <c r="B22" s="35" t="inlineStr">
        <is>
          <t>Total Resolutions Under Review</t>
        </is>
      </c>
      <c r="F22" s="36">
        <f>COUNTA(B5:B19)</f>
        <v/>
      </c>
    </row>
    <row r="23" ht="26" customHeight="1">
      <c r="B23" s="25" t="inlineStr">
        <is>
          <t>Implemented</t>
        </is>
      </c>
      <c r="F23" s="37">
        <f>COUNTIF(H5:H19,"Implemented")</f>
        <v/>
      </c>
    </row>
    <row r="24" ht="26" customHeight="1">
      <c r="B24" s="35" t="inlineStr">
        <is>
          <t>In Progress</t>
        </is>
      </c>
      <c r="F24" s="36">
        <f>COUNTIF(H5:H19,"In Progress")</f>
        <v/>
      </c>
    </row>
    <row r="25" ht="26" customHeight="1">
      <c r="B25" s="25" t="inlineStr">
        <is>
          <t>Pending</t>
        </is>
      </c>
      <c r="F25" s="37">
        <f>COUNTIF(H5:H19,"Pending")</f>
        <v/>
      </c>
    </row>
    <row r="26" ht="26" customHeight="1">
      <c r="B26" s="35" t="inlineStr">
        <is>
          <t>Deferred</t>
        </is>
      </c>
      <c r="F26" s="36">
        <f>COUNTIF(H5:H19,"Deferred")</f>
        <v/>
      </c>
    </row>
    <row r="27" ht="26" customHeight="1">
      <c r="B27" s="25" t="inlineStr">
        <is>
          <t>Implementation Rate (%)</t>
        </is>
      </c>
      <c r="F27" s="37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ACC-01: ALUMNI MASTER REGISTRATION FORM</t>
        </is>
      </c>
    </row>
    <row r="3" ht="25" customHeight="1">
      <c r="B3" s="2" t="inlineStr">
        <is>
          <t>Alumni ID: ACC/ALUM/______/______   Registration Date: _______   Chapter / Batch: _______</t>
        </is>
      </c>
    </row>
    <row r="4" ht="24" customHeight="1">
      <c r="B4" s="19" t="inlineStr">
        <is>
          <t>SECTION A — PERSONAL DETAILS</t>
        </is>
      </c>
    </row>
    <row r="5" ht="30" customHeight="1">
      <c r="B5" s="38" t="inlineStr">
        <is>
          <t>Full Name (as per degree certificate):</t>
        </is>
      </c>
      <c r="C5" s="9" t="n"/>
    </row>
    <row r="6" ht="30" customHeight="1">
      <c r="B6" s="38" t="inlineStr">
        <is>
          <t>Date of Birth:</t>
        </is>
      </c>
      <c r="C6" s="9" t="n"/>
    </row>
    <row r="7" ht="30" customHeight="1">
      <c r="B7" s="38" t="inlineStr">
        <is>
          <t>Gender:</t>
        </is>
      </c>
      <c r="C7" s="39" t="inlineStr">
        <is>
          <t>[ ] Male   [ ] Female   [ ] Non-binary   [ ] Prefer not to say</t>
        </is>
      </c>
    </row>
    <row r="8" ht="30" customHeight="1">
      <c r="B8" s="38" t="inlineStr">
        <is>
          <t>Nationality:</t>
        </is>
      </c>
      <c r="C8" s="9" t="n"/>
    </row>
    <row r="9" ht="30" customHeight="1">
      <c r="B9" s="38" t="inlineStr">
        <is>
          <t>Current Address:</t>
        </is>
      </c>
      <c r="C9" s="9" t="n"/>
    </row>
    <row r="10" ht="30" customHeight="1">
      <c r="B10" s="38" t="inlineStr">
        <is>
          <t>Permanent Address (if different):</t>
        </is>
      </c>
      <c r="C10" s="9" t="n"/>
    </row>
    <row r="11" ht="30" customHeight="1">
      <c r="B11" s="38" t="inlineStr">
        <is>
          <t>Mobile Number (primary):</t>
        </is>
      </c>
      <c r="C11" s="9" t="n"/>
    </row>
    <row r="12" ht="30" customHeight="1">
      <c r="B12" s="38" t="inlineStr">
        <is>
          <t>Mobile Number (alternate):</t>
        </is>
      </c>
      <c r="C12" s="9" t="n"/>
    </row>
    <row r="13" ht="30" customHeight="1">
      <c r="B13" s="38" t="inlineStr">
        <is>
          <t>Personal Email ID:</t>
        </is>
      </c>
      <c r="C13" s="9" t="n"/>
    </row>
    <row r="14" ht="30" customHeight="1">
      <c r="B14" s="38" t="inlineStr">
        <is>
          <t>Professional / Work Email:</t>
        </is>
      </c>
      <c r="C14" s="9" t="n"/>
    </row>
    <row r="15" ht="30" customHeight="1">
      <c r="B15" s="38" t="inlineStr">
        <is>
          <t>LinkedIn Profile URL:</t>
        </is>
      </c>
      <c r="C15" s="9" t="n"/>
    </row>
    <row r="16" ht="30" customHeight="1">
      <c r="B16" s="38" t="inlineStr">
        <is>
          <t>Other Social Media (optional):</t>
        </is>
      </c>
      <c r="C16" s="39" t="inlineStr">
        <is>
          <t>[ ] Twitter/X: _______   [ ] GitHub: _______   [ ] Other: _______</t>
        </is>
      </c>
    </row>
    <row r="17" ht="30" customHeight="1"/>
    <row r="18" ht="24" customHeight="1">
      <c r="B18" s="20" t="inlineStr">
        <is>
          <t>SECTION B — ACADEMIC PROFILE</t>
        </is>
      </c>
    </row>
    <row r="19" ht="30" customHeight="1">
      <c r="B19" s="40" t="inlineStr">
        <is>
          <t>Programme / Degree:</t>
        </is>
      </c>
      <c r="C19" s="39" t="inlineStr">
        <is>
          <t>[ ] B.E./B.Tech  [ ] M.E./M.Tech  [ ] MBA  [ ] MCA  [ ] B.Sc.  [ ] B.Com.  [ ] B.A.  [ ] Ph.D.  [ ] Other</t>
        </is>
      </c>
    </row>
    <row r="20" ht="30" customHeight="1">
      <c r="B20" s="40" t="inlineStr">
        <is>
          <t>Branch / Specialisation:</t>
        </is>
      </c>
      <c r="C20" s="9" t="n"/>
    </row>
    <row r="21" ht="30" customHeight="1">
      <c r="B21" s="40" t="inlineStr">
        <is>
          <t>Year of Admission:</t>
        </is>
      </c>
      <c r="C21" s="9" t="n"/>
    </row>
    <row r="22" ht="30" customHeight="1">
      <c r="B22" s="40" t="inlineStr">
        <is>
          <t>Year of Graduation / Passing Out:</t>
        </is>
      </c>
      <c r="C22" s="9" t="n"/>
    </row>
    <row r="23" ht="30" customHeight="1">
      <c r="B23" s="40" t="inlineStr">
        <is>
          <t>Roll Number / University Exam No.:</t>
        </is>
      </c>
      <c r="C23" s="9" t="n"/>
    </row>
    <row r="24" ht="30" customHeight="1">
      <c r="B24" s="40" t="inlineStr">
        <is>
          <t>CGPA / Percentage:</t>
        </is>
      </c>
      <c r="C24" s="9" t="n"/>
    </row>
    <row r="25" ht="30" customHeight="1">
      <c r="B25" s="40" t="inlineStr">
        <is>
          <t>Batch Name / Year (e.g., Batch of 2018):</t>
        </is>
      </c>
      <c r="C25" s="9" t="n"/>
    </row>
    <row r="26" ht="30" customHeight="1">
      <c r="B26" s="40" t="inlineStr">
        <is>
          <t>Higher Studies (if any):</t>
        </is>
      </c>
      <c r="C26" s="39" t="inlineStr">
        <is>
          <t>Degree: _______  Institution: _______  Year: _______</t>
        </is>
      </c>
    </row>
    <row r="27" ht="30" customHeight="1">
      <c r="B27" s="40" t="inlineStr">
        <is>
          <t>Professional Certifications:</t>
        </is>
      </c>
      <c r="C27" s="9" t="n"/>
    </row>
    <row r="28" ht="30" customHeight="1"/>
    <row r="29" ht="24" customHeight="1">
      <c r="B29" s="34" t="inlineStr">
        <is>
          <t>SECTION C — CURRENT EMPLOYMENT &amp; CAREER</t>
        </is>
      </c>
    </row>
    <row r="30" ht="30" customHeight="1">
      <c r="B30" s="41" t="inlineStr">
        <is>
          <t>Current Employment Status:</t>
        </is>
      </c>
      <c r="C30" s="39" t="inlineStr">
        <is>
          <t>[ ] Employed (Private)  [ ] Employed (Govt./PSU)  [ ] Self-employed  [ ] Entrepreneur  [ ] Higher Studies  [ ] Not currently employed</t>
        </is>
      </c>
    </row>
    <row r="31" ht="30" customHeight="1">
      <c r="B31" s="41" t="inlineStr">
        <is>
          <t>Current Designation / Role:</t>
        </is>
      </c>
      <c r="C31" s="9" t="n"/>
    </row>
    <row r="32" ht="30" customHeight="1">
      <c r="B32" s="41" t="inlineStr">
        <is>
          <t>Organisation / Company Name:</t>
        </is>
      </c>
      <c r="C32" s="9" t="n"/>
    </row>
    <row r="33" ht="30" customHeight="1">
      <c r="B33" s="41" t="inlineStr">
        <is>
          <t>Industry / Sector:</t>
        </is>
      </c>
      <c r="C33" s="9" t="n"/>
    </row>
    <row r="34" ht="30" customHeight="1">
      <c r="B34" s="41" t="inlineStr">
        <is>
          <t>Work Location (City, Country):</t>
        </is>
      </c>
      <c r="C34" s="9" t="n"/>
    </row>
    <row r="35" ht="30" customHeight="1">
      <c r="B35" s="41" t="inlineStr">
        <is>
          <t>Years of Work Experience:</t>
        </is>
      </c>
      <c r="C35" s="9" t="n"/>
    </row>
    <row r="36" ht="30" customHeight="1">
      <c r="B36" s="41" t="inlineStr">
        <is>
          <t>Annual CTC / Income Range (optional):</t>
        </is>
      </c>
      <c r="C36" s="39" t="inlineStr">
        <is>
          <t>[ ] &lt;₹3L  [ ] ₹3–6L  [ ] ₹6–12L  [ ] ₹12–25L  [ ] ₹25–50L  [ ] &gt;₹50L</t>
        </is>
      </c>
    </row>
    <row r="37" ht="30" customHeight="1">
      <c r="B37" s="41" t="inlineStr">
        <is>
          <t>Key Skills / Domain Expertise:</t>
        </is>
      </c>
      <c r="C37" s="9" t="n"/>
    </row>
    <row r="38" ht="30" customHeight="1">
      <c r="B38" s="41" t="inlineStr">
        <is>
          <t>Startup Founded (if applicable):</t>
        </is>
      </c>
      <c r="C38" s="39" t="inlineStr">
        <is>
          <t>Name: _______  Sector: _______  No. of Employees: _______</t>
        </is>
      </c>
    </row>
    <row r="39" ht="30" customHeight="1"/>
    <row r="40" ht="24" customHeight="1">
      <c r="B40" s="19" t="inlineStr">
        <is>
          <t>SECTION D — ALUMNI ENGAGEMENT PREFERENCES</t>
        </is>
      </c>
    </row>
    <row r="41" ht="30" customHeight="1">
      <c r="B41" s="18" t="inlineStr">
        <is>
          <t>Willing to be a mentor?</t>
        </is>
      </c>
      <c r="C41" s="39" t="inlineStr">
        <is>
          <t>[ ] Yes — Area: _______   [ ] No</t>
        </is>
      </c>
    </row>
    <row r="42" ht="30" customHeight="1">
      <c r="B42" s="18" t="inlineStr">
        <is>
          <t>Willing to conduct guest lectures?</t>
        </is>
      </c>
      <c r="C42" s="39" t="inlineStr">
        <is>
          <t>[ ] Yes — Topic: _______   [ ] No</t>
        </is>
      </c>
    </row>
    <row r="43" ht="30" customHeight="1">
      <c r="B43" s="18" t="inlineStr">
        <is>
          <t>Willing to offer internship / placement?</t>
        </is>
      </c>
      <c r="C43" s="39" t="inlineStr">
        <is>
          <t>[ ] Yes — No. of positions: _______   [ ] No</t>
        </is>
      </c>
    </row>
    <row r="44" ht="30" customHeight="1">
      <c r="B44" s="18" t="inlineStr">
        <is>
          <t>Willing to donate / fund scholarship?</t>
        </is>
      </c>
      <c r="C44" s="39" t="inlineStr">
        <is>
          <t>[ ] Yes — Amount: ₹_______   [ ] No</t>
        </is>
      </c>
    </row>
    <row r="45" ht="30" customHeight="1">
      <c r="B45" s="18" t="inlineStr">
        <is>
          <t>Preferred mode of engagement:</t>
        </is>
      </c>
      <c r="C45" s="39" t="inlineStr">
        <is>
          <t>[ ] Campus visit  [ ] Virtual / Online  [ ] Both  [ ] Events only</t>
        </is>
      </c>
    </row>
    <row r="46" ht="30" customHeight="1">
      <c r="B46" s="18" t="inlineStr">
        <is>
          <t>Alumni chapter preference:</t>
        </is>
      </c>
      <c r="C46" s="39" t="inlineStr">
        <is>
          <t>[ ] City: _______   [ ] Country: _______   [ ] Online Global</t>
        </is>
      </c>
    </row>
    <row r="47" ht="30" customHeight="1">
      <c r="B47" s="18" t="inlineStr">
        <is>
          <t>Preferred communication channel:</t>
        </is>
      </c>
      <c r="C47" s="39" t="inlineStr">
        <is>
          <t>[ ] Email  [ ] WhatsApp  [ ] Phone  [ ] Newsletter  [ ] All</t>
        </is>
      </c>
    </row>
    <row r="48" ht="30" customHeight="1">
      <c r="B48" s="18" t="inlineStr">
        <is>
          <t>Topics of interest:</t>
        </is>
      </c>
      <c r="C48" s="39" t="inlineStr">
        <is>
          <t>[ ] Mentorship  [ ] Guest Lecture  [ ] Research  [ ] Networking  [ ] Events  [ ] Fundraising</t>
        </is>
      </c>
    </row>
    <row r="49" ht="30" customHeight="1"/>
    <row r="50" ht="30" customHeight="1">
      <c r="B50" s="17" t="inlineStr">
        <is>
          <t>I consent to my data being used for alumni engagement activities. I agree to comply with the Alumni Association by-laws.</t>
        </is>
      </c>
    </row>
    <row r="51" ht="30" customHeight="1">
      <c r="B51" s="29" t="inlineStr">
        <is>
          <t>Signature: ___________________    Date: ___________________    Registered by Alumni Office: ___________________</t>
        </is>
      </c>
    </row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</sheetData>
  <mergeCells count="46">
    <mergeCell ref="C16:E16"/>
    <mergeCell ref="B40:E40"/>
    <mergeCell ref="C44:E44"/>
    <mergeCell ref="C41:E41"/>
    <mergeCell ref="C31:E31"/>
    <mergeCell ref="C47:E47"/>
    <mergeCell ref="C22:E22"/>
    <mergeCell ref="C9:E9"/>
    <mergeCell ref="B51:E51"/>
    <mergeCell ref="C21:E21"/>
    <mergeCell ref="C43:E43"/>
    <mergeCell ref="C12:E12"/>
    <mergeCell ref="C46:E46"/>
    <mergeCell ref="C36:E36"/>
    <mergeCell ref="C11:E11"/>
    <mergeCell ref="C27:E27"/>
    <mergeCell ref="B4:E4"/>
    <mergeCell ref="B50:E50"/>
    <mergeCell ref="C23:E23"/>
    <mergeCell ref="C8:E8"/>
    <mergeCell ref="C48:E48"/>
    <mergeCell ref="B3:E3"/>
    <mergeCell ref="C7:E7"/>
    <mergeCell ref="C32:E32"/>
    <mergeCell ref="C38:E38"/>
    <mergeCell ref="B18:E18"/>
    <mergeCell ref="C13:E13"/>
    <mergeCell ref="C19:E19"/>
    <mergeCell ref="C37:E37"/>
    <mergeCell ref="B2:E2"/>
    <mergeCell ref="C30:E30"/>
    <mergeCell ref="C34:E34"/>
    <mergeCell ref="C15:E15"/>
    <mergeCell ref="C6:E6"/>
    <mergeCell ref="C24:E24"/>
    <mergeCell ref="C42:E42"/>
    <mergeCell ref="C33:E33"/>
    <mergeCell ref="C14:E14"/>
    <mergeCell ref="C5:E5"/>
    <mergeCell ref="C45:E45"/>
    <mergeCell ref="B29:E29"/>
    <mergeCell ref="C26:E26"/>
    <mergeCell ref="C35:E35"/>
    <mergeCell ref="C20:E20"/>
    <mergeCell ref="C25:E25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ACC-02: ALUMNI MASTER DATABASE REGISTER</t>
        </is>
      </c>
    </row>
    <row r="3" ht="25" customHeight="1">
      <c r="B3" s="2" t="inlineStr">
        <is>
          <t>A.Y.: _______  Total Registered Alumni: _______  Last Updated: _______  Alumni Coordinator: ___________________</t>
        </is>
      </c>
    </row>
    <row r="4" ht="30" customHeight="1">
      <c r="B4" s="13" t="inlineStr">
        <is>
          <t>Alumni
ID</t>
        </is>
      </c>
      <c r="C4" s="13" t="inlineStr">
        <is>
          <t>Full Name</t>
        </is>
      </c>
      <c r="D4" s="13" t="inlineStr">
        <is>
          <t>Batch
(Year)</t>
        </is>
      </c>
      <c r="E4" s="13" t="inlineStr">
        <is>
          <t>Programme
/ Branch</t>
        </is>
      </c>
      <c r="F4" s="13" t="inlineStr">
        <is>
          <t>Current
Designation</t>
        </is>
      </c>
      <c r="G4" s="13" t="inlineStr">
        <is>
          <t>Organisation</t>
        </is>
      </c>
      <c r="H4" s="13" t="inlineStr">
        <is>
          <t>City /
Country</t>
        </is>
      </c>
      <c r="I4" s="13" t="inlineStr">
        <is>
          <t>Contact
No.</t>
        </is>
      </c>
      <c r="J4" s="13" t="inlineStr">
        <is>
          <t>Email</t>
        </is>
      </c>
      <c r="K4" s="13" t="inlineStr">
        <is>
          <t>Engagement
Status</t>
        </is>
      </c>
      <c r="L4" s="13" t="inlineStr">
        <is>
          <t>Last
Updated</t>
        </is>
      </c>
    </row>
    <row r="5" ht="22" customHeight="1">
      <c r="B5" s="14" t="inlineStr">
        <is>
          <t>ACC/ALUM/2024/0001</t>
        </is>
      </c>
      <c r="C5" s="15" t="inlineStr"/>
      <c r="D5" s="16" t="inlineStr"/>
      <c r="E5" s="16" t="inlineStr"/>
      <c r="F5" s="15" t="inlineStr"/>
      <c r="G5" s="15" t="inlineStr"/>
      <c r="H5" s="16" t="inlineStr"/>
      <c r="I5" s="16" t="inlineStr"/>
      <c r="J5" s="15" t="inlineStr"/>
      <c r="K5" s="16" t="inlineStr">
        <is>
          <t>Active — Core</t>
        </is>
      </c>
      <c r="L5" s="16" t="inlineStr"/>
    </row>
    <row r="6" ht="22" customHeight="1">
      <c r="B6" s="8" t="inlineStr">
        <is>
          <t>ACC/ALUM/2024/0002</t>
        </is>
      </c>
      <c r="C6" s="9" t="inlineStr"/>
      <c r="D6" s="10" t="inlineStr"/>
      <c r="E6" s="10" t="inlineStr"/>
      <c r="F6" s="9" t="inlineStr"/>
      <c r="G6" s="9" t="inlineStr"/>
      <c r="H6" s="10" t="inlineStr"/>
      <c r="I6" s="10" t="inlineStr"/>
      <c r="J6" s="9" t="inlineStr"/>
      <c r="K6" s="10" t="inlineStr">
        <is>
          <t>Active — Occasional</t>
        </is>
      </c>
      <c r="L6" s="10" t="inlineStr"/>
    </row>
    <row r="7" ht="22" customHeight="1">
      <c r="B7" s="14" t="inlineStr">
        <is>
          <t>ACC/ALUM/2024/0003</t>
        </is>
      </c>
      <c r="C7" s="15" t="inlineStr"/>
      <c r="D7" s="16" t="inlineStr"/>
      <c r="E7" s="16" t="inlineStr"/>
      <c r="F7" s="15" t="inlineStr"/>
      <c r="G7" s="15" t="inlineStr"/>
      <c r="H7" s="16" t="inlineStr"/>
      <c r="I7" s="16" t="inlineStr"/>
      <c r="J7" s="15" t="inlineStr"/>
      <c r="K7" s="16" t="inlineStr">
        <is>
          <t>Registered — Not Engaged</t>
        </is>
      </c>
      <c r="L7" s="16" t="inlineStr"/>
    </row>
    <row r="8" ht="22" customHeight="1">
      <c r="B8" s="8" t="inlineStr">
        <is>
          <t>ACC/ALUM/2024/0004</t>
        </is>
      </c>
      <c r="C8" s="9" t="inlineStr"/>
      <c r="D8" s="10" t="inlineStr"/>
      <c r="E8" s="10" t="inlineStr"/>
      <c r="F8" s="9" t="inlineStr"/>
      <c r="G8" s="9" t="inlineStr"/>
      <c r="H8" s="10" t="inlineStr"/>
      <c r="I8" s="10" t="inlineStr"/>
      <c r="J8" s="9" t="inlineStr"/>
      <c r="K8" s="10" t="inlineStr">
        <is>
          <t>Unverified</t>
        </is>
      </c>
      <c r="L8" s="10" t="inlineStr"/>
    </row>
    <row r="9" ht="22" customHeight="1">
      <c r="B9" s="14" t="inlineStr">
        <is>
          <t>ACC/ALUM/2024/0005</t>
        </is>
      </c>
      <c r="C9" s="15" t="inlineStr"/>
      <c r="D9" s="16" t="inlineStr"/>
      <c r="E9" s="16" t="inlineStr"/>
      <c r="F9" s="15" t="inlineStr"/>
      <c r="G9" s="15" t="inlineStr"/>
      <c r="H9" s="16" t="inlineStr"/>
      <c r="I9" s="16" t="inlineStr"/>
      <c r="J9" s="15" t="inlineStr"/>
      <c r="K9" s="16" t="inlineStr">
        <is>
          <t>Lost Contact</t>
        </is>
      </c>
      <c r="L9" s="16" t="inlineStr"/>
    </row>
    <row r="10" ht="22" customHeight="1">
      <c r="B10" s="8" t="inlineStr">
        <is>
          <t>ACC/ALUM/2024/0006</t>
        </is>
      </c>
      <c r="C10" s="9" t="inlineStr"/>
      <c r="D10" s="10" t="inlineStr"/>
      <c r="E10" s="10" t="inlineStr"/>
      <c r="F10" s="9" t="inlineStr"/>
      <c r="G10" s="9" t="inlineStr"/>
      <c r="H10" s="10" t="inlineStr"/>
      <c r="I10" s="10" t="inlineStr"/>
      <c r="J10" s="9" t="inlineStr"/>
      <c r="K10" s="10" t="inlineStr">
        <is>
          <t>Deceased</t>
        </is>
      </c>
      <c r="L10" s="10" t="inlineStr"/>
    </row>
    <row r="11" ht="22" customHeight="1">
      <c r="B11" s="14" t="inlineStr">
        <is>
          <t>ACC/ALUM/2024/0007</t>
        </is>
      </c>
      <c r="C11" s="15" t="inlineStr"/>
      <c r="D11" s="16" t="inlineStr"/>
      <c r="E11" s="16" t="inlineStr"/>
      <c r="F11" s="15" t="inlineStr"/>
      <c r="G11" s="15" t="inlineStr"/>
      <c r="H11" s="16" t="inlineStr"/>
      <c r="I11" s="16" t="inlineStr"/>
      <c r="J11" s="15" t="inlineStr"/>
      <c r="K11" s="16" t="inlineStr">
        <is>
          <t>Active — Core</t>
        </is>
      </c>
      <c r="L11" s="16" t="inlineStr"/>
    </row>
    <row r="12" ht="22" customHeight="1">
      <c r="B12" s="8" t="inlineStr">
        <is>
          <t>ACC/ALUM/2024/0008</t>
        </is>
      </c>
      <c r="C12" s="9" t="inlineStr"/>
      <c r="D12" s="10" t="inlineStr"/>
      <c r="E12" s="10" t="inlineStr"/>
      <c r="F12" s="9" t="inlineStr"/>
      <c r="G12" s="9" t="inlineStr"/>
      <c r="H12" s="10" t="inlineStr"/>
      <c r="I12" s="10" t="inlineStr"/>
      <c r="J12" s="9" t="inlineStr"/>
      <c r="K12" s="10" t="inlineStr">
        <is>
          <t>Active — Occasional</t>
        </is>
      </c>
      <c r="L12" s="10" t="inlineStr"/>
    </row>
    <row r="13" ht="22" customHeight="1">
      <c r="B13" s="14" t="inlineStr">
        <is>
          <t>ACC/ALUM/2024/0009</t>
        </is>
      </c>
      <c r="C13" s="15" t="inlineStr"/>
      <c r="D13" s="16" t="inlineStr"/>
      <c r="E13" s="16" t="inlineStr"/>
      <c r="F13" s="15" t="inlineStr"/>
      <c r="G13" s="15" t="inlineStr"/>
      <c r="H13" s="16" t="inlineStr"/>
      <c r="I13" s="16" t="inlineStr"/>
      <c r="J13" s="15" t="inlineStr"/>
      <c r="K13" s="16" t="inlineStr">
        <is>
          <t>Registered — Not Engaged</t>
        </is>
      </c>
      <c r="L13" s="16" t="inlineStr"/>
    </row>
    <row r="14" ht="22" customHeight="1">
      <c r="B14" s="8" t="inlineStr">
        <is>
          <t>ACC/ALUM/2024/0010</t>
        </is>
      </c>
      <c r="C14" s="9" t="inlineStr"/>
      <c r="D14" s="10" t="inlineStr"/>
      <c r="E14" s="10" t="inlineStr"/>
      <c r="F14" s="9" t="inlineStr"/>
      <c r="G14" s="9" t="inlineStr"/>
      <c r="H14" s="10" t="inlineStr"/>
      <c r="I14" s="10" t="inlineStr"/>
      <c r="J14" s="9" t="inlineStr"/>
      <c r="K14" s="10" t="inlineStr">
        <is>
          <t>Unverified</t>
        </is>
      </c>
      <c r="L14" s="10" t="inlineStr"/>
    </row>
    <row r="15" ht="22" customHeight="1">
      <c r="B15" s="14" t="inlineStr">
        <is>
          <t>ACC/ALUM/2024/0011</t>
        </is>
      </c>
      <c r="C15" s="15" t="inlineStr"/>
      <c r="D15" s="16" t="inlineStr"/>
      <c r="E15" s="16" t="inlineStr"/>
      <c r="F15" s="15" t="inlineStr"/>
      <c r="G15" s="15" t="inlineStr"/>
      <c r="H15" s="16" t="inlineStr"/>
      <c r="I15" s="16" t="inlineStr"/>
      <c r="J15" s="15" t="inlineStr"/>
      <c r="K15" s="16" t="inlineStr">
        <is>
          <t>Lost Contact</t>
        </is>
      </c>
      <c r="L15" s="16" t="inlineStr"/>
    </row>
    <row r="16" ht="22" customHeight="1">
      <c r="B16" s="8" t="inlineStr">
        <is>
          <t>ACC/ALUM/2024/0012</t>
        </is>
      </c>
      <c r="C16" s="9" t="inlineStr"/>
      <c r="D16" s="10" t="inlineStr"/>
      <c r="E16" s="10" t="inlineStr"/>
      <c r="F16" s="9" t="inlineStr"/>
      <c r="G16" s="9" t="inlineStr"/>
      <c r="H16" s="10" t="inlineStr"/>
      <c r="I16" s="10" t="inlineStr"/>
      <c r="J16" s="9" t="inlineStr"/>
      <c r="K16" s="10" t="inlineStr">
        <is>
          <t>Deceased</t>
        </is>
      </c>
      <c r="L16" s="10" t="inlineStr"/>
    </row>
    <row r="17" ht="22" customHeight="1">
      <c r="B17" s="14" t="inlineStr">
        <is>
          <t>ACC/ALUM/2024/0013</t>
        </is>
      </c>
      <c r="C17" s="15" t="inlineStr"/>
      <c r="D17" s="16" t="inlineStr"/>
      <c r="E17" s="16" t="inlineStr"/>
      <c r="F17" s="15" t="inlineStr"/>
      <c r="G17" s="15" t="inlineStr"/>
      <c r="H17" s="16" t="inlineStr"/>
      <c r="I17" s="16" t="inlineStr"/>
      <c r="J17" s="15" t="inlineStr"/>
      <c r="K17" s="16" t="inlineStr">
        <is>
          <t>Active — Core</t>
        </is>
      </c>
      <c r="L17" s="16" t="inlineStr"/>
    </row>
    <row r="18" ht="22" customHeight="1">
      <c r="B18" s="8" t="inlineStr">
        <is>
          <t>ACC/ALUM/2024/0014</t>
        </is>
      </c>
      <c r="C18" s="9" t="inlineStr"/>
      <c r="D18" s="10" t="inlineStr"/>
      <c r="E18" s="10" t="inlineStr"/>
      <c r="F18" s="9" t="inlineStr"/>
      <c r="G18" s="9" t="inlineStr"/>
      <c r="H18" s="10" t="inlineStr"/>
      <c r="I18" s="10" t="inlineStr"/>
      <c r="J18" s="9" t="inlineStr"/>
      <c r="K18" s="10" t="inlineStr">
        <is>
          <t>Active — Occasional</t>
        </is>
      </c>
      <c r="L18" s="10" t="inlineStr"/>
    </row>
    <row r="19" ht="22" customHeight="1">
      <c r="B19" s="14" t="inlineStr">
        <is>
          <t>ACC/ALUM/2025/0015</t>
        </is>
      </c>
      <c r="C19" s="15" t="inlineStr"/>
      <c r="D19" s="16" t="inlineStr"/>
      <c r="E19" s="16" t="inlineStr"/>
      <c r="F19" s="15" t="inlineStr"/>
      <c r="G19" s="15" t="inlineStr"/>
      <c r="H19" s="16" t="inlineStr"/>
      <c r="I19" s="16" t="inlineStr"/>
      <c r="J19" s="15" t="inlineStr"/>
      <c r="K19" s="16" t="inlineStr">
        <is>
          <t>Registered — Not Engaged</t>
        </is>
      </c>
      <c r="L19" s="16" t="inlineStr"/>
    </row>
    <row r="20" ht="22" customHeight="1">
      <c r="B20" s="8" t="inlineStr">
        <is>
          <t>ACC/ALUM/2025/0016</t>
        </is>
      </c>
      <c r="C20" s="9" t="inlineStr"/>
      <c r="D20" s="10" t="inlineStr"/>
      <c r="E20" s="10" t="inlineStr"/>
      <c r="F20" s="9" t="inlineStr"/>
      <c r="G20" s="9" t="inlineStr"/>
      <c r="H20" s="10" t="inlineStr"/>
      <c r="I20" s="10" t="inlineStr"/>
      <c r="J20" s="9" t="inlineStr"/>
      <c r="K20" s="10" t="inlineStr">
        <is>
          <t>Unverified</t>
        </is>
      </c>
      <c r="L20" s="10" t="inlineStr"/>
    </row>
    <row r="21" ht="22" customHeight="1">
      <c r="B21" s="14" t="inlineStr">
        <is>
          <t>ACC/ALUM/2025/0017</t>
        </is>
      </c>
      <c r="C21" s="15" t="inlineStr"/>
      <c r="D21" s="16" t="inlineStr"/>
      <c r="E21" s="16" t="inlineStr"/>
      <c r="F21" s="15" t="inlineStr"/>
      <c r="G21" s="15" t="inlineStr"/>
      <c r="H21" s="16" t="inlineStr"/>
      <c r="I21" s="16" t="inlineStr"/>
      <c r="J21" s="15" t="inlineStr"/>
      <c r="K21" s="16" t="inlineStr">
        <is>
          <t>Lost Contact</t>
        </is>
      </c>
      <c r="L21" s="16" t="inlineStr"/>
    </row>
    <row r="22" ht="22" customHeight="1">
      <c r="B22" s="8" t="inlineStr">
        <is>
          <t>ACC/ALUM/2025/0018</t>
        </is>
      </c>
      <c r="C22" s="9" t="inlineStr"/>
      <c r="D22" s="10" t="inlineStr"/>
      <c r="E22" s="10" t="inlineStr"/>
      <c r="F22" s="9" t="inlineStr"/>
      <c r="G22" s="9" t="inlineStr"/>
      <c r="H22" s="10" t="inlineStr"/>
      <c r="I22" s="10" t="inlineStr"/>
      <c r="J22" s="9" t="inlineStr"/>
      <c r="K22" s="10" t="inlineStr">
        <is>
          <t>Deceased</t>
        </is>
      </c>
      <c r="L22" s="10" t="inlineStr"/>
    </row>
    <row r="23" ht="22" customHeight="1">
      <c r="B23" s="14" t="inlineStr">
        <is>
          <t>ACC/ALUM/2025/0019</t>
        </is>
      </c>
      <c r="C23" s="15" t="inlineStr"/>
      <c r="D23" s="16" t="inlineStr"/>
      <c r="E23" s="16" t="inlineStr"/>
      <c r="F23" s="15" t="inlineStr"/>
      <c r="G23" s="15" t="inlineStr"/>
      <c r="H23" s="16" t="inlineStr"/>
      <c r="I23" s="16" t="inlineStr"/>
      <c r="J23" s="15" t="inlineStr"/>
      <c r="K23" s="16" t="inlineStr">
        <is>
          <t>Active — Core</t>
        </is>
      </c>
      <c r="L23" s="16" t="inlineStr"/>
    </row>
    <row r="24" ht="22" customHeight="1">
      <c r="B24" s="8" t="inlineStr">
        <is>
          <t>ACC/ALUM/2025/0020</t>
        </is>
      </c>
      <c r="C24" s="9" t="inlineStr"/>
      <c r="D24" s="10" t="inlineStr"/>
      <c r="E24" s="10" t="inlineStr"/>
      <c r="F24" s="9" t="inlineStr"/>
      <c r="G24" s="9" t="inlineStr"/>
      <c r="H24" s="10" t="inlineStr"/>
      <c r="I24" s="10" t="inlineStr"/>
      <c r="J24" s="9" t="inlineStr"/>
      <c r="K24" s="10" t="inlineStr">
        <is>
          <t>Active — Occasional</t>
        </is>
      </c>
      <c r="L24" s="10" t="inlineStr"/>
    </row>
    <row r="25" ht="22" customHeight="1">
      <c r="B25" s="14" t="inlineStr">
        <is>
          <t>ACC/ALUM/2025/0021</t>
        </is>
      </c>
      <c r="C25" s="15" t="inlineStr"/>
      <c r="D25" s="16" t="inlineStr"/>
      <c r="E25" s="16" t="inlineStr"/>
      <c r="F25" s="15" t="inlineStr"/>
      <c r="G25" s="15" t="inlineStr"/>
      <c r="H25" s="16" t="inlineStr"/>
      <c r="I25" s="16" t="inlineStr"/>
      <c r="J25" s="15" t="inlineStr"/>
      <c r="K25" s="16" t="inlineStr">
        <is>
          <t>Registered — Not Engaged</t>
        </is>
      </c>
      <c r="L25" s="16" t="inlineStr"/>
    </row>
    <row r="26" ht="22" customHeight="1">
      <c r="B26" s="8" t="inlineStr">
        <is>
          <t>ACC/ALUM/2025/0022</t>
        </is>
      </c>
      <c r="C26" s="9" t="inlineStr"/>
      <c r="D26" s="10" t="inlineStr"/>
      <c r="E26" s="10" t="inlineStr"/>
      <c r="F26" s="9" t="inlineStr"/>
      <c r="G26" s="9" t="inlineStr"/>
      <c r="H26" s="10" t="inlineStr"/>
      <c r="I26" s="10" t="inlineStr"/>
      <c r="J26" s="9" t="inlineStr"/>
      <c r="K26" s="10" t="inlineStr">
        <is>
          <t>Unverified</t>
        </is>
      </c>
      <c r="L26" s="10" t="inlineStr"/>
    </row>
    <row r="27" ht="22" customHeight="1">
      <c r="B27" s="14" t="inlineStr">
        <is>
          <t>ACC/ALUM/2025/0023</t>
        </is>
      </c>
      <c r="C27" s="15" t="inlineStr"/>
      <c r="D27" s="16" t="inlineStr"/>
      <c r="E27" s="16" t="inlineStr"/>
      <c r="F27" s="15" t="inlineStr"/>
      <c r="G27" s="15" t="inlineStr"/>
      <c r="H27" s="16" t="inlineStr"/>
      <c r="I27" s="16" t="inlineStr"/>
      <c r="J27" s="15" t="inlineStr"/>
      <c r="K27" s="16" t="inlineStr">
        <is>
          <t>Lost Contact</t>
        </is>
      </c>
      <c r="L27" s="16" t="inlineStr"/>
    </row>
    <row r="28" ht="22" customHeight="1">
      <c r="B28" s="8" t="inlineStr">
        <is>
          <t>ACC/ALUM/2025/0024</t>
        </is>
      </c>
      <c r="C28" s="9" t="inlineStr"/>
      <c r="D28" s="10" t="inlineStr"/>
      <c r="E28" s="10" t="inlineStr"/>
      <c r="F28" s="9" t="inlineStr"/>
      <c r="G28" s="9" t="inlineStr"/>
      <c r="H28" s="10" t="inlineStr"/>
      <c r="I28" s="10" t="inlineStr"/>
      <c r="J28" s="9" t="inlineStr"/>
      <c r="K28" s="10" t="inlineStr">
        <is>
          <t>Deceased</t>
        </is>
      </c>
      <c r="L28" s="10" t="inlineStr"/>
    </row>
    <row r="29" ht="22" customHeight="1">
      <c r="B29" s="14" t="inlineStr">
        <is>
          <t>ACC/ALUM/2025/0025</t>
        </is>
      </c>
      <c r="C29" s="15" t="inlineStr"/>
      <c r="D29" s="16" t="inlineStr"/>
      <c r="E29" s="16" t="inlineStr"/>
      <c r="F29" s="15" t="inlineStr"/>
      <c r="G29" s="15" t="inlineStr"/>
      <c r="H29" s="16" t="inlineStr"/>
      <c r="I29" s="16" t="inlineStr"/>
      <c r="J29" s="15" t="inlineStr"/>
      <c r="K29" s="16" t="inlineStr">
        <is>
          <t>Active — Core</t>
        </is>
      </c>
      <c r="L29" s="16" t="inlineStr"/>
    </row>
    <row r="30" ht="22" customHeight="1">
      <c r="B30" s="8" t="inlineStr">
        <is>
          <t>ACC/ALUM/2025/0026</t>
        </is>
      </c>
      <c r="C30" s="9" t="inlineStr"/>
      <c r="D30" s="10" t="inlineStr"/>
      <c r="E30" s="10" t="inlineStr"/>
      <c r="F30" s="9" t="inlineStr"/>
      <c r="G30" s="9" t="inlineStr"/>
      <c r="H30" s="10" t="inlineStr"/>
      <c r="I30" s="10" t="inlineStr"/>
      <c r="J30" s="9" t="inlineStr"/>
      <c r="K30" s="10" t="inlineStr">
        <is>
          <t>Active — Occasional</t>
        </is>
      </c>
      <c r="L30" s="10" t="inlineStr"/>
    </row>
    <row r="31" ht="22" customHeight="1">
      <c r="B31" s="14" t="inlineStr">
        <is>
          <t>ACC/ALUM/2025/0027</t>
        </is>
      </c>
      <c r="C31" s="15" t="inlineStr"/>
      <c r="D31" s="16" t="inlineStr"/>
      <c r="E31" s="16" t="inlineStr"/>
      <c r="F31" s="15" t="inlineStr"/>
      <c r="G31" s="15" t="inlineStr"/>
      <c r="H31" s="16" t="inlineStr"/>
      <c r="I31" s="16" t="inlineStr"/>
      <c r="J31" s="15" t="inlineStr"/>
      <c r="K31" s="16" t="inlineStr">
        <is>
          <t>Registered — Not Engaged</t>
        </is>
      </c>
      <c r="L31" s="16" t="inlineStr"/>
    </row>
    <row r="32" ht="22" customHeight="1">
      <c r="B32" s="8" t="inlineStr">
        <is>
          <t>ACC/ALUM/2025/0028</t>
        </is>
      </c>
      <c r="C32" s="9" t="inlineStr"/>
      <c r="D32" s="10" t="inlineStr"/>
      <c r="E32" s="10" t="inlineStr"/>
      <c r="F32" s="9" t="inlineStr"/>
      <c r="G32" s="9" t="inlineStr"/>
      <c r="H32" s="10" t="inlineStr"/>
      <c r="I32" s="10" t="inlineStr"/>
      <c r="J32" s="9" t="inlineStr"/>
      <c r="K32" s="10" t="inlineStr">
        <is>
          <t>Unverified</t>
        </is>
      </c>
      <c r="L32" s="10" t="inlineStr"/>
    </row>
    <row r="33" ht="22" customHeight="1"/>
    <row r="34" ht="24" customHeight="1">
      <c r="B34" s="34" t="inlineStr">
        <is>
          <t>BATCH-WISE ALUMNI SUMMARY</t>
        </is>
      </c>
    </row>
    <row r="35" ht="22" customHeight="1">
      <c r="B35" s="30" t="inlineStr">
        <is>
          <t>Batch Year</t>
        </is>
      </c>
      <c r="C35" s="30" t="inlineStr">
        <is>
          <t>Programme</t>
        </is>
      </c>
      <c r="D35" s="30" t="inlineStr">
        <is>
          <t>Total
Graduated</t>
        </is>
      </c>
      <c r="E35" s="30" t="inlineStr">
        <is>
          <t>Registered
Alumni</t>
        </is>
      </c>
      <c r="F35" s="30" t="inlineStr">
        <is>
          <t>Registration
%</t>
        </is>
      </c>
      <c r="G35" s="30" t="inlineStr">
        <is>
          <t>Active
Alumni</t>
        </is>
      </c>
      <c r="H35" s="30" t="inlineStr">
        <is>
          <t>Engagement
%</t>
        </is>
      </c>
      <c r="I35" s="30" t="inlineStr">
        <is>
          <t>Contact
Available %</t>
        </is>
      </c>
      <c r="J35" s="30" t="inlineStr">
        <is>
          <t>Email
Valid %</t>
        </is>
      </c>
      <c r="K35" s="30" t="inlineStr">
        <is>
          <t>Last Meet
Year</t>
        </is>
      </c>
      <c r="L35" s="30" t="inlineStr">
        <is>
          <t>Remarks</t>
        </is>
      </c>
    </row>
    <row r="36" ht="22" customHeight="1">
      <c r="B36" s="31" t="inlineStr">
        <is>
          <t>2015</t>
        </is>
      </c>
      <c r="C36" s="33" t="inlineStr">
        <is>
          <t>All Programmes</t>
        </is>
      </c>
      <c r="D36" s="33" t="inlineStr"/>
      <c r="E36" s="33" t="inlineStr"/>
      <c r="F36" s="33">
        <f>IFERROR(ROUND(E36/D36*100,1),"")</f>
        <v/>
      </c>
      <c r="G36" s="33" t="inlineStr"/>
      <c r="H36" s="33">
        <f>IFERROR(ROUND(G36/E36*100,1),"")</f>
        <v/>
      </c>
      <c r="I36" s="33" t="inlineStr"/>
      <c r="J36" s="33" t="inlineStr"/>
      <c r="K36" s="33" t="inlineStr"/>
      <c r="L36" s="32" t="inlineStr"/>
    </row>
    <row r="37" ht="22" customHeight="1">
      <c r="B37" s="8" t="inlineStr">
        <is>
          <t>2016</t>
        </is>
      </c>
      <c r="C37" s="10" t="inlineStr">
        <is>
          <t>All Programmes</t>
        </is>
      </c>
      <c r="D37" s="10" t="inlineStr"/>
      <c r="E37" s="10" t="inlineStr"/>
      <c r="F37" s="10">
        <f>IFERROR(ROUND(E37/D37*100,1),"")</f>
        <v/>
      </c>
      <c r="G37" s="10" t="inlineStr"/>
      <c r="H37" s="10">
        <f>IFERROR(ROUND(G37/E37*100,1),"")</f>
        <v/>
      </c>
      <c r="I37" s="10" t="inlineStr"/>
      <c r="J37" s="10" t="inlineStr"/>
      <c r="K37" s="10" t="inlineStr"/>
      <c r="L37" s="9" t="inlineStr"/>
    </row>
    <row r="38" ht="22" customHeight="1">
      <c r="B38" s="31" t="inlineStr">
        <is>
          <t>2017</t>
        </is>
      </c>
      <c r="C38" s="33" t="inlineStr">
        <is>
          <t>All Programmes</t>
        </is>
      </c>
      <c r="D38" s="33" t="inlineStr"/>
      <c r="E38" s="33" t="inlineStr"/>
      <c r="F38" s="33">
        <f>IFERROR(ROUND(E38/D38*100,1),"")</f>
        <v/>
      </c>
      <c r="G38" s="33" t="inlineStr"/>
      <c r="H38" s="33">
        <f>IFERROR(ROUND(G38/E38*100,1),"")</f>
        <v/>
      </c>
      <c r="I38" s="33" t="inlineStr"/>
      <c r="J38" s="33" t="inlineStr"/>
      <c r="K38" s="33" t="inlineStr"/>
      <c r="L38" s="32" t="inlineStr"/>
    </row>
    <row r="39" ht="22" customHeight="1">
      <c r="B39" s="8" t="inlineStr">
        <is>
          <t>2018</t>
        </is>
      </c>
      <c r="C39" s="10" t="inlineStr">
        <is>
          <t>All Programmes</t>
        </is>
      </c>
      <c r="D39" s="10" t="inlineStr"/>
      <c r="E39" s="10" t="inlineStr"/>
      <c r="F39" s="10">
        <f>IFERROR(ROUND(E39/D39*100,1),"")</f>
        <v/>
      </c>
      <c r="G39" s="10" t="inlineStr"/>
      <c r="H39" s="10">
        <f>IFERROR(ROUND(G39/E39*100,1),"")</f>
        <v/>
      </c>
      <c r="I39" s="10" t="inlineStr"/>
      <c r="J39" s="10" t="inlineStr"/>
      <c r="K39" s="10" t="inlineStr"/>
      <c r="L39" s="9" t="inlineStr"/>
    </row>
    <row r="40">
      <c r="B40" s="31" t="inlineStr">
        <is>
          <t>2019</t>
        </is>
      </c>
      <c r="C40" s="33" t="inlineStr">
        <is>
          <t>All Programmes</t>
        </is>
      </c>
      <c r="D40" s="33" t="inlineStr"/>
      <c r="E40" s="33" t="inlineStr"/>
      <c r="F40" s="33">
        <f>IFERROR(ROUND(E40/D40*100,1),"")</f>
        <v/>
      </c>
      <c r="G40" s="33" t="inlineStr"/>
      <c r="H40" s="33">
        <f>IFERROR(ROUND(G40/E40*100,1),"")</f>
        <v/>
      </c>
      <c r="I40" s="33" t="inlineStr"/>
      <c r="J40" s="33" t="inlineStr"/>
      <c r="K40" s="33" t="inlineStr"/>
      <c r="L40" s="32" t="inlineStr"/>
    </row>
    <row r="41">
      <c r="B41" s="8" t="inlineStr">
        <is>
          <t>2020</t>
        </is>
      </c>
      <c r="C41" s="10" t="inlineStr">
        <is>
          <t>All Programmes</t>
        </is>
      </c>
      <c r="D41" s="10" t="inlineStr"/>
      <c r="E41" s="10" t="inlineStr"/>
      <c r="F41" s="10">
        <f>IFERROR(ROUND(E41/D41*100,1),"")</f>
        <v/>
      </c>
      <c r="G41" s="10" t="inlineStr"/>
      <c r="H41" s="10">
        <f>IFERROR(ROUND(G41/E41*100,1),"")</f>
        <v/>
      </c>
      <c r="I41" s="10" t="inlineStr"/>
      <c r="J41" s="10" t="inlineStr"/>
      <c r="K41" s="10" t="inlineStr"/>
      <c r="L41" s="9" t="inlineStr"/>
    </row>
    <row r="42">
      <c r="B42" s="31" t="inlineStr">
        <is>
          <t>2021</t>
        </is>
      </c>
      <c r="C42" s="33" t="inlineStr">
        <is>
          <t>All Programmes</t>
        </is>
      </c>
      <c r="D42" s="33" t="inlineStr"/>
      <c r="E42" s="33" t="inlineStr"/>
      <c r="F42" s="33">
        <f>IFERROR(ROUND(E42/D42*100,1),"")</f>
        <v/>
      </c>
      <c r="G42" s="33" t="inlineStr"/>
      <c r="H42" s="33">
        <f>IFERROR(ROUND(G42/E42*100,1),"")</f>
        <v/>
      </c>
      <c r="I42" s="33" t="inlineStr"/>
      <c r="J42" s="33" t="inlineStr"/>
      <c r="K42" s="33" t="inlineStr"/>
      <c r="L42" s="32" t="inlineStr"/>
    </row>
    <row r="43">
      <c r="B43" s="8" t="inlineStr">
        <is>
          <t>2022</t>
        </is>
      </c>
      <c r="C43" s="10" t="inlineStr">
        <is>
          <t>All Programmes</t>
        </is>
      </c>
      <c r="D43" s="10" t="inlineStr"/>
      <c r="E43" s="10" t="inlineStr"/>
      <c r="F43" s="10">
        <f>IFERROR(ROUND(E43/D43*100,1),"")</f>
        <v/>
      </c>
      <c r="G43" s="10" t="inlineStr"/>
      <c r="H43" s="10">
        <f>IFERROR(ROUND(G43/E43*100,1),"")</f>
        <v/>
      </c>
      <c r="I43" s="10" t="inlineStr"/>
      <c r="J43" s="10" t="inlineStr"/>
      <c r="K43" s="10" t="inlineStr"/>
      <c r="L43" s="9" t="inlineStr"/>
    </row>
    <row r="44">
      <c r="B44" s="31" t="inlineStr">
        <is>
          <t>2023</t>
        </is>
      </c>
      <c r="C44" s="33" t="inlineStr">
        <is>
          <t>All Programmes</t>
        </is>
      </c>
      <c r="D44" s="33" t="inlineStr"/>
      <c r="E44" s="33" t="inlineStr"/>
      <c r="F44" s="33">
        <f>IFERROR(ROUND(E44/D44*100,1),"")</f>
        <v/>
      </c>
      <c r="G44" s="33" t="inlineStr"/>
      <c r="H44" s="33">
        <f>IFERROR(ROUND(G44/E44*100,1),"")</f>
        <v/>
      </c>
      <c r="I44" s="33" t="inlineStr"/>
      <c r="J44" s="33" t="inlineStr"/>
      <c r="K44" s="33" t="inlineStr"/>
      <c r="L44" s="32" t="inlineStr"/>
    </row>
    <row r="45">
      <c r="B45" s="8" t="inlineStr">
        <is>
          <t>2024</t>
        </is>
      </c>
      <c r="C45" s="10" t="inlineStr">
        <is>
          <t>All Programmes</t>
        </is>
      </c>
      <c r="D45" s="10" t="inlineStr"/>
      <c r="E45" s="10" t="inlineStr"/>
      <c r="F45" s="10">
        <f>IFERROR(ROUND(E45/D45*100,1),"")</f>
        <v/>
      </c>
      <c r="G45" s="10" t="inlineStr"/>
      <c r="H45" s="10">
        <f>IFERROR(ROUND(G45/E45*100,1),"")</f>
        <v/>
      </c>
      <c r="I45" s="10" t="inlineStr"/>
      <c r="J45" s="10" t="inlineStr"/>
      <c r="K45" s="10" t="inlineStr"/>
      <c r="L45" s="9" t="inlineStr"/>
    </row>
  </sheetData>
  <mergeCells count="3">
    <mergeCell ref="B2:L2"/>
    <mergeCell ref="B34:L34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ACC-03: ALUMNI CHAPTER / NETWORK REGISTER</t>
        </is>
      </c>
    </row>
    <row r="3" ht="25" customHeight="1">
      <c r="B3" s="2" t="inlineStr">
        <is>
          <t>A.Y.: _______  Alumni Coordinator: ___________________  Last Updated: _______</t>
        </is>
      </c>
    </row>
    <row r="4" ht="25" customHeight="1">
      <c r="B4" s="13" t="inlineStr">
        <is>
          <t>Chapter
Ref.</t>
        </is>
      </c>
      <c r="C4" s="13" t="inlineStr">
        <is>
          <t>Chapter Name / Location</t>
        </is>
      </c>
      <c r="D4" s="13" t="inlineStr">
        <is>
          <t>Type</t>
        </is>
      </c>
      <c r="E4" s="13" t="inlineStr">
        <is>
          <t>Chapter
President</t>
        </is>
      </c>
      <c r="F4" s="13" t="inlineStr">
        <is>
          <t>Members</t>
        </is>
      </c>
      <c r="G4" s="13" t="inlineStr">
        <is>
          <t>Date
Formed</t>
        </is>
      </c>
      <c r="H4" s="13" t="inlineStr">
        <is>
          <t>Events
This Year</t>
        </is>
      </c>
      <c r="I4" s="13" t="inlineStr">
        <is>
          <t>Status</t>
        </is>
      </c>
    </row>
    <row r="5" ht="22" customHeight="1">
      <c r="B5" s="14" t="inlineStr">
        <is>
          <t>CHT/001</t>
        </is>
      </c>
      <c r="C5" s="15" t="inlineStr"/>
      <c r="D5" s="16" t="inlineStr">
        <is>
          <t>City Chapter (India)</t>
        </is>
      </c>
      <c r="E5" s="15" t="inlineStr"/>
      <c r="F5" s="16" t="inlineStr"/>
      <c r="G5" s="16" t="inlineStr"/>
      <c r="H5" s="16" t="inlineStr"/>
      <c r="I5" s="16" t="inlineStr">
        <is>
          <t>Active</t>
        </is>
      </c>
    </row>
    <row r="6" ht="22" customHeight="1">
      <c r="B6" s="8" t="inlineStr">
        <is>
          <t>CHT/002</t>
        </is>
      </c>
      <c r="C6" s="9" t="inlineStr"/>
      <c r="D6" s="10" t="inlineStr">
        <is>
          <t>State Chapter</t>
        </is>
      </c>
      <c r="E6" s="9" t="inlineStr"/>
      <c r="F6" s="10" t="inlineStr"/>
      <c r="G6" s="10" t="inlineStr"/>
      <c r="H6" s="10" t="inlineStr"/>
      <c r="I6" s="10" t="inlineStr">
        <is>
          <t>Active</t>
        </is>
      </c>
    </row>
    <row r="7" ht="22" customHeight="1">
      <c r="B7" s="14" t="inlineStr">
        <is>
          <t>CHT/003</t>
        </is>
      </c>
      <c r="C7" s="15" t="inlineStr"/>
      <c r="D7" s="16" t="inlineStr">
        <is>
          <t>International Chapter</t>
        </is>
      </c>
      <c r="E7" s="15" t="inlineStr"/>
      <c r="F7" s="16" t="inlineStr"/>
      <c r="G7" s="16" t="inlineStr"/>
      <c r="H7" s="16" t="inlineStr"/>
      <c r="I7" s="16" t="inlineStr">
        <is>
          <t>Active</t>
        </is>
      </c>
    </row>
    <row r="8" ht="22" customHeight="1">
      <c r="B8" s="8" t="inlineStr">
        <is>
          <t>CHT/004</t>
        </is>
      </c>
      <c r="C8" s="9" t="inlineStr"/>
      <c r="D8" s="10" t="inlineStr">
        <is>
          <t>Programme-based Chapter</t>
        </is>
      </c>
      <c r="E8" s="9" t="inlineStr"/>
      <c r="F8" s="10" t="inlineStr"/>
      <c r="G8" s="10" t="inlineStr"/>
      <c r="H8" s="10" t="inlineStr"/>
      <c r="I8" s="10" t="inlineStr">
        <is>
          <t>Active</t>
        </is>
      </c>
    </row>
    <row r="9" ht="22" customHeight="1">
      <c r="B9" s="14" t="inlineStr">
        <is>
          <t>CHT/005</t>
        </is>
      </c>
      <c r="C9" s="15" t="inlineStr"/>
      <c r="D9" s="16" t="inlineStr">
        <is>
          <t>Batch-based Chapter</t>
        </is>
      </c>
      <c r="E9" s="15" t="inlineStr"/>
      <c r="F9" s="16" t="inlineStr"/>
      <c r="G9" s="16" t="inlineStr"/>
      <c r="H9" s="16" t="inlineStr"/>
      <c r="I9" s="16" t="inlineStr">
        <is>
          <t>Active</t>
        </is>
      </c>
    </row>
    <row r="10" ht="22" customHeight="1">
      <c r="B10" s="8" t="inlineStr">
        <is>
          <t>CHT/006</t>
        </is>
      </c>
      <c r="C10" s="9" t="inlineStr"/>
      <c r="D10" s="10" t="inlineStr">
        <is>
          <t>Virtual / Online Chapter</t>
        </is>
      </c>
      <c r="E10" s="9" t="inlineStr"/>
      <c r="F10" s="10" t="inlineStr"/>
      <c r="G10" s="10" t="inlineStr"/>
      <c r="H10" s="10" t="inlineStr"/>
      <c r="I10" s="10" t="inlineStr">
        <is>
          <t>Active</t>
        </is>
      </c>
    </row>
    <row r="11" ht="22" customHeight="1">
      <c r="B11" s="14" t="inlineStr">
        <is>
          <t>CHT/007</t>
        </is>
      </c>
      <c r="C11" s="15" t="inlineStr"/>
      <c r="D11" s="16" t="inlineStr">
        <is>
          <t>Industry Sector Chapter</t>
        </is>
      </c>
      <c r="E11" s="15" t="inlineStr"/>
      <c r="F11" s="16" t="inlineStr"/>
      <c r="G11" s="16" t="inlineStr"/>
      <c r="H11" s="16" t="inlineStr"/>
      <c r="I11" s="16" t="inlineStr">
        <is>
          <t>Active</t>
        </is>
      </c>
    </row>
    <row r="12" ht="22" customHeight="1">
      <c r="B12" s="8" t="inlineStr">
        <is>
          <t>CHT/008</t>
        </is>
      </c>
      <c r="C12" s="9" t="inlineStr"/>
      <c r="D12" s="10" t="inlineStr">
        <is>
          <t>City Chapter (India)</t>
        </is>
      </c>
      <c r="E12" s="9" t="inlineStr"/>
      <c r="F12" s="10" t="inlineStr"/>
      <c r="G12" s="10" t="inlineStr"/>
      <c r="H12" s="10" t="inlineStr"/>
      <c r="I12" s="10" t="inlineStr">
        <is>
          <t>Active</t>
        </is>
      </c>
    </row>
    <row r="13" ht="22" customHeight="1">
      <c r="B13" s="14" t="inlineStr">
        <is>
          <t>CHT/009</t>
        </is>
      </c>
      <c r="C13" s="15" t="inlineStr"/>
      <c r="D13" s="16" t="inlineStr">
        <is>
          <t>State Chapter</t>
        </is>
      </c>
      <c r="E13" s="15" t="inlineStr"/>
      <c r="F13" s="16" t="inlineStr"/>
      <c r="G13" s="16" t="inlineStr"/>
      <c r="H13" s="16" t="inlineStr"/>
      <c r="I13" s="16" t="inlineStr">
        <is>
          <t>Active</t>
        </is>
      </c>
    </row>
    <row r="14" ht="22" customHeight="1">
      <c r="B14" s="8" t="inlineStr">
        <is>
          <t>CHT/010</t>
        </is>
      </c>
      <c r="C14" s="9" t="inlineStr"/>
      <c r="D14" s="10" t="inlineStr">
        <is>
          <t>International Chapter</t>
        </is>
      </c>
      <c r="E14" s="9" t="inlineStr"/>
      <c r="F14" s="10" t="inlineStr"/>
      <c r="G14" s="10" t="inlineStr"/>
      <c r="H14" s="10" t="inlineStr"/>
      <c r="I14" s="10" t="inlineStr">
        <is>
          <t>Active</t>
        </is>
      </c>
    </row>
    <row r="15" ht="22" customHeight="1">
      <c r="B15" s="14" t="inlineStr">
        <is>
          <t>CHT/011</t>
        </is>
      </c>
      <c r="C15" s="15" t="inlineStr"/>
      <c r="D15" s="16" t="inlineStr">
        <is>
          <t>Programme-based Chapter</t>
        </is>
      </c>
      <c r="E15" s="15" t="inlineStr"/>
      <c r="F15" s="16" t="inlineStr"/>
      <c r="G15" s="16" t="inlineStr"/>
      <c r="H15" s="16" t="inlineStr"/>
      <c r="I15" s="16" t="inlineStr">
        <is>
          <t>Active</t>
        </is>
      </c>
    </row>
    <row r="16" ht="22" customHeight="1">
      <c r="B16" s="8" t="inlineStr">
        <is>
          <t>CHT/012</t>
        </is>
      </c>
      <c r="C16" s="9" t="inlineStr"/>
      <c r="D16" s="10" t="inlineStr">
        <is>
          <t>Batch-based Chapter</t>
        </is>
      </c>
      <c r="E16" s="9" t="inlineStr"/>
      <c r="F16" s="10" t="inlineStr"/>
      <c r="G16" s="10" t="inlineStr"/>
      <c r="H16" s="10" t="inlineStr"/>
      <c r="I16" s="10" t="inlineStr">
        <is>
          <t>Active</t>
        </is>
      </c>
    </row>
    <row r="17" ht="22" customHeight="1">
      <c r="B17" s="14" t="inlineStr">
        <is>
          <t>CHT/013</t>
        </is>
      </c>
      <c r="C17" s="15" t="inlineStr"/>
      <c r="D17" s="16" t="inlineStr">
        <is>
          <t>Virtual / Online Chapter</t>
        </is>
      </c>
      <c r="E17" s="15" t="inlineStr"/>
      <c r="F17" s="16" t="inlineStr"/>
      <c r="G17" s="16" t="inlineStr"/>
      <c r="H17" s="16" t="inlineStr"/>
      <c r="I17" s="16" t="inlineStr">
        <is>
          <t>Active</t>
        </is>
      </c>
    </row>
    <row r="18" ht="22" customHeight="1">
      <c r="B18" s="8" t="inlineStr">
        <is>
          <t>CHT/014</t>
        </is>
      </c>
      <c r="C18" s="9" t="inlineStr"/>
      <c r="D18" s="10" t="inlineStr">
        <is>
          <t>Industry Sector Chapter</t>
        </is>
      </c>
      <c r="E18" s="9" t="inlineStr"/>
      <c r="F18" s="10" t="inlineStr"/>
      <c r="G18" s="10" t="inlineStr"/>
      <c r="H18" s="10" t="inlineStr"/>
      <c r="I18" s="10" t="inlineStr">
        <is>
          <t>Active</t>
        </is>
      </c>
    </row>
    <row r="19" ht="22" customHeight="1">
      <c r="B19" s="14" t="inlineStr">
        <is>
          <t>CHT/015</t>
        </is>
      </c>
      <c r="C19" s="15" t="inlineStr"/>
      <c r="D19" s="16" t="inlineStr">
        <is>
          <t>City Chapter (India)</t>
        </is>
      </c>
      <c r="E19" s="15" t="inlineStr"/>
      <c r="F19" s="16" t="inlineStr"/>
      <c r="G19" s="16" t="inlineStr"/>
      <c r="H19" s="16" t="inlineStr"/>
      <c r="I19" s="16" t="inlineStr">
        <is>
          <t>Active</t>
        </is>
      </c>
    </row>
    <row r="20" ht="22" customHeight="1">
      <c r="B20" s="8" t="inlineStr">
        <is>
          <t>CHT/016</t>
        </is>
      </c>
      <c r="C20" s="9" t="inlineStr"/>
      <c r="D20" s="10" t="inlineStr">
        <is>
          <t>State Chapter</t>
        </is>
      </c>
      <c r="E20" s="9" t="inlineStr"/>
      <c r="F20" s="10" t="inlineStr"/>
      <c r="G20" s="10" t="inlineStr"/>
      <c r="H20" s="10" t="inlineStr"/>
      <c r="I20" s="10" t="inlineStr">
        <is>
          <t>Active</t>
        </is>
      </c>
    </row>
    <row r="21" ht="22" customHeight="1">
      <c r="B21" s="14" t="inlineStr">
        <is>
          <t>CHT/017</t>
        </is>
      </c>
      <c r="C21" s="15" t="inlineStr"/>
      <c r="D21" s="16" t="inlineStr">
        <is>
          <t>International Chapter</t>
        </is>
      </c>
      <c r="E21" s="15" t="inlineStr"/>
      <c r="F21" s="16" t="inlineStr"/>
      <c r="G21" s="16" t="inlineStr"/>
      <c r="H21" s="16" t="inlineStr"/>
      <c r="I21" s="16" t="inlineStr">
        <is>
          <t>Active</t>
        </is>
      </c>
    </row>
    <row r="22" ht="22" customHeight="1">
      <c r="B22" s="8" t="inlineStr">
        <is>
          <t>CHT/018</t>
        </is>
      </c>
      <c r="C22" s="9" t="inlineStr"/>
      <c r="D22" s="10" t="inlineStr">
        <is>
          <t>Programme-based Chapter</t>
        </is>
      </c>
      <c r="E22" s="9" t="inlineStr"/>
      <c r="F22" s="10" t="inlineStr"/>
      <c r="G22" s="10" t="inlineStr"/>
      <c r="H22" s="10" t="inlineStr"/>
      <c r="I22" s="10" t="inlineStr">
        <is>
          <t>Active</t>
        </is>
      </c>
    </row>
    <row r="23" ht="22" customHeight="1">
      <c r="B23" s="14" t="inlineStr">
        <is>
          <t>CHT/019</t>
        </is>
      </c>
      <c r="C23" s="15" t="inlineStr"/>
      <c r="D23" s="16" t="inlineStr">
        <is>
          <t>Batch-based Chapter</t>
        </is>
      </c>
      <c r="E23" s="15" t="inlineStr"/>
      <c r="F23" s="16" t="inlineStr"/>
      <c r="G23" s="16" t="inlineStr"/>
      <c r="H23" s="16" t="inlineStr"/>
      <c r="I23" s="16" t="inlineStr">
        <is>
          <t>Active</t>
        </is>
      </c>
    </row>
    <row r="24" ht="22" customHeight="1">
      <c r="B24" s="8" t="inlineStr">
        <is>
          <t>CHT/020</t>
        </is>
      </c>
      <c r="C24" s="9" t="inlineStr"/>
      <c r="D24" s="10" t="inlineStr">
        <is>
          <t>Virtual / Online Chapter</t>
        </is>
      </c>
      <c r="E24" s="9" t="inlineStr"/>
      <c r="F24" s="10" t="inlineStr"/>
      <c r="G24" s="10" t="inlineStr"/>
      <c r="H24" s="10" t="inlineStr"/>
      <c r="I24" s="10" t="inlineStr">
        <is>
          <t>Active</t>
        </is>
      </c>
    </row>
    <row r="25" ht="22" customHeight="1"/>
    <row r="26" ht="24" customHeight="1">
      <c r="B26" s="34" t="inlineStr">
        <is>
          <t>CHAPTER SUMMARY STATISTICS</t>
        </is>
      </c>
    </row>
    <row r="27" ht="22" customHeight="1">
      <c r="B27" s="30" t="inlineStr">
        <is>
          <t>Chapter Type</t>
        </is>
      </c>
      <c r="C27" s="30" t="inlineStr">
        <is>
          <t>No. of Chapters</t>
        </is>
      </c>
      <c r="D27" s="30" t="inlineStr">
        <is>
          <t>Total Members</t>
        </is>
      </c>
      <c r="E27" s="30" t="inlineStr">
        <is>
          <t>Active Members</t>
        </is>
      </c>
      <c r="F27" s="30" t="inlineStr">
        <is>
          <t>Events
This Year</t>
        </is>
      </c>
      <c r="G27" s="30" t="inlineStr">
        <is>
          <t>Avg. Members
per Chapter</t>
        </is>
      </c>
      <c r="H27" s="30" t="inlineStr">
        <is>
          <t>Status</t>
        </is>
      </c>
      <c r="I27" s="30" t="inlineStr">
        <is>
          <t>Remarks</t>
        </is>
      </c>
    </row>
    <row r="28" ht="22" customHeight="1">
      <c r="B28" s="32" t="inlineStr">
        <is>
          <t>City Chapter (India)</t>
        </is>
      </c>
      <c r="C28" s="33" t="inlineStr"/>
      <c r="D28" s="33" t="inlineStr"/>
      <c r="E28" s="33" t="inlineStr"/>
      <c r="F28" s="33" t="inlineStr"/>
      <c r="G28" s="33">
        <f>IFERROR(ROUND(D28/C28,0),"")</f>
        <v/>
      </c>
      <c r="H28" s="33" t="inlineStr"/>
      <c r="I28" s="32" t="inlineStr"/>
    </row>
    <row r="29" ht="22" customHeight="1">
      <c r="B29" s="9" t="inlineStr">
        <is>
          <t>State Chapter</t>
        </is>
      </c>
      <c r="C29" s="10" t="inlineStr"/>
      <c r="D29" s="10" t="inlineStr"/>
      <c r="E29" s="10" t="inlineStr"/>
      <c r="F29" s="10" t="inlineStr"/>
      <c r="G29" s="10">
        <f>IFERROR(ROUND(D29/C29,0),"")</f>
        <v/>
      </c>
      <c r="H29" s="10" t="inlineStr"/>
      <c r="I29" s="9" t="inlineStr"/>
    </row>
    <row r="30" ht="22" customHeight="1">
      <c r="B30" s="32" t="inlineStr">
        <is>
          <t>International Chapter</t>
        </is>
      </c>
      <c r="C30" s="33" t="inlineStr"/>
      <c r="D30" s="33" t="inlineStr"/>
      <c r="E30" s="33" t="inlineStr"/>
      <c r="F30" s="33" t="inlineStr"/>
      <c r="G30" s="33">
        <f>IFERROR(ROUND(D30/C30,0),"")</f>
        <v/>
      </c>
      <c r="H30" s="33" t="inlineStr"/>
      <c r="I30" s="32" t="inlineStr"/>
    </row>
    <row r="31" ht="22" customHeight="1">
      <c r="B31" s="9" t="inlineStr">
        <is>
          <t>Programme-based Chapter</t>
        </is>
      </c>
      <c r="C31" s="10" t="inlineStr"/>
      <c r="D31" s="10" t="inlineStr"/>
      <c r="E31" s="10" t="inlineStr"/>
      <c r="F31" s="10" t="inlineStr"/>
      <c r="G31" s="10">
        <f>IFERROR(ROUND(D31/C31,0),"")</f>
        <v/>
      </c>
      <c r="H31" s="10" t="inlineStr"/>
      <c r="I31" s="9" t="inlineStr"/>
    </row>
    <row r="32">
      <c r="B32" s="32" t="inlineStr">
        <is>
          <t>Batch-based Chapter</t>
        </is>
      </c>
      <c r="C32" s="33" t="inlineStr"/>
      <c r="D32" s="33" t="inlineStr"/>
      <c r="E32" s="33" t="inlineStr"/>
      <c r="F32" s="33" t="inlineStr"/>
      <c r="G32" s="33">
        <f>IFERROR(ROUND(D32/C32,0),"")</f>
        <v/>
      </c>
      <c r="H32" s="33" t="inlineStr"/>
      <c r="I32" s="32" t="inlineStr"/>
    </row>
    <row r="33">
      <c r="B33" s="9" t="inlineStr">
        <is>
          <t>Virtual / Online Chapter</t>
        </is>
      </c>
      <c r="C33" s="10" t="inlineStr"/>
      <c r="D33" s="10" t="inlineStr"/>
      <c r="E33" s="10" t="inlineStr"/>
      <c r="F33" s="10" t="inlineStr"/>
      <c r="G33" s="10">
        <f>IFERROR(ROUND(D33/C33,0),"")</f>
        <v/>
      </c>
      <c r="H33" s="10" t="inlineStr"/>
      <c r="I33" s="9" t="inlineStr"/>
    </row>
    <row r="34">
      <c r="B34" s="32" t="inlineStr">
        <is>
          <t>Industry Sector Chapter</t>
        </is>
      </c>
      <c r="C34" s="33" t="inlineStr"/>
      <c r="D34" s="33" t="inlineStr"/>
      <c r="E34" s="33" t="inlineStr"/>
      <c r="F34" s="33" t="inlineStr"/>
      <c r="G34" s="33">
        <f>IFERROR(ROUND(D34/C34,0),"")</f>
        <v/>
      </c>
      <c r="H34" s="33" t="inlineStr"/>
      <c r="I34" s="32" t="inlineStr"/>
    </row>
    <row r="35">
      <c r="B35" s="23" t="inlineStr">
        <is>
          <t>TOTAL</t>
        </is>
      </c>
      <c r="C35" s="42" t="inlineStr"/>
      <c r="D35" s="42" t="inlineStr"/>
      <c r="E35" s="42" t="inlineStr"/>
      <c r="F35" s="42" t="inlineStr"/>
      <c r="G35" s="42">
        <f>IFERROR(ROUND(D35/C35,0),"")</f>
        <v/>
      </c>
      <c r="H35" s="42" t="inlineStr"/>
      <c r="I35" s="23" t="inlineStr"/>
    </row>
  </sheetData>
  <mergeCells count="3">
    <mergeCell ref="B3:I3"/>
    <mergeCell ref="B2:I2"/>
    <mergeCell ref="B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2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ACC-05: DISTINGUISHED ALUMNI REGISTER</t>
        </is>
      </c>
    </row>
    <row r="3" ht="25" customHeight="1">
      <c r="B3" s="2" t="inlineStr">
        <is>
          <t>Institution: _________________________  Maintained by: Alumni Office  Last Updated: _______</t>
        </is>
      </c>
    </row>
    <row r="4" ht="25" customHeight="1">
      <c r="B4" s="21" t="inlineStr">
        <is>
          <t>DA Ref.</t>
        </is>
      </c>
      <c r="C4" s="21" t="inlineStr">
        <is>
          <t>Full Name</t>
        </is>
      </c>
      <c r="D4" s="21" t="inlineStr">
        <is>
          <t>Batch</t>
        </is>
      </c>
      <c r="E4" s="21" t="inlineStr">
        <is>
          <t>Programme / Branch</t>
        </is>
      </c>
      <c r="F4" s="21" t="inlineStr">
        <is>
          <t>Achievement / Claim to Fame</t>
        </is>
      </c>
      <c r="G4" s="21" t="inlineStr">
        <is>
          <t>Current
Organisation</t>
        </is>
      </c>
      <c r="H4" s="21" t="inlineStr">
        <is>
          <t>Award
Year</t>
        </is>
      </c>
      <c r="I4" s="21" t="inlineStr">
        <is>
          <t>Category</t>
        </is>
      </c>
    </row>
    <row r="5" ht="25" customHeight="1">
      <c r="B5" s="42" t="inlineStr">
        <is>
          <t>DA/2024/001</t>
        </is>
      </c>
      <c r="C5" s="43" t="inlineStr"/>
      <c r="D5" s="22" t="inlineStr"/>
      <c r="E5" s="22" t="inlineStr"/>
      <c r="F5" s="43" t="inlineStr"/>
      <c r="G5" s="43" t="inlineStr"/>
      <c r="H5" s="22" t="inlineStr"/>
      <c r="I5" s="22" t="inlineStr">
        <is>
          <t>Academia &amp; Research</t>
        </is>
      </c>
    </row>
    <row r="6" ht="25" customHeight="1">
      <c r="B6" s="8" t="inlineStr">
        <is>
          <t>DA/2024/002</t>
        </is>
      </c>
      <c r="C6" s="9" t="inlineStr"/>
      <c r="D6" s="10" t="inlineStr"/>
      <c r="E6" s="10" t="inlineStr"/>
      <c r="F6" s="9" t="inlineStr"/>
      <c r="G6" s="9" t="inlineStr"/>
      <c r="H6" s="10" t="inlineStr"/>
      <c r="I6" s="10" t="inlineStr">
        <is>
          <t>Industry &amp; Business</t>
        </is>
      </c>
    </row>
    <row r="7" ht="25" customHeight="1">
      <c r="B7" s="42" t="inlineStr">
        <is>
          <t>DA/2024/003</t>
        </is>
      </c>
      <c r="C7" s="43" t="inlineStr"/>
      <c r="D7" s="22" t="inlineStr"/>
      <c r="E7" s="22" t="inlineStr"/>
      <c r="F7" s="43" t="inlineStr"/>
      <c r="G7" s="43" t="inlineStr"/>
      <c r="H7" s="22" t="inlineStr"/>
      <c r="I7" s="22" t="inlineStr">
        <is>
          <t>Public Service / Governance</t>
        </is>
      </c>
    </row>
    <row r="8" ht="25" customHeight="1">
      <c r="B8" s="8" t="inlineStr">
        <is>
          <t>DA/2024/004</t>
        </is>
      </c>
      <c r="C8" s="9" t="inlineStr"/>
      <c r="D8" s="10" t="inlineStr"/>
      <c r="E8" s="10" t="inlineStr"/>
      <c r="F8" s="9" t="inlineStr"/>
      <c r="G8" s="9" t="inlineStr"/>
      <c r="H8" s="10" t="inlineStr"/>
      <c r="I8" s="10" t="inlineStr">
        <is>
          <t>Arts &amp; Culture</t>
        </is>
      </c>
    </row>
    <row r="9" ht="25" customHeight="1">
      <c r="B9" s="42" t="inlineStr">
        <is>
          <t>DA/2024/005</t>
        </is>
      </c>
      <c r="C9" s="43" t="inlineStr"/>
      <c r="D9" s="22" t="inlineStr"/>
      <c r="E9" s="22" t="inlineStr"/>
      <c r="F9" s="43" t="inlineStr"/>
      <c r="G9" s="43" t="inlineStr"/>
      <c r="H9" s="22" t="inlineStr"/>
      <c r="I9" s="22" t="inlineStr">
        <is>
          <t>Sports &amp; Athletics</t>
        </is>
      </c>
    </row>
    <row r="10" ht="25" customHeight="1">
      <c r="B10" s="8" t="inlineStr">
        <is>
          <t>DA/2024/006</t>
        </is>
      </c>
      <c r="C10" s="9" t="inlineStr"/>
      <c r="D10" s="10" t="inlineStr"/>
      <c r="E10" s="10" t="inlineStr"/>
      <c r="F10" s="9" t="inlineStr"/>
      <c r="G10" s="9" t="inlineStr"/>
      <c r="H10" s="10" t="inlineStr"/>
      <c r="I10" s="10" t="inlineStr">
        <is>
          <t>Science &amp; Technology</t>
        </is>
      </c>
    </row>
    <row r="11" ht="25" customHeight="1">
      <c r="B11" s="42" t="inlineStr">
        <is>
          <t>DA/2024/007</t>
        </is>
      </c>
      <c r="C11" s="43" t="inlineStr"/>
      <c r="D11" s="22" t="inlineStr"/>
      <c r="E11" s="22" t="inlineStr"/>
      <c r="F11" s="43" t="inlineStr"/>
      <c r="G11" s="43" t="inlineStr"/>
      <c r="H11" s="22" t="inlineStr"/>
      <c r="I11" s="22" t="inlineStr">
        <is>
          <t>Social Entrepreneurship</t>
        </is>
      </c>
    </row>
    <row r="12" ht="25" customHeight="1">
      <c r="B12" s="8" t="inlineStr">
        <is>
          <t>DA/2024/008</t>
        </is>
      </c>
      <c r="C12" s="9" t="inlineStr"/>
      <c r="D12" s="10" t="inlineStr"/>
      <c r="E12" s="10" t="inlineStr"/>
      <c r="F12" s="9" t="inlineStr"/>
      <c r="G12" s="9" t="inlineStr"/>
      <c r="H12" s="10" t="inlineStr"/>
      <c r="I12" s="10" t="inlineStr">
        <is>
          <t>International Recognition</t>
        </is>
      </c>
    </row>
    <row r="13" ht="25" customHeight="1">
      <c r="B13" s="42" t="inlineStr">
        <is>
          <t>DA/2025/009</t>
        </is>
      </c>
      <c r="C13" s="43" t="inlineStr"/>
      <c r="D13" s="22" t="inlineStr"/>
      <c r="E13" s="22" t="inlineStr"/>
      <c r="F13" s="43" t="inlineStr"/>
      <c r="G13" s="43" t="inlineStr"/>
      <c r="H13" s="22" t="inlineStr"/>
      <c r="I13" s="22" t="inlineStr">
        <is>
          <t>Academia &amp; Research</t>
        </is>
      </c>
    </row>
    <row r="14" ht="25" customHeight="1">
      <c r="B14" s="8" t="inlineStr">
        <is>
          <t>DA/2025/010</t>
        </is>
      </c>
      <c r="C14" s="9" t="inlineStr"/>
      <c r="D14" s="10" t="inlineStr"/>
      <c r="E14" s="10" t="inlineStr"/>
      <c r="F14" s="9" t="inlineStr"/>
      <c r="G14" s="9" t="inlineStr"/>
      <c r="H14" s="10" t="inlineStr"/>
      <c r="I14" s="10" t="inlineStr">
        <is>
          <t>Industry &amp; Business</t>
        </is>
      </c>
    </row>
    <row r="15" ht="25" customHeight="1">
      <c r="B15" s="42" t="inlineStr">
        <is>
          <t>DA/2025/011</t>
        </is>
      </c>
      <c r="C15" s="43" t="inlineStr"/>
      <c r="D15" s="22" t="inlineStr"/>
      <c r="E15" s="22" t="inlineStr"/>
      <c r="F15" s="43" t="inlineStr"/>
      <c r="G15" s="43" t="inlineStr"/>
      <c r="H15" s="22" t="inlineStr"/>
      <c r="I15" s="22" t="inlineStr">
        <is>
          <t>Public Service / Governance</t>
        </is>
      </c>
    </row>
    <row r="16" ht="25" customHeight="1">
      <c r="B16" s="8" t="inlineStr">
        <is>
          <t>DA/2025/012</t>
        </is>
      </c>
      <c r="C16" s="9" t="inlineStr"/>
      <c r="D16" s="10" t="inlineStr"/>
      <c r="E16" s="10" t="inlineStr"/>
      <c r="F16" s="9" t="inlineStr"/>
      <c r="G16" s="9" t="inlineStr"/>
      <c r="H16" s="10" t="inlineStr"/>
      <c r="I16" s="10" t="inlineStr">
        <is>
          <t>Arts &amp; Culture</t>
        </is>
      </c>
    </row>
    <row r="17" ht="25" customHeight="1">
      <c r="B17" s="42" t="inlineStr">
        <is>
          <t>DA/2025/013</t>
        </is>
      </c>
      <c r="C17" s="43" t="inlineStr"/>
      <c r="D17" s="22" t="inlineStr"/>
      <c r="E17" s="22" t="inlineStr"/>
      <c r="F17" s="43" t="inlineStr"/>
      <c r="G17" s="43" t="inlineStr"/>
      <c r="H17" s="22" t="inlineStr"/>
      <c r="I17" s="22" t="inlineStr">
        <is>
          <t>Sports &amp; Athletics</t>
        </is>
      </c>
    </row>
    <row r="18" ht="25" customHeight="1">
      <c r="B18" s="8" t="inlineStr">
        <is>
          <t>DA/2025/014</t>
        </is>
      </c>
      <c r="C18" s="9" t="inlineStr"/>
      <c r="D18" s="10" t="inlineStr"/>
      <c r="E18" s="10" t="inlineStr"/>
      <c r="F18" s="9" t="inlineStr"/>
      <c r="G18" s="9" t="inlineStr"/>
      <c r="H18" s="10" t="inlineStr"/>
      <c r="I18" s="10" t="inlineStr">
        <is>
          <t>Science &amp; Technology</t>
        </is>
      </c>
    </row>
    <row r="19" ht="25" customHeight="1">
      <c r="B19" s="42" t="inlineStr">
        <is>
          <t>DA/2025/015</t>
        </is>
      </c>
      <c r="C19" s="43" t="inlineStr"/>
      <c r="D19" s="22" t="inlineStr"/>
      <c r="E19" s="22" t="inlineStr"/>
      <c r="F19" s="43" t="inlineStr"/>
      <c r="G19" s="43" t="inlineStr"/>
      <c r="H19" s="22" t="inlineStr"/>
      <c r="I19" s="22" t="inlineStr">
        <is>
          <t>Social Entrepreneurship</t>
        </is>
      </c>
    </row>
    <row r="20" ht="25" customHeight="1">
      <c r="B20" s="8" t="inlineStr">
        <is>
          <t>DA/2025/016</t>
        </is>
      </c>
      <c r="C20" s="9" t="inlineStr"/>
      <c r="D20" s="10" t="inlineStr"/>
      <c r="E20" s="10" t="inlineStr"/>
      <c r="F20" s="9" t="inlineStr"/>
      <c r="G20" s="9" t="inlineStr"/>
      <c r="H20" s="10" t="inlineStr"/>
      <c r="I20" s="10" t="inlineStr">
        <is>
          <t>International Recognition</t>
        </is>
      </c>
    </row>
    <row r="21" ht="25" customHeight="1"/>
    <row r="22" ht="24" customHeight="1">
      <c r="B22" s="19" t="inlineStr">
        <is>
          <t>DISTINGUISHED ALUMNI AWARD HISTORY</t>
        </is>
      </c>
    </row>
    <row r="23" ht="25" customHeight="1">
      <c r="B23" s="13" t="inlineStr">
        <is>
          <t>Year</t>
        </is>
      </c>
      <c r="C23" s="13" t="inlineStr">
        <is>
          <t>Award Name</t>
        </is>
      </c>
      <c r="D23" s="13" t="inlineStr">
        <is>
          <t>Recipient Name</t>
        </is>
      </c>
      <c r="E23" s="13" t="inlineStr">
        <is>
          <t>Batch</t>
        </is>
      </c>
      <c r="F23" s="13" t="inlineStr">
        <is>
          <t>Category</t>
        </is>
      </c>
      <c r="G23" s="13" t="inlineStr">
        <is>
          <t>Presented at</t>
        </is>
      </c>
      <c r="H23" s="13" t="inlineStr">
        <is>
          <t>Citation</t>
        </is>
      </c>
      <c r="I23" s="13" t="inlineStr">
        <is>
          <t>Remarks</t>
        </is>
      </c>
    </row>
    <row r="24" ht="25" customHeight="1"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 ht="25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 ht="25" customHeight="1"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 ht="25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5" customHeight="1">
      <c r="B28" s="16" t="n"/>
      <c r="C28" s="16" t="n"/>
      <c r="D28" s="16" t="n"/>
      <c r="E28" s="16" t="n"/>
      <c r="F28" s="16" t="n"/>
      <c r="G28" s="16" t="n"/>
      <c r="H28" s="16" t="n"/>
      <c r="I28" s="16" t="n"/>
    </row>
    <row r="29" ht="25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 ht="25" customHeight="1">
      <c r="B30" s="16" t="n"/>
      <c r="C30" s="16" t="n"/>
      <c r="D30" s="16" t="n"/>
      <c r="E30" s="16" t="n"/>
      <c r="F30" s="16" t="n"/>
      <c r="G30" s="16" t="n"/>
      <c r="H30" s="16" t="n"/>
      <c r="I30" s="16" t="n"/>
    </row>
    <row r="31" ht="25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 ht="25" customHeight="1"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 ht="25" customHeight="1"/>
  </sheetData>
  <mergeCells count="3">
    <mergeCell ref="B3:I3"/>
    <mergeCell ref="B22:I22"/>
    <mergeCell ref="B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ACC-07: ALUMNI ASSOCIATION OFFICE-BEARER REGISTER</t>
        </is>
      </c>
    </row>
    <row r="3" ht="25" customHeight="1">
      <c r="B3" s="2" t="inlineStr">
        <is>
          <t>A.Y.: _______  Election / Nomination Date: _______  Term: _______  to _______</t>
        </is>
      </c>
    </row>
    <row r="4" ht="25" customHeight="1">
      <c r="B4" s="21" t="inlineStr">
        <is>
          <t>Sl.</t>
        </is>
      </c>
      <c r="C4" s="21" t="inlineStr">
        <is>
          <t>Name</t>
        </is>
      </c>
      <c r="D4" s="21" t="inlineStr">
        <is>
          <t>Batch / Programme</t>
        </is>
      </c>
      <c r="E4" s="21" t="inlineStr">
        <is>
          <t>Position</t>
        </is>
      </c>
      <c r="F4" s="21" t="inlineStr">
        <is>
          <t>How Elected
/ Nominated</t>
        </is>
      </c>
      <c r="G4" s="21" t="inlineStr">
        <is>
          <t>Term Start</t>
        </is>
      </c>
      <c r="H4" s="21" t="inlineStr">
        <is>
          <t>Term End</t>
        </is>
      </c>
      <c r="I4" s="21" t="inlineStr">
        <is>
          <t>Contact / Email</t>
        </is>
      </c>
    </row>
    <row r="5" ht="22" customHeight="1">
      <c r="B5" s="42" t="n">
        <v>1</v>
      </c>
      <c r="C5" s="43" t="inlineStr"/>
      <c r="D5" s="22" t="inlineStr"/>
      <c r="E5" s="42" t="inlineStr">
        <is>
          <t>President</t>
        </is>
      </c>
      <c r="F5" s="22" t="inlineStr">
        <is>
          <t>Elected</t>
        </is>
      </c>
      <c r="G5" s="22" t="inlineStr"/>
      <c r="H5" s="22" t="inlineStr"/>
      <c r="I5" s="43" t="inlineStr"/>
    </row>
    <row r="6" ht="22" customHeight="1">
      <c r="B6" s="8" t="n">
        <v>2</v>
      </c>
      <c r="C6" s="9" t="inlineStr"/>
      <c r="D6" s="10" t="inlineStr"/>
      <c r="E6" s="8" t="inlineStr">
        <is>
          <t>Vice-President (India)</t>
        </is>
      </c>
      <c r="F6" s="10" t="inlineStr">
        <is>
          <t>Elected</t>
        </is>
      </c>
      <c r="G6" s="10" t="inlineStr"/>
      <c r="H6" s="10" t="inlineStr"/>
      <c r="I6" s="9" t="inlineStr"/>
    </row>
    <row r="7" ht="22" customHeight="1">
      <c r="B7" s="42" t="n">
        <v>3</v>
      </c>
      <c r="C7" s="43" t="inlineStr"/>
      <c r="D7" s="22" t="inlineStr"/>
      <c r="E7" s="42" t="inlineStr">
        <is>
          <t>Vice-President (International)</t>
        </is>
      </c>
      <c r="F7" s="22" t="inlineStr">
        <is>
          <t>Elected</t>
        </is>
      </c>
      <c r="G7" s="22" t="inlineStr"/>
      <c r="H7" s="22" t="inlineStr"/>
      <c r="I7" s="43" t="inlineStr"/>
    </row>
    <row r="8" ht="22" customHeight="1">
      <c r="B8" s="8" t="n">
        <v>4</v>
      </c>
      <c r="C8" s="9" t="inlineStr"/>
      <c r="D8" s="10" t="inlineStr"/>
      <c r="E8" s="8" t="inlineStr">
        <is>
          <t>Secretary General</t>
        </is>
      </c>
      <c r="F8" s="10" t="inlineStr">
        <is>
          <t>Elected</t>
        </is>
      </c>
      <c r="G8" s="10" t="inlineStr"/>
      <c r="H8" s="10" t="inlineStr"/>
      <c r="I8" s="9" t="inlineStr"/>
    </row>
    <row r="9" ht="22" customHeight="1">
      <c r="B9" s="42" t="n">
        <v>5</v>
      </c>
      <c r="C9" s="43" t="inlineStr"/>
      <c r="D9" s="22" t="inlineStr"/>
      <c r="E9" s="42" t="inlineStr">
        <is>
          <t>Joint Secretary</t>
        </is>
      </c>
      <c r="F9" s="22" t="inlineStr">
        <is>
          <t>Elected</t>
        </is>
      </c>
      <c r="G9" s="22" t="inlineStr"/>
      <c r="H9" s="22" t="inlineStr"/>
      <c r="I9" s="43" t="inlineStr"/>
    </row>
    <row r="10" ht="22" customHeight="1">
      <c r="B10" s="8" t="n">
        <v>6</v>
      </c>
      <c r="C10" s="9" t="inlineStr"/>
      <c r="D10" s="10" t="inlineStr"/>
      <c r="E10" s="8" t="inlineStr">
        <is>
          <t>Treasurer</t>
        </is>
      </c>
      <c r="F10" s="10" t="inlineStr">
        <is>
          <t>Elected</t>
        </is>
      </c>
      <c r="G10" s="10" t="inlineStr"/>
      <c r="H10" s="10" t="inlineStr"/>
      <c r="I10" s="9" t="inlineStr"/>
    </row>
    <row r="11" ht="22" customHeight="1">
      <c r="B11" s="42" t="n">
        <v>7</v>
      </c>
      <c r="C11" s="43" t="inlineStr"/>
      <c r="D11" s="22" t="inlineStr"/>
      <c r="E11" s="42" t="inlineStr">
        <is>
          <t>Joint Treasurer</t>
        </is>
      </c>
      <c r="F11" s="22" t="inlineStr">
        <is>
          <t>Elected</t>
        </is>
      </c>
      <c r="G11" s="22" t="inlineStr"/>
      <c r="H11" s="22" t="inlineStr"/>
      <c r="I11" s="43" t="inlineStr"/>
    </row>
    <row r="12" ht="22" customHeight="1">
      <c r="B12" s="8" t="n">
        <v>8</v>
      </c>
      <c r="C12" s="9" t="inlineStr"/>
      <c r="D12" s="10" t="inlineStr"/>
      <c r="E12" s="8" t="inlineStr">
        <is>
          <t>Executive Member – 1</t>
        </is>
      </c>
      <c r="F12" s="10" t="inlineStr">
        <is>
          <t>Elected</t>
        </is>
      </c>
      <c r="G12" s="10" t="inlineStr"/>
      <c r="H12" s="10" t="inlineStr"/>
      <c r="I12" s="9" t="inlineStr"/>
    </row>
    <row r="13" ht="22" customHeight="1">
      <c r="B13" s="42" t="n">
        <v>9</v>
      </c>
      <c r="C13" s="43" t="inlineStr"/>
      <c r="D13" s="22" t="inlineStr"/>
      <c r="E13" s="42" t="inlineStr">
        <is>
          <t>Executive Member – 2</t>
        </is>
      </c>
      <c r="F13" s="22" t="inlineStr">
        <is>
          <t>Elected</t>
        </is>
      </c>
      <c r="G13" s="22" t="inlineStr"/>
      <c r="H13" s="22" t="inlineStr"/>
      <c r="I13" s="43" t="inlineStr"/>
    </row>
    <row r="14" ht="22" customHeight="1">
      <c r="B14" s="8" t="n">
        <v>10</v>
      </c>
      <c r="C14" s="9" t="inlineStr"/>
      <c r="D14" s="10" t="inlineStr"/>
      <c r="E14" s="8" t="inlineStr">
        <is>
          <t>Executive Member – 3</t>
        </is>
      </c>
      <c r="F14" s="10" t="inlineStr">
        <is>
          <t>Elected</t>
        </is>
      </c>
      <c r="G14" s="10" t="inlineStr"/>
      <c r="H14" s="10" t="inlineStr"/>
      <c r="I14" s="9" t="inlineStr"/>
    </row>
    <row r="15" ht="22" customHeight="1">
      <c r="B15" s="42" t="n">
        <v>11</v>
      </c>
      <c r="C15" s="43" t="inlineStr"/>
      <c r="D15" s="22" t="inlineStr"/>
      <c r="E15" s="42" t="inlineStr">
        <is>
          <t>Chapter Coordinator – India</t>
        </is>
      </c>
      <c r="F15" s="22" t="inlineStr">
        <is>
          <t>Elected</t>
        </is>
      </c>
      <c r="G15" s="22" t="inlineStr"/>
      <c r="H15" s="22" t="inlineStr"/>
      <c r="I15" s="43" t="inlineStr"/>
    </row>
    <row r="16" ht="22" customHeight="1">
      <c r="B16" s="8" t="n">
        <v>12</v>
      </c>
      <c r="C16" s="9" t="inlineStr"/>
      <c r="D16" s="10" t="inlineStr"/>
      <c r="E16" s="8" t="inlineStr">
        <is>
          <t>Chapter Coordinator – International</t>
        </is>
      </c>
      <c r="F16" s="10" t="inlineStr">
        <is>
          <t>Elected</t>
        </is>
      </c>
      <c r="G16" s="10" t="inlineStr"/>
      <c r="H16" s="10" t="inlineStr"/>
      <c r="I16" s="9" t="inlineStr"/>
    </row>
    <row r="17" ht="22" customHeight="1">
      <c r="B17" s="42" t="n">
        <v>13</v>
      </c>
      <c r="C17" s="43" t="inlineStr"/>
      <c r="D17" s="22" t="inlineStr"/>
      <c r="E17" s="42" t="inlineStr">
        <is>
          <t>Web &amp; Digital Secretary</t>
        </is>
      </c>
      <c r="F17" s="22" t="inlineStr">
        <is>
          <t>Elected</t>
        </is>
      </c>
      <c r="G17" s="22" t="inlineStr"/>
      <c r="H17" s="22" t="inlineStr"/>
      <c r="I17" s="43" t="inlineStr"/>
    </row>
    <row r="18" ht="22" customHeight="1">
      <c r="B18" s="8" t="n">
        <v>14</v>
      </c>
      <c r="C18" s="9" t="inlineStr"/>
      <c r="D18" s="10" t="inlineStr"/>
      <c r="E18" s="8" t="inlineStr">
        <is>
          <t>Cultural Secretary</t>
        </is>
      </c>
      <c r="F18" s="10" t="inlineStr">
        <is>
          <t>Elected</t>
        </is>
      </c>
      <c r="G18" s="10" t="inlineStr"/>
      <c r="H18" s="10" t="inlineStr"/>
      <c r="I18" s="9" t="inlineStr"/>
    </row>
    <row r="19" ht="22" customHeight="1"/>
    <row r="20" ht="20" customHeight="1">
      <c r="B20" s="17" t="inlineStr">
        <is>
          <t>Alumni Association office-bearers are elected / nominated as per association bye-laws. Terms are typically 2 years. Records to be updated after each election.</t>
        </is>
      </c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2" t="inlineStr">
        <is>
          <t>ACC-09: ALUMNI MEET / HOMECOMING EVENT REGISTER</t>
        </is>
      </c>
    </row>
    <row r="3" ht="25" customHeight="1">
      <c r="B3" s="2" t="inlineStr">
        <is>
          <t>A.Y.: _______  Event Coordinator: ___________________</t>
        </is>
      </c>
    </row>
    <row r="4" ht="25" customHeight="1">
      <c r="B4" s="13" t="inlineStr">
        <is>
          <t>Event
Ref.</t>
        </is>
      </c>
      <c r="C4" s="13" t="inlineStr">
        <is>
          <t>Event Title</t>
        </is>
      </c>
      <c r="D4" s="13" t="inlineStr">
        <is>
          <t>Type</t>
        </is>
      </c>
      <c r="E4" s="13" t="inlineStr">
        <is>
          <t>Date(s)</t>
        </is>
      </c>
      <c r="F4" s="13" t="inlineStr">
        <is>
          <t>Venue
/ Mode</t>
        </is>
      </c>
      <c r="G4" s="13" t="inlineStr">
        <is>
          <t>Batches
Invited</t>
        </is>
      </c>
      <c r="H4" s="13" t="inlineStr">
        <is>
          <t>Alumni
Registered</t>
        </is>
      </c>
      <c r="I4" s="13" t="inlineStr">
        <is>
          <t>Alumni
Attended</t>
        </is>
      </c>
      <c r="J4" s="13" t="inlineStr">
        <is>
          <t>Budget
(₹L)</t>
        </is>
      </c>
    </row>
    <row r="5" ht="22" customHeight="1">
      <c r="B5" s="14" t="inlineStr">
        <is>
          <t>EVT/2024/001</t>
        </is>
      </c>
      <c r="C5" s="15" t="inlineStr"/>
      <c r="D5" s="16" t="inlineStr">
        <is>
          <t>Annual Alumni Meet</t>
        </is>
      </c>
      <c r="E5" s="16" t="inlineStr"/>
      <c r="F5" s="16" t="inlineStr"/>
      <c r="G5" s="16" t="inlineStr"/>
      <c r="H5" s="16" t="inlineStr"/>
      <c r="I5" s="16" t="inlineStr"/>
      <c r="J5" s="16" t="inlineStr"/>
    </row>
    <row r="6" ht="22" customHeight="1">
      <c r="B6" s="8" t="inlineStr">
        <is>
          <t>EVT/2024/002</t>
        </is>
      </c>
      <c r="C6" s="9" t="inlineStr"/>
      <c r="D6" s="10" t="inlineStr">
        <is>
          <t>Batch Reunion</t>
        </is>
      </c>
      <c r="E6" s="10" t="inlineStr"/>
      <c r="F6" s="10" t="inlineStr"/>
      <c r="G6" s="10" t="inlineStr"/>
      <c r="H6" s="10" t="inlineStr"/>
      <c r="I6" s="10" t="inlineStr"/>
      <c r="J6" s="10" t="inlineStr"/>
    </row>
    <row r="7" ht="22" customHeight="1">
      <c r="B7" s="14" t="inlineStr">
        <is>
          <t>EVT/2024/003</t>
        </is>
      </c>
      <c r="C7" s="15" t="inlineStr"/>
      <c r="D7" s="16" t="inlineStr">
        <is>
          <t>Chapter Meet</t>
        </is>
      </c>
      <c r="E7" s="16" t="inlineStr"/>
      <c r="F7" s="16" t="inlineStr"/>
      <c r="G7" s="16" t="inlineStr"/>
      <c r="H7" s="16" t="inlineStr"/>
      <c r="I7" s="16" t="inlineStr"/>
      <c r="J7" s="16" t="inlineStr"/>
    </row>
    <row r="8" ht="22" customHeight="1">
      <c r="B8" s="8" t="inlineStr">
        <is>
          <t>EVT/2024/004</t>
        </is>
      </c>
      <c r="C8" s="9" t="inlineStr"/>
      <c r="D8" s="10" t="inlineStr">
        <is>
          <t>Virtual Meet</t>
        </is>
      </c>
      <c r="E8" s="10" t="inlineStr"/>
      <c r="F8" s="10" t="inlineStr"/>
      <c r="G8" s="10" t="inlineStr"/>
      <c r="H8" s="10" t="inlineStr"/>
      <c r="I8" s="10" t="inlineStr"/>
      <c r="J8" s="10" t="inlineStr"/>
    </row>
    <row r="9" ht="22" customHeight="1">
      <c r="B9" s="14" t="inlineStr">
        <is>
          <t>EVT/2024/005</t>
        </is>
      </c>
      <c r="C9" s="15" t="inlineStr"/>
      <c r="D9" s="16" t="inlineStr">
        <is>
          <t>International Meet</t>
        </is>
      </c>
      <c r="E9" s="16" t="inlineStr"/>
      <c r="F9" s="16" t="inlineStr"/>
      <c r="G9" s="16" t="inlineStr"/>
      <c r="H9" s="16" t="inlineStr"/>
      <c r="I9" s="16" t="inlineStr"/>
      <c r="J9" s="16" t="inlineStr"/>
    </row>
    <row r="10" ht="22" customHeight="1">
      <c r="B10" s="8" t="inlineStr">
        <is>
          <t>EVT/2024/006</t>
        </is>
      </c>
      <c r="C10" s="9" t="inlineStr"/>
      <c r="D10" s="10" t="inlineStr">
        <is>
          <t>Homecoming Day</t>
        </is>
      </c>
      <c r="E10" s="10" t="inlineStr"/>
      <c r="F10" s="10" t="inlineStr"/>
      <c r="G10" s="10" t="inlineStr"/>
      <c r="H10" s="10" t="inlineStr"/>
      <c r="I10" s="10" t="inlineStr"/>
      <c r="J10" s="10" t="inlineStr"/>
    </row>
    <row r="11" ht="22" customHeight="1">
      <c r="B11" s="14" t="inlineStr">
        <is>
          <t>EVT/2024/007</t>
        </is>
      </c>
      <c r="C11" s="15" t="inlineStr"/>
      <c r="D11" s="16" t="inlineStr">
        <is>
          <t>Silver Jubilee / Golden Jubilee</t>
        </is>
      </c>
      <c r="E11" s="16" t="inlineStr"/>
      <c r="F11" s="16" t="inlineStr"/>
      <c r="G11" s="16" t="inlineStr"/>
      <c r="H11" s="16" t="inlineStr"/>
      <c r="I11" s="16" t="inlineStr"/>
      <c r="J11" s="16" t="inlineStr"/>
    </row>
    <row r="12" ht="22" customHeight="1">
      <c r="B12" s="8" t="inlineStr">
        <is>
          <t>EVT/2025/008</t>
        </is>
      </c>
      <c r="C12" s="9" t="inlineStr"/>
      <c r="D12" s="10" t="inlineStr">
        <is>
          <t>Sports Meet</t>
        </is>
      </c>
      <c r="E12" s="10" t="inlineStr"/>
      <c r="F12" s="10" t="inlineStr"/>
      <c r="G12" s="10" t="inlineStr"/>
      <c r="H12" s="10" t="inlineStr"/>
      <c r="I12" s="10" t="inlineStr"/>
      <c r="J12" s="10" t="inlineStr"/>
    </row>
    <row r="13" ht="22" customHeight="1">
      <c r="B13" s="14" t="inlineStr">
        <is>
          <t>EVT/2025/009</t>
        </is>
      </c>
      <c r="C13" s="15" t="inlineStr"/>
      <c r="D13" s="16" t="inlineStr">
        <is>
          <t>Cultural Evening</t>
        </is>
      </c>
      <c r="E13" s="16" t="inlineStr"/>
      <c r="F13" s="16" t="inlineStr"/>
      <c r="G13" s="16" t="inlineStr"/>
      <c r="H13" s="16" t="inlineStr"/>
      <c r="I13" s="16" t="inlineStr"/>
      <c r="J13" s="16" t="inlineStr"/>
    </row>
    <row r="14" ht="22" customHeight="1">
      <c r="B14" s="8" t="inlineStr">
        <is>
          <t>EVT/2025/010</t>
        </is>
      </c>
      <c r="C14" s="9" t="inlineStr"/>
      <c r="D14" s="10" t="inlineStr">
        <is>
          <t>Industry Networking</t>
        </is>
      </c>
      <c r="E14" s="10" t="inlineStr"/>
      <c r="F14" s="10" t="inlineStr"/>
      <c r="G14" s="10" t="inlineStr"/>
      <c r="H14" s="10" t="inlineStr"/>
      <c r="I14" s="10" t="inlineStr"/>
      <c r="J14" s="10" t="inlineStr"/>
    </row>
    <row r="15" ht="22" customHeight="1">
      <c r="B15" s="14" t="inlineStr">
        <is>
          <t>EVT/2025/011</t>
        </is>
      </c>
      <c r="C15" s="15" t="inlineStr"/>
      <c r="D15" s="16" t="inlineStr">
        <is>
          <t>Annual Alumni Meet</t>
        </is>
      </c>
      <c r="E15" s="16" t="inlineStr"/>
      <c r="F15" s="16" t="inlineStr"/>
      <c r="G15" s="16" t="inlineStr"/>
      <c r="H15" s="16" t="inlineStr"/>
      <c r="I15" s="16" t="inlineStr"/>
      <c r="J15" s="16" t="inlineStr"/>
    </row>
    <row r="16" ht="22" customHeight="1">
      <c r="B16" s="8" t="inlineStr">
        <is>
          <t>EVT/2025/012</t>
        </is>
      </c>
      <c r="C16" s="9" t="inlineStr"/>
      <c r="D16" s="10" t="inlineStr">
        <is>
          <t>Batch Reunion</t>
        </is>
      </c>
      <c r="E16" s="10" t="inlineStr"/>
      <c r="F16" s="10" t="inlineStr"/>
      <c r="G16" s="10" t="inlineStr"/>
      <c r="H16" s="10" t="inlineStr"/>
      <c r="I16" s="10" t="inlineStr"/>
      <c r="J16" s="10" t="inlineStr"/>
    </row>
    <row r="17" ht="22" customHeight="1">
      <c r="B17" s="14" t="inlineStr">
        <is>
          <t>EVT/2025/013</t>
        </is>
      </c>
      <c r="C17" s="15" t="inlineStr"/>
      <c r="D17" s="16" t="inlineStr">
        <is>
          <t>Chapter Meet</t>
        </is>
      </c>
      <c r="E17" s="16" t="inlineStr"/>
      <c r="F17" s="16" t="inlineStr"/>
      <c r="G17" s="16" t="inlineStr"/>
      <c r="H17" s="16" t="inlineStr"/>
      <c r="I17" s="16" t="inlineStr"/>
      <c r="J17" s="16" t="inlineStr"/>
    </row>
    <row r="18" ht="22" customHeight="1">
      <c r="B18" s="8" t="inlineStr">
        <is>
          <t>EVT/2025/014</t>
        </is>
      </c>
      <c r="C18" s="9" t="inlineStr"/>
      <c r="D18" s="10" t="inlineStr">
        <is>
          <t>Virtual Meet</t>
        </is>
      </c>
      <c r="E18" s="10" t="inlineStr"/>
      <c r="F18" s="10" t="inlineStr"/>
      <c r="G18" s="10" t="inlineStr"/>
      <c r="H18" s="10" t="inlineStr"/>
      <c r="I18" s="10" t="inlineStr"/>
      <c r="J18" s="10" t="inlineStr"/>
    </row>
    <row r="19" ht="22" customHeight="1"/>
    <row r="20" ht="24" customHeight="1">
      <c r="B20" s="20" t="inlineStr">
        <is>
          <t>EVENT PLANNING CHECKLIST — ANNUAL ALUMNI MEET</t>
        </is>
      </c>
    </row>
    <row r="21" ht="22" customHeight="1">
      <c r="B21" s="21" t="inlineStr">
        <is>
          <t>Task</t>
        </is>
      </c>
      <c r="C21" s="21" t="inlineStr">
        <is>
          <t>Responsible</t>
        </is>
      </c>
      <c r="D21" s="21" t="inlineStr">
        <is>
          <t>Target Date</t>
        </is>
      </c>
      <c r="E21" s="21" t="inlineStr">
        <is>
          <t>Completed</t>
        </is>
      </c>
      <c r="F21" s="21" t="inlineStr">
        <is>
          <t>Remarks</t>
        </is>
      </c>
    </row>
    <row r="22" ht="22" customHeight="1">
      <c r="B22" s="23" t="inlineStr">
        <is>
          <t>Fix date and venue</t>
        </is>
      </c>
      <c r="C22" s="22" t="inlineStr"/>
      <c r="D22" s="22" t="inlineStr"/>
      <c r="E22" s="22" t="inlineStr"/>
      <c r="F22" s="43" t="inlineStr"/>
      <c r="G22" s="44" t="n"/>
      <c r="H22" s="44" t="n"/>
      <c r="I22" s="44" t="n"/>
      <c r="J22" s="44" t="n"/>
    </row>
    <row r="23" ht="22" customHeight="1">
      <c r="B23" s="25" t="inlineStr">
        <is>
          <t>Send save-the-date notification</t>
        </is>
      </c>
      <c r="C23" s="10" t="inlineStr"/>
      <c r="D23" s="10" t="inlineStr"/>
      <c r="E23" s="10" t="inlineStr"/>
      <c r="F23" s="9" t="inlineStr"/>
      <c r="G23" s="45" t="n"/>
      <c r="H23" s="45" t="n"/>
      <c r="I23" s="45" t="n"/>
      <c r="J23" s="45" t="n"/>
    </row>
    <row r="24" ht="22" customHeight="1">
      <c r="B24" s="23" t="inlineStr">
        <is>
          <t>Open online registration portal</t>
        </is>
      </c>
      <c r="C24" s="22" t="inlineStr"/>
      <c r="D24" s="22" t="inlineStr"/>
      <c r="E24" s="22" t="inlineStr"/>
      <c r="F24" s="43" t="inlineStr"/>
      <c r="G24" s="44" t="n"/>
      <c r="H24" s="44" t="n"/>
      <c r="I24" s="44" t="n"/>
      <c r="J24" s="44" t="n"/>
    </row>
    <row r="25" ht="22" customHeight="1">
      <c r="B25" s="25" t="inlineStr">
        <is>
          <t>Plan programme / agenda</t>
        </is>
      </c>
      <c r="C25" s="10" t="inlineStr"/>
      <c r="D25" s="10" t="inlineStr"/>
      <c r="E25" s="10" t="inlineStr"/>
      <c r="F25" s="9" t="inlineStr"/>
      <c r="G25" s="45" t="n"/>
      <c r="H25" s="45" t="n"/>
      <c r="I25" s="45" t="n"/>
      <c r="J25" s="45" t="n"/>
    </row>
    <row r="26" ht="22" customHeight="1">
      <c r="B26" s="23" t="inlineStr">
        <is>
          <t>Coordinate distinguished alumni award</t>
        </is>
      </c>
      <c r="C26" s="22" t="inlineStr"/>
      <c r="D26" s="22" t="inlineStr"/>
      <c r="E26" s="22" t="inlineStr"/>
      <c r="F26" s="43" t="inlineStr"/>
      <c r="G26" s="44" t="n"/>
      <c r="H26" s="44" t="n"/>
      <c r="I26" s="44" t="n"/>
      <c r="J26" s="44" t="n"/>
    </row>
    <row r="27" ht="22" customHeight="1">
      <c r="B27" s="25" t="inlineStr">
        <is>
          <t>Arrange transport / accommodation</t>
        </is>
      </c>
      <c r="C27" s="10" t="inlineStr"/>
      <c r="D27" s="10" t="inlineStr"/>
      <c r="E27" s="10" t="inlineStr"/>
      <c r="F27" s="9" t="inlineStr"/>
      <c r="G27" s="45" t="n"/>
      <c r="H27" s="45" t="n"/>
      <c r="I27" s="45" t="n"/>
      <c r="J27" s="45" t="n"/>
    </row>
    <row r="28" ht="22" customHeight="1">
      <c r="B28" s="23" t="inlineStr">
        <is>
          <t>Set up sponsor / exhibitor stalls</t>
        </is>
      </c>
      <c r="C28" s="22" t="inlineStr"/>
      <c r="D28" s="22" t="inlineStr"/>
      <c r="E28" s="22" t="inlineStr"/>
      <c r="F28" s="43" t="inlineStr"/>
      <c r="G28" s="44" t="n"/>
      <c r="H28" s="44" t="n"/>
      <c r="I28" s="44" t="n"/>
      <c r="J28" s="44" t="n"/>
    </row>
    <row r="29" ht="22" customHeight="1">
      <c r="B29" s="25" t="inlineStr">
        <is>
          <t>Plan cultural programme</t>
        </is>
      </c>
      <c r="C29" s="10" t="inlineStr"/>
      <c r="D29" s="10" t="inlineStr"/>
      <c r="E29" s="10" t="inlineStr"/>
      <c r="F29" s="9" t="inlineStr"/>
      <c r="G29" s="45" t="n"/>
      <c r="H29" s="45" t="n"/>
      <c r="I29" s="45" t="n"/>
      <c r="J29" s="45" t="n"/>
    </row>
    <row r="30" ht="22" customHeight="1">
      <c r="B30" s="23" t="inlineStr">
        <is>
          <t>Arrange felicitation / certificates</t>
        </is>
      </c>
      <c r="C30" s="22" t="inlineStr"/>
      <c r="D30" s="22" t="inlineStr"/>
      <c r="E30" s="22" t="inlineStr"/>
      <c r="F30" s="43" t="inlineStr"/>
      <c r="G30" s="44" t="n"/>
      <c r="H30" s="44" t="n"/>
      <c r="I30" s="44" t="n"/>
      <c r="J30" s="44" t="n"/>
    </row>
    <row r="31" ht="22" customHeight="1">
      <c r="B31" s="25" t="inlineStr">
        <is>
          <t>Post-event survey launch</t>
        </is>
      </c>
      <c r="C31" s="10" t="inlineStr"/>
      <c r="D31" s="10" t="inlineStr"/>
      <c r="E31" s="10" t="inlineStr"/>
      <c r="F31" s="9" t="inlineStr"/>
      <c r="G31" s="45" t="n"/>
      <c r="H31" s="45" t="n"/>
      <c r="I31" s="45" t="n"/>
      <c r="J31" s="45" t="n"/>
    </row>
    <row r="32" ht="22" customHeight="1">
      <c r="B32" s="23" t="inlineStr">
        <is>
          <t>Event report compilation</t>
        </is>
      </c>
      <c r="C32" s="22" t="inlineStr"/>
      <c r="D32" s="22" t="inlineStr"/>
      <c r="E32" s="22" t="inlineStr"/>
      <c r="F32" s="43" t="inlineStr"/>
      <c r="G32" s="44" t="n"/>
      <c r="H32" s="44" t="n"/>
      <c r="I32" s="44" t="n"/>
      <c r="J32" s="44" t="n"/>
    </row>
    <row r="33" ht="22" customHeight="1">
      <c r="B33" s="25" t="inlineStr">
        <is>
          <t>NAAC/IQAC documentation</t>
        </is>
      </c>
      <c r="C33" s="10" t="inlineStr"/>
      <c r="D33" s="10" t="inlineStr"/>
      <c r="E33" s="10" t="inlineStr"/>
      <c r="F33" s="9" t="inlineStr"/>
      <c r="G33" s="45" t="n"/>
      <c r="H33" s="45" t="n"/>
      <c r="I33" s="45" t="n"/>
      <c r="J33" s="45" t="n"/>
    </row>
    <row r="34" ht="22" customHeight="1"/>
    <row r="35" ht="24" customHeight="1">
      <c r="B35" s="34" t="inlineStr">
        <is>
          <t>EVENT STATISTICS SUMMARY</t>
        </is>
      </c>
    </row>
    <row r="36" ht="22" customHeight="1">
      <c r="B36" s="30" t="inlineStr">
        <is>
          <t>Event</t>
        </is>
      </c>
      <c r="C36" s="30" t="inlineStr">
        <is>
          <t>Batches
Represented</t>
        </is>
      </c>
      <c r="D36" s="30" t="inlineStr">
        <is>
          <t>Alumni
Attended</t>
        </is>
      </c>
      <c r="E36" s="30" t="inlineStr">
        <is>
          <t>Attendance
%</t>
        </is>
      </c>
      <c r="F36" s="30" t="inlineStr">
        <is>
          <t>Budget
(₹L)</t>
        </is>
      </c>
      <c r="G36" s="30" t="inlineStr">
        <is>
          <t>Actual
Spend (₹L)</t>
        </is>
      </c>
      <c r="H36" s="30" t="inlineStr">
        <is>
          <t>Revenue
(₹L)</t>
        </is>
      </c>
      <c r="I36" s="30" t="inlineStr">
        <is>
          <t>Surplus /
(Deficit)</t>
        </is>
      </c>
      <c r="J36" s="30" t="inlineStr">
        <is>
          <t>Feedback
Score (/5)</t>
        </is>
      </c>
    </row>
    <row r="37" ht="22" customHeight="1"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</row>
    <row r="38" ht="22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 ht="22" customHeight="1"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</row>
    <row r="40" ht="22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 ht="22" customHeight="1"/>
  </sheetData>
  <mergeCells count="4">
    <mergeCell ref="B20:J20"/>
    <mergeCell ref="B3:J3"/>
    <mergeCell ref="B35:J35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ACC-10: ALUMNI GUEST LECTURE &amp; EXPERT TALK REGISTER</t>
        </is>
      </c>
    </row>
    <row r="3" ht="25" customHeight="1">
      <c r="B3" s="2" t="inlineStr">
        <is>
          <t>A.Y.: _______  Alumni Coordinator: ___________________  NAAC Ref.: Criterion V.1 / III.3</t>
        </is>
      </c>
    </row>
    <row r="4" ht="25" customHeight="1">
      <c r="B4" s="13" t="inlineStr">
        <is>
          <t>Sl.</t>
        </is>
      </c>
      <c r="C4" s="13" t="inlineStr">
        <is>
          <t>Alumnus/a Name</t>
        </is>
      </c>
      <c r="D4" s="13" t="inlineStr">
        <is>
          <t>Batch &amp;
Programme</t>
        </is>
      </c>
      <c r="E4" s="13" t="inlineStr">
        <is>
          <t>Topic / Subject</t>
        </is>
      </c>
      <c r="F4" s="13" t="inlineStr">
        <is>
          <t>Date</t>
        </is>
      </c>
      <c r="G4" s="13" t="inlineStr">
        <is>
          <t>Department
/ Programme</t>
        </is>
      </c>
      <c r="H4" s="13" t="inlineStr">
        <is>
          <t>Mode</t>
        </is>
      </c>
      <c r="I4" s="13" t="inlineStr">
        <is>
          <t>Students
Attended</t>
        </is>
      </c>
      <c r="J4" s="13" t="inlineStr">
        <is>
          <t>Feedback
Score (/5)</t>
        </is>
      </c>
    </row>
    <row r="5" ht="22" customHeight="1">
      <c r="B5" s="14" t="n">
        <v>1</v>
      </c>
      <c r="C5" s="15" t="inlineStr"/>
      <c r="D5" s="16" t="inlineStr"/>
      <c r="E5" s="15" t="inlineStr"/>
      <c r="F5" s="16" t="inlineStr"/>
      <c r="G5" s="16" t="inlineStr">
        <is>
          <t>CSE</t>
        </is>
      </c>
      <c r="H5" s="16" t="inlineStr">
        <is>
          <t>Physical</t>
        </is>
      </c>
      <c r="I5" s="16" t="inlineStr"/>
      <c r="J5" s="16" t="inlineStr"/>
    </row>
    <row r="6" ht="22" customHeight="1">
      <c r="B6" s="8" t="n">
        <v>2</v>
      </c>
      <c r="C6" s="9" t="inlineStr"/>
      <c r="D6" s="10" t="inlineStr"/>
      <c r="E6" s="9" t="inlineStr"/>
      <c r="F6" s="10" t="inlineStr"/>
      <c r="G6" s="10" t="inlineStr">
        <is>
          <t>ECE</t>
        </is>
      </c>
      <c r="H6" s="10" t="inlineStr">
        <is>
          <t>Physical</t>
        </is>
      </c>
      <c r="I6" s="10" t="inlineStr"/>
      <c r="J6" s="10" t="inlineStr"/>
    </row>
    <row r="7" ht="22" customHeight="1">
      <c r="B7" s="14" t="n">
        <v>3</v>
      </c>
      <c r="C7" s="15" t="inlineStr"/>
      <c r="D7" s="16" t="inlineStr"/>
      <c r="E7" s="15" t="inlineStr"/>
      <c r="F7" s="16" t="inlineStr"/>
      <c r="G7" s="16" t="inlineStr">
        <is>
          <t>EEE</t>
        </is>
      </c>
      <c r="H7" s="16" t="inlineStr">
        <is>
          <t>Physical</t>
        </is>
      </c>
      <c r="I7" s="16" t="inlineStr"/>
      <c r="J7" s="16" t="inlineStr"/>
    </row>
    <row r="8" ht="22" customHeight="1">
      <c r="B8" s="8" t="n">
        <v>4</v>
      </c>
      <c r="C8" s="9" t="inlineStr"/>
      <c r="D8" s="10" t="inlineStr"/>
      <c r="E8" s="9" t="inlineStr"/>
      <c r="F8" s="10" t="inlineStr"/>
      <c r="G8" s="10" t="inlineStr">
        <is>
          <t>MECH</t>
        </is>
      </c>
      <c r="H8" s="10" t="inlineStr">
        <is>
          <t>Physical</t>
        </is>
      </c>
      <c r="I8" s="10" t="inlineStr"/>
      <c r="J8" s="10" t="inlineStr"/>
    </row>
    <row r="9" ht="22" customHeight="1">
      <c r="B9" s="14" t="n">
        <v>5</v>
      </c>
      <c r="C9" s="15" t="inlineStr"/>
      <c r="D9" s="16" t="inlineStr"/>
      <c r="E9" s="15" t="inlineStr"/>
      <c r="F9" s="16" t="inlineStr"/>
      <c r="G9" s="16" t="inlineStr">
        <is>
          <t>CIVIL</t>
        </is>
      </c>
      <c r="H9" s="16" t="inlineStr">
        <is>
          <t>Physical</t>
        </is>
      </c>
      <c r="I9" s="16" t="inlineStr"/>
      <c r="J9" s="16" t="inlineStr"/>
    </row>
    <row r="10" ht="22" customHeight="1">
      <c r="B10" s="8" t="n">
        <v>6</v>
      </c>
      <c r="C10" s="9" t="inlineStr"/>
      <c r="D10" s="10" t="inlineStr"/>
      <c r="E10" s="9" t="inlineStr"/>
      <c r="F10" s="10" t="inlineStr"/>
      <c r="G10" s="10" t="inlineStr">
        <is>
          <t>MBA</t>
        </is>
      </c>
      <c r="H10" s="10" t="inlineStr">
        <is>
          <t>Physical</t>
        </is>
      </c>
      <c r="I10" s="10" t="inlineStr"/>
      <c r="J10" s="10" t="inlineStr"/>
    </row>
    <row r="11" ht="22" customHeight="1">
      <c r="B11" s="14" t="n">
        <v>7</v>
      </c>
      <c r="C11" s="15" t="inlineStr"/>
      <c r="D11" s="16" t="inlineStr"/>
      <c r="E11" s="15" t="inlineStr"/>
      <c r="F11" s="16" t="inlineStr"/>
      <c r="G11" s="16" t="inlineStr">
        <is>
          <t>MCA</t>
        </is>
      </c>
      <c r="H11" s="16" t="inlineStr">
        <is>
          <t>Physical</t>
        </is>
      </c>
      <c r="I11" s="16" t="inlineStr"/>
      <c r="J11" s="16" t="inlineStr"/>
    </row>
    <row r="12" ht="22" customHeight="1">
      <c r="B12" s="8" t="n">
        <v>8</v>
      </c>
      <c r="C12" s="9" t="inlineStr"/>
      <c r="D12" s="10" t="inlineStr"/>
      <c r="E12" s="9" t="inlineStr"/>
      <c r="F12" s="10" t="inlineStr"/>
      <c r="G12" s="10" t="inlineStr">
        <is>
          <t>S&amp;H</t>
        </is>
      </c>
      <c r="H12" s="10" t="inlineStr">
        <is>
          <t>Physical</t>
        </is>
      </c>
      <c r="I12" s="10" t="inlineStr"/>
      <c r="J12" s="10" t="inlineStr"/>
    </row>
    <row r="13" ht="22" customHeight="1">
      <c r="B13" s="14" t="n">
        <v>9</v>
      </c>
      <c r="C13" s="15" t="inlineStr"/>
      <c r="D13" s="16" t="inlineStr"/>
      <c r="E13" s="15" t="inlineStr"/>
      <c r="F13" s="16" t="inlineStr"/>
      <c r="G13" s="16" t="inlineStr">
        <is>
          <t>All Departments</t>
        </is>
      </c>
      <c r="H13" s="16" t="inlineStr">
        <is>
          <t>Physical</t>
        </is>
      </c>
      <c r="I13" s="16" t="inlineStr"/>
      <c r="J13" s="16" t="inlineStr"/>
    </row>
    <row r="14" ht="22" customHeight="1">
      <c r="B14" s="8" t="n">
        <v>10</v>
      </c>
      <c r="C14" s="9" t="inlineStr"/>
      <c r="D14" s="10" t="inlineStr"/>
      <c r="E14" s="9" t="inlineStr"/>
      <c r="F14" s="10" t="inlineStr"/>
      <c r="G14" s="10" t="inlineStr">
        <is>
          <t>CSE</t>
        </is>
      </c>
      <c r="H14" s="10" t="inlineStr">
        <is>
          <t>Physical</t>
        </is>
      </c>
      <c r="I14" s="10" t="inlineStr"/>
      <c r="J14" s="10" t="inlineStr"/>
    </row>
    <row r="15" ht="22" customHeight="1">
      <c r="B15" s="14" t="n">
        <v>11</v>
      </c>
      <c r="C15" s="15" t="inlineStr"/>
      <c r="D15" s="16" t="inlineStr"/>
      <c r="E15" s="15" t="inlineStr"/>
      <c r="F15" s="16" t="inlineStr"/>
      <c r="G15" s="16" t="inlineStr">
        <is>
          <t>ECE</t>
        </is>
      </c>
      <c r="H15" s="16" t="inlineStr">
        <is>
          <t>Physical</t>
        </is>
      </c>
      <c r="I15" s="16" t="inlineStr"/>
      <c r="J15" s="16" t="inlineStr"/>
    </row>
    <row r="16" ht="22" customHeight="1">
      <c r="B16" s="8" t="n">
        <v>12</v>
      </c>
      <c r="C16" s="9" t="inlineStr"/>
      <c r="D16" s="10" t="inlineStr"/>
      <c r="E16" s="9" t="inlineStr"/>
      <c r="F16" s="10" t="inlineStr"/>
      <c r="G16" s="10" t="inlineStr">
        <is>
          <t>EEE</t>
        </is>
      </c>
      <c r="H16" s="10" t="inlineStr">
        <is>
          <t>Physical</t>
        </is>
      </c>
      <c r="I16" s="10" t="inlineStr"/>
      <c r="J16" s="10" t="inlineStr"/>
    </row>
    <row r="17" ht="22" customHeight="1">
      <c r="B17" s="14" t="n">
        <v>13</v>
      </c>
      <c r="C17" s="15" t="inlineStr"/>
      <c r="D17" s="16" t="inlineStr"/>
      <c r="E17" s="15" t="inlineStr"/>
      <c r="F17" s="16" t="inlineStr"/>
      <c r="G17" s="16" t="inlineStr">
        <is>
          <t>MECH</t>
        </is>
      </c>
      <c r="H17" s="16" t="inlineStr">
        <is>
          <t>Physical</t>
        </is>
      </c>
      <c r="I17" s="16" t="inlineStr"/>
      <c r="J17" s="16" t="inlineStr"/>
    </row>
    <row r="18" ht="22" customHeight="1">
      <c r="B18" s="8" t="n">
        <v>14</v>
      </c>
      <c r="C18" s="9" t="inlineStr"/>
      <c r="D18" s="10" t="inlineStr"/>
      <c r="E18" s="9" t="inlineStr"/>
      <c r="F18" s="10" t="inlineStr"/>
      <c r="G18" s="10" t="inlineStr">
        <is>
          <t>CIVIL</t>
        </is>
      </c>
      <c r="H18" s="10" t="inlineStr">
        <is>
          <t>Physical</t>
        </is>
      </c>
      <c r="I18" s="10" t="inlineStr"/>
      <c r="J18" s="10" t="inlineStr"/>
    </row>
    <row r="19" ht="22" customHeight="1">
      <c r="B19" s="14" t="n">
        <v>15</v>
      </c>
      <c r="C19" s="15" t="inlineStr"/>
      <c r="D19" s="16" t="inlineStr"/>
      <c r="E19" s="15" t="inlineStr"/>
      <c r="F19" s="16" t="inlineStr"/>
      <c r="G19" s="16" t="inlineStr">
        <is>
          <t>MBA</t>
        </is>
      </c>
      <c r="H19" s="16" t="inlineStr">
        <is>
          <t>Physical</t>
        </is>
      </c>
      <c r="I19" s="16" t="inlineStr"/>
      <c r="J19" s="16" t="inlineStr"/>
    </row>
    <row r="20" ht="22" customHeight="1">
      <c r="B20" s="8" t="n">
        <v>16</v>
      </c>
      <c r="C20" s="9" t="inlineStr"/>
      <c r="D20" s="10" t="inlineStr"/>
      <c r="E20" s="9" t="inlineStr"/>
      <c r="F20" s="10" t="inlineStr"/>
      <c r="G20" s="10" t="inlineStr">
        <is>
          <t>MCA</t>
        </is>
      </c>
      <c r="H20" s="10" t="inlineStr">
        <is>
          <t>Physical</t>
        </is>
      </c>
      <c r="I20" s="10" t="inlineStr"/>
      <c r="J20" s="10" t="inlineStr"/>
    </row>
    <row r="21" ht="22" customHeight="1">
      <c r="B21" s="14" t="n">
        <v>17</v>
      </c>
      <c r="C21" s="15" t="inlineStr"/>
      <c r="D21" s="16" t="inlineStr"/>
      <c r="E21" s="15" t="inlineStr"/>
      <c r="F21" s="16" t="inlineStr"/>
      <c r="G21" s="16" t="inlineStr">
        <is>
          <t>S&amp;H</t>
        </is>
      </c>
      <c r="H21" s="16" t="inlineStr">
        <is>
          <t>Physical</t>
        </is>
      </c>
      <c r="I21" s="16" t="inlineStr"/>
      <c r="J21" s="16" t="inlineStr"/>
    </row>
    <row r="22" ht="22" customHeight="1">
      <c r="B22" s="8" t="n">
        <v>18</v>
      </c>
      <c r="C22" s="9" t="inlineStr"/>
      <c r="D22" s="10" t="inlineStr"/>
      <c r="E22" s="9" t="inlineStr"/>
      <c r="F22" s="10" t="inlineStr"/>
      <c r="G22" s="10" t="inlineStr">
        <is>
          <t>All Departments</t>
        </is>
      </c>
      <c r="H22" s="10" t="inlineStr">
        <is>
          <t>Physical</t>
        </is>
      </c>
      <c r="I22" s="10" t="inlineStr"/>
      <c r="J22" s="10" t="inlineStr"/>
    </row>
    <row r="23" ht="22" customHeight="1">
      <c r="B23" s="14" t="n">
        <v>19</v>
      </c>
      <c r="C23" s="15" t="inlineStr"/>
      <c r="D23" s="16" t="inlineStr"/>
      <c r="E23" s="15" t="inlineStr"/>
      <c r="F23" s="16" t="inlineStr"/>
      <c r="G23" s="16" t="inlineStr">
        <is>
          <t>CSE</t>
        </is>
      </c>
      <c r="H23" s="16" t="inlineStr">
        <is>
          <t>Physical</t>
        </is>
      </c>
      <c r="I23" s="16" t="inlineStr"/>
      <c r="J23" s="16" t="inlineStr"/>
    </row>
    <row r="24" ht="22" customHeight="1">
      <c r="B24" s="8" t="n">
        <v>20</v>
      </c>
      <c r="C24" s="9" t="inlineStr"/>
      <c r="D24" s="10" t="inlineStr"/>
      <c r="E24" s="9" t="inlineStr"/>
      <c r="F24" s="10" t="inlineStr"/>
      <c r="G24" s="10" t="inlineStr">
        <is>
          <t>ECE</t>
        </is>
      </c>
      <c r="H24" s="10" t="inlineStr">
        <is>
          <t>Physical</t>
        </is>
      </c>
      <c r="I24" s="10" t="inlineStr"/>
      <c r="J24" s="10" t="inlineStr"/>
    </row>
    <row r="25" ht="22" customHeight="1">
      <c r="B25" s="14" t="n">
        <v>21</v>
      </c>
      <c r="C25" s="15" t="inlineStr"/>
      <c r="D25" s="16" t="inlineStr"/>
      <c r="E25" s="15" t="inlineStr"/>
      <c r="F25" s="16" t="inlineStr"/>
      <c r="G25" s="16" t="inlineStr">
        <is>
          <t>EEE</t>
        </is>
      </c>
      <c r="H25" s="16" t="inlineStr">
        <is>
          <t>Physical</t>
        </is>
      </c>
      <c r="I25" s="16" t="inlineStr"/>
      <c r="J25" s="16" t="inlineStr"/>
    </row>
    <row r="26" ht="22" customHeight="1">
      <c r="B26" s="8" t="n">
        <v>22</v>
      </c>
      <c r="C26" s="9" t="inlineStr"/>
      <c r="D26" s="10" t="inlineStr"/>
      <c r="E26" s="9" t="inlineStr"/>
      <c r="F26" s="10" t="inlineStr"/>
      <c r="G26" s="10" t="inlineStr">
        <is>
          <t>MECH</t>
        </is>
      </c>
      <c r="H26" s="10" t="inlineStr">
        <is>
          <t>Physical</t>
        </is>
      </c>
      <c r="I26" s="10" t="inlineStr"/>
      <c r="J26" s="10" t="inlineStr"/>
    </row>
    <row r="27" ht="22" customHeight="1">
      <c r="B27" s="14" t="n">
        <v>23</v>
      </c>
      <c r="C27" s="15" t="inlineStr"/>
      <c r="D27" s="16" t="inlineStr"/>
      <c r="E27" s="15" t="inlineStr"/>
      <c r="F27" s="16" t="inlineStr"/>
      <c r="G27" s="16" t="inlineStr">
        <is>
          <t>CIVIL</t>
        </is>
      </c>
      <c r="H27" s="16" t="inlineStr">
        <is>
          <t>Physical</t>
        </is>
      </c>
      <c r="I27" s="16" t="inlineStr"/>
      <c r="J27" s="16" t="inlineStr"/>
    </row>
    <row r="28" ht="22" customHeight="1">
      <c r="B28" s="8" t="n">
        <v>24</v>
      </c>
      <c r="C28" s="9" t="inlineStr"/>
      <c r="D28" s="10" t="inlineStr"/>
      <c r="E28" s="9" t="inlineStr"/>
      <c r="F28" s="10" t="inlineStr"/>
      <c r="G28" s="10" t="inlineStr">
        <is>
          <t>MBA</t>
        </is>
      </c>
      <c r="H28" s="10" t="inlineStr">
        <is>
          <t>Physical</t>
        </is>
      </c>
      <c r="I28" s="10" t="inlineStr"/>
      <c r="J28" s="10" t="inlineStr"/>
    </row>
    <row r="29" ht="22" customHeight="1"/>
    <row r="30" ht="24" customHeight="1">
      <c r="B30" s="34" t="inlineStr">
        <is>
          <t>GUEST LECTURE IMPACT SUMMARY</t>
        </is>
      </c>
    </row>
    <row r="31" ht="22" customHeight="1">
      <c r="B31" s="30" t="inlineStr">
        <is>
          <t>Department</t>
        </is>
      </c>
      <c r="C31" s="30" t="inlineStr">
        <is>
          <t>Lectures
Arranged</t>
        </is>
      </c>
      <c r="D31" s="30" t="inlineStr">
        <is>
          <t>Unique Alumni
Speakers</t>
        </is>
      </c>
      <c r="E31" s="30" t="inlineStr">
        <is>
          <t>Total Students
Benefited</t>
        </is>
      </c>
      <c r="F31" s="30" t="inlineStr">
        <is>
          <t>Avg. Feedback
Score (/5)</t>
        </is>
      </c>
      <c r="G31" s="30" t="inlineStr">
        <is>
          <t>Topics Range</t>
        </is>
      </c>
    </row>
    <row r="32" ht="22" customHeight="1">
      <c r="B32" s="32" t="inlineStr">
        <is>
          <t>CSE</t>
        </is>
      </c>
      <c r="C32" s="33" t="inlineStr"/>
      <c r="D32" s="33" t="inlineStr"/>
      <c r="E32" s="33" t="inlineStr"/>
      <c r="F32" s="33" t="inlineStr"/>
      <c r="G32" s="32" t="inlineStr"/>
      <c r="H32" s="46" t="n"/>
      <c r="I32" s="46" t="n"/>
      <c r="J32" s="46" t="n"/>
    </row>
    <row r="33" ht="22" customHeight="1">
      <c r="B33" s="9" t="inlineStr">
        <is>
          <t>ECE</t>
        </is>
      </c>
      <c r="C33" s="10" t="inlineStr"/>
      <c r="D33" s="10" t="inlineStr"/>
      <c r="E33" s="10" t="inlineStr"/>
      <c r="F33" s="10" t="inlineStr"/>
      <c r="G33" s="9" t="inlineStr"/>
      <c r="H33" s="45" t="n"/>
      <c r="I33" s="45" t="n"/>
      <c r="J33" s="45" t="n"/>
    </row>
    <row r="34" ht="22" customHeight="1">
      <c r="B34" s="32" t="inlineStr">
        <is>
          <t>EEE</t>
        </is>
      </c>
      <c r="C34" s="33" t="inlineStr"/>
      <c r="D34" s="33" t="inlineStr"/>
      <c r="E34" s="33" t="inlineStr"/>
      <c r="F34" s="33" t="inlineStr"/>
      <c r="G34" s="32" t="inlineStr"/>
      <c r="H34" s="46" t="n"/>
      <c r="I34" s="46" t="n"/>
      <c r="J34" s="46" t="n"/>
    </row>
    <row r="35" ht="22" customHeight="1">
      <c r="B35" s="9" t="inlineStr">
        <is>
          <t>MECH</t>
        </is>
      </c>
      <c r="C35" s="10" t="inlineStr"/>
      <c r="D35" s="10" t="inlineStr"/>
      <c r="E35" s="10" t="inlineStr"/>
      <c r="F35" s="10" t="inlineStr"/>
      <c r="G35" s="9" t="inlineStr"/>
      <c r="H35" s="45" t="n"/>
      <c r="I35" s="45" t="n"/>
      <c r="J35" s="45" t="n"/>
    </row>
    <row r="36" ht="22" customHeight="1">
      <c r="B36" s="32" t="inlineStr">
        <is>
          <t>CIVIL</t>
        </is>
      </c>
      <c r="C36" s="33" t="inlineStr"/>
      <c r="D36" s="33" t="inlineStr"/>
      <c r="E36" s="33" t="inlineStr"/>
      <c r="F36" s="33" t="inlineStr"/>
      <c r="G36" s="32" t="inlineStr"/>
      <c r="H36" s="46" t="n"/>
      <c r="I36" s="46" t="n"/>
      <c r="J36" s="46" t="n"/>
    </row>
    <row r="37" ht="22" customHeight="1">
      <c r="B37" s="9" t="inlineStr">
        <is>
          <t>MBA</t>
        </is>
      </c>
      <c r="C37" s="10" t="inlineStr"/>
      <c r="D37" s="10" t="inlineStr"/>
      <c r="E37" s="10" t="inlineStr"/>
      <c r="F37" s="10" t="inlineStr"/>
      <c r="G37" s="9" t="inlineStr"/>
      <c r="H37" s="45" t="n"/>
      <c r="I37" s="45" t="n"/>
      <c r="J37" s="45" t="n"/>
    </row>
    <row r="38">
      <c r="B38" s="32" t="inlineStr">
        <is>
          <t>MCA</t>
        </is>
      </c>
      <c r="C38" s="33" t="inlineStr"/>
      <c r="D38" s="33" t="inlineStr"/>
      <c r="E38" s="33" t="inlineStr"/>
      <c r="F38" s="33" t="inlineStr"/>
      <c r="G38" s="32" t="inlineStr"/>
      <c r="H38" s="46" t="n"/>
      <c r="I38" s="46" t="n"/>
      <c r="J38" s="46" t="n"/>
    </row>
    <row r="39">
      <c r="B39" s="9" t="inlineStr">
        <is>
          <t>S&amp;H</t>
        </is>
      </c>
      <c r="C39" s="10" t="inlineStr"/>
      <c r="D39" s="10" t="inlineStr"/>
      <c r="E39" s="10" t="inlineStr"/>
      <c r="F39" s="10" t="inlineStr"/>
      <c r="G39" s="9" t="inlineStr"/>
      <c r="H39" s="45" t="n"/>
      <c r="I39" s="45" t="n"/>
      <c r="J39" s="45" t="n"/>
    </row>
    <row r="40">
      <c r="B40" s="23" t="inlineStr">
        <is>
          <t>TOTAL</t>
        </is>
      </c>
      <c r="C40" s="42" t="inlineStr"/>
      <c r="D40" s="42" t="inlineStr"/>
      <c r="E40" s="42" t="inlineStr"/>
      <c r="F40" s="42" t="inlineStr"/>
      <c r="G40" s="23" t="inlineStr"/>
      <c r="H40" s="44" t="n"/>
      <c r="I40" s="44" t="n"/>
      <c r="J40" s="44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ACC-11: ALUMNI MENTORSHIP PROGRAMME REGISTER</t>
        </is>
      </c>
    </row>
    <row r="3" ht="25" customHeight="1">
      <c r="B3" s="2" t="inlineStr">
        <is>
          <t>Semester: _______  A.Y.: _______  Mentorship Coordinator: ___________________  NAAC Ref.: Criterion V.2</t>
        </is>
      </c>
    </row>
    <row r="4" ht="24" customHeight="1">
      <c r="B4" s="19" t="inlineStr">
        <is>
          <t>MENTOR–MENTEE PAIR REGISTER</t>
        </is>
      </c>
    </row>
    <row r="5" ht="22" customHeight="1">
      <c r="B5" s="13" t="inlineStr">
        <is>
          <t>Pair
Ref.</t>
        </is>
      </c>
      <c r="C5" s="13" t="inlineStr">
        <is>
          <t>Mentor Name
(Alumni)</t>
        </is>
      </c>
      <c r="D5" s="13" t="inlineStr">
        <is>
          <t>Batch</t>
        </is>
      </c>
      <c r="E5" s="13" t="inlineStr">
        <is>
          <t>Mentee Name
(Student)</t>
        </is>
      </c>
      <c r="F5" s="13" t="inlineStr">
        <is>
          <t>Programme
&amp; Year</t>
        </is>
      </c>
      <c r="G5" s="13" t="inlineStr">
        <is>
          <t>Domain
/ Area</t>
        </is>
      </c>
      <c r="H5" s="13" t="inlineStr">
        <is>
          <t>Sessions
Held</t>
        </is>
      </c>
      <c r="I5" s="13" t="inlineStr">
        <is>
          <t>Avg. Session
Duration (hrs)</t>
        </is>
      </c>
      <c r="J5" s="13" t="inlineStr">
        <is>
          <t>Mentee
Rating (/5)</t>
        </is>
      </c>
    </row>
    <row r="6" ht="22" customHeight="1">
      <c r="B6" s="14" t="inlineStr">
        <is>
          <t>PAIR/001</t>
        </is>
      </c>
      <c r="C6" s="15" t="inlineStr"/>
      <c r="D6" s="16" t="inlineStr"/>
      <c r="E6" s="15" t="inlineStr"/>
      <c r="F6" s="16" t="inlineStr"/>
      <c r="G6" s="16" t="inlineStr">
        <is>
          <t>Industry Readiness</t>
        </is>
      </c>
      <c r="H6" s="16" t="inlineStr"/>
      <c r="I6" s="16" t="inlineStr"/>
      <c r="J6" s="16" t="inlineStr"/>
    </row>
    <row r="7" ht="22" customHeight="1">
      <c r="B7" s="8" t="inlineStr">
        <is>
          <t>PAIR/002</t>
        </is>
      </c>
      <c r="C7" s="9" t="inlineStr"/>
      <c r="D7" s="10" t="inlineStr"/>
      <c r="E7" s="9" t="inlineStr"/>
      <c r="F7" s="10" t="inlineStr"/>
      <c r="G7" s="10" t="inlineStr">
        <is>
          <t>Technical Skills</t>
        </is>
      </c>
      <c r="H7" s="10" t="inlineStr"/>
      <c r="I7" s="10" t="inlineStr"/>
      <c r="J7" s="10" t="inlineStr"/>
    </row>
    <row r="8" ht="22" customHeight="1">
      <c r="B8" s="14" t="inlineStr">
        <is>
          <t>PAIR/003</t>
        </is>
      </c>
      <c r="C8" s="15" t="inlineStr"/>
      <c r="D8" s="16" t="inlineStr"/>
      <c r="E8" s="15" t="inlineStr"/>
      <c r="F8" s="16" t="inlineStr"/>
      <c r="G8" s="16" t="inlineStr">
        <is>
          <t>Higher Studies</t>
        </is>
      </c>
      <c r="H8" s="16" t="inlineStr"/>
      <c r="I8" s="16" t="inlineStr"/>
      <c r="J8" s="16" t="inlineStr"/>
    </row>
    <row r="9" ht="22" customHeight="1">
      <c r="B9" s="8" t="inlineStr">
        <is>
          <t>PAIR/004</t>
        </is>
      </c>
      <c r="C9" s="9" t="inlineStr"/>
      <c r="D9" s="10" t="inlineStr"/>
      <c r="E9" s="9" t="inlineStr"/>
      <c r="F9" s="10" t="inlineStr"/>
      <c r="G9" s="10" t="inlineStr">
        <is>
          <t>Entrepreneurship</t>
        </is>
      </c>
      <c r="H9" s="10" t="inlineStr"/>
      <c r="I9" s="10" t="inlineStr"/>
      <c r="J9" s="10" t="inlineStr"/>
    </row>
    <row r="10" ht="22" customHeight="1">
      <c r="B10" s="14" t="inlineStr">
        <is>
          <t>PAIR/005</t>
        </is>
      </c>
      <c r="C10" s="15" t="inlineStr"/>
      <c r="D10" s="16" t="inlineStr"/>
      <c r="E10" s="15" t="inlineStr"/>
      <c r="F10" s="16" t="inlineStr"/>
      <c r="G10" s="16" t="inlineStr">
        <is>
          <t>Communication</t>
        </is>
      </c>
      <c r="H10" s="16" t="inlineStr"/>
      <c r="I10" s="16" t="inlineStr"/>
      <c r="J10" s="16" t="inlineStr"/>
    </row>
    <row r="11" ht="22" customHeight="1">
      <c r="B11" s="8" t="inlineStr">
        <is>
          <t>PAIR/006</t>
        </is>
      </c>
      <c r="C11" s="9" t="inlineStr"/>
      <c r="D11" s="10" t="inlineStr"/>
      <c r="E11" s="9" t="inlineStr"/>
      <c r="F11" s="10" t="inlineStr"/>
      <c r="G11" s="10" t="inlineStr">
        <is>
          <t>Research Guidance</t>
        </is>
      </c>
      <c r="H11" s="10" t="inlineStr"/>
      <c r="I11" s="10" t="inlineStr"/>
      <c r="J11" s="10" t="inlineStr"/>
    </row>
    <row r="12" ht="22" customHeight="1">
      <c r="B12" s="14" t="inlineStr">
        <is>
          <t>PAIR/007</t>
        </is>
      </c>
      <c r="C12" s="15" t="inlineStr"/>
      <c r="D12" s="16" t="inlineStr"/>
      <c r="E12" s="15" t="inlineStr"/>
      <c r="F12" s="16" t="inlineStr"/>
      <c r="G12" s="16" t="inlineStr">
        <is>
          <t>Career Transition</t>
        </is>
      </c>
      <c r="H12" s="16" t="inlineStr"/>
      <c r="I12" s="16" t="inlineStr"/>
      <c r="J12" s="16" t="inlineStr"/>
    </row>
    <row r="13" ht="22" customHeight="1">
      <c r="B13" s="8" t="inlineStr">
        <is>
          <t>PAIR/008</t>
        </is>
      </c>
      <c r="C13" s="9" t="inlineStr"/>
      <c r="D13" s="10" t="inlineStr"/>
      <c r="E13" s="9" t="inlineStr"/>
      <c r="F13" s="10" t="inlineStr"/>
      <c r="G13" s="10" t="inlineStr">
        <is>
          <t>Leadership</t>
        </is>
      </c>
      <c r="H13" s="10" t="inlineStr"/>
      <c r="I13" s="10" t="inlineStr"/>
      <c r="J13" s="10" t="inlineStr"/>
    </row>
    <row r="14" ht="22" customHeight="1">
      <c r="B14" s="14" t="inlineStr">
        <is>
          <t>PAIR/009</t>
        </is>
      </c>
      <c r="C14" s="15" t="inlineStr"/>
      <c r="D14" s="16" t="inlineStr"/>
      <c r="E14" s="15" t="inlineStr"/>
      <c r="F14" s="16" t="inlineStr"/>
      <c r="G14" s="16" t="inlineStr">
        <is>
          <t>Finance &amp; Investment</t>
        </is>
      </c>
      <c r="H14" s="16" t="inlineStr"/>
      <c r="I14" s="16" t="inlineStr"/>
      <c r="J14" s="16" t="inlineStr"/>
    </row>
    <row r="15" ht="22" customHeight="1">
      <c r="B15" s="8" t="inlineStr">
        <is>
          <t>PAIR/010</t>
        </is>
      </c>
      <c r="C15" s="9" t="inlineStr"/>
      <c r="D15" s="10" t="inlineStr"/>
      <c r="E15" s="9" t="inlineStr"/>
      <c r="F15" s="10" t="inlineStr"/>
      <c r="G15" s="10" t="inlineStr">
        <is>
          <t>Work-Life Balance</t>
        </is>
      </c>
      <c r="H15" s="10" t="inlineStr"/>
      <c r="I15" s="10" t="inlineStr"/>
      <c r="J15" s="10" t="inlineStr"/>
    </row>
    <row r="16" ht="22" customHeight="1">
      <c r="B16" s="14" t="inlineStr">
        <is>
          <t>PAIR/011</t>
        </is>
      </c>
      <c r="C16" s="15" t="inlineStr"/>
      <c r="D16" s="16" t="inlineStr"/>
      <c r="E16" s="15" t="inlineStr"/>
      <c r="F16" s="16" t="inlineStr"/>
      <c r="G16" s="16" t="inlineStr">
        <is>
          <t>Industry Readiness</t>
        </is>
      </c>
      <c r="H16" s="16" t="inlineStr"/>
      <c r="I16" s="16" t="inlineStr"/>
      <c r="J16" s="16" t="inlineStr"/>
    </row>
    <row r="17" ht="22" customHeight="1">
      <c r="B17" s="8" t="inlineStr">
        <is>
          <t>PAIR/012</t>
        </is>
      </c>
      <c r="C17" s="9" t="inlineStr"/>
      <c r="D17" s="10" t="inlineStr"/>
      <c r="E17" s="9" t="inlineStr"/>
      <c r="F17" s="10" t="inlineStr"/>
      <c r="G17" s="10" t="inlineStr">
        <is>
          <t>Technical Skills</t>
        </is>
      </c>
      <c r="H17" s="10" t="inlineStr"/>
      <c r="I17" s="10" t="inlineStr"/>
      <c r="J17" s="10" t="inlineStr"/>
    </row>
    <row r="18" ht="22" customHeight="1">
      <c r="B18" s="14" t="inlineStr">
        <is>
          <t>PAIR/013</t>
        </is>
      </c>
      <c r="C18" s="15" t="inlineStr"/>
      <c r="D18" s="16" t="inlineStr"/>
      <c r="E18" s="15" t="inlineStr"/>
      <c r="F18" s="16" t="inlineStr"/>
      <c r="G18" s="16" t="inlineStr">
        <is>
          <t>Higher Studies</t>
        </is>
      </c>
      <c r="H18" s="16" t="inlineStr"/>
      <c r="I18" s="16" t="inlineStr"/>
      <c r="J18" s="16" t="inlineStr"/>
    </row>
    <row r="19" ht="22" customHeight="1">
      <c r="B19" s="8" t="inlineStr">
        <is>
          <t>PAIR/014</t>
        </is>
      </c>
      <c r="C19" s="9" t="inlineStr"/>
      <c r="D19" s="10" t="inlineStr"/>
      <c r="E19" s="9" t="inlineStr"/>
      <c r="F19" s="10" t="inlineStr"/>
      <c r="G19" s="10" t="inlineStr">
        <is>
          <t>Entrepreneurship</t>
        </is>
      </c>
      <c r="H19" s="10" t="inlineStr"/>
      <c r="I19" s="10" t="inlineStr"/>
      <c r="J19" s="10" t="inlineStr"/>
    </row>
    <row r="20" ht="22" customHeight="1">
      <c r="B20" s="14" t="inlineStr">
        <is>
          <t>PAIR/015</t>
        </is>
      </c>
      <c r="C20" s="15" t="inlineStr"/>
      <c r="D20" s="16" t="inlineStr"/>
      <c r="E20" s="15" t="inlineStr"/>
      <c r="F20" s="16" t="inlineStr"/>
      <c r="G20" s="16" t="inlineStr">
        <is>
          <t>Communication</t>
        </is>
      </c>
      <c r="H20" s="16" t="inlineStr"/>
      <c r="I20" s="16" t="inlineStr"/>
      <c r="J20" s="16" t="inlineStr"/>
    </row>
    <row r="21" ht="22" customHeight="1">
      <c r="B21" s="8" t="inlineStr">
        <is>
          <t>PAIR/016</t>
        </is>
      </c>
      <c r="C21" s="9" t="inlineStr"/>
      <c r="D21" s="10" t="inlineStr"/>
      <c r="E21" s="9" t="inlineStr"/>
      <c r="F21" s="10" t="inlineStr"/>
      <c r="G21" s="10" t="inlineStr">
        <is>
          <t>Research Guidance</t>
        </is>
      </c>
      <c r="H21" s="10" t="inlineStr"/>
      <c r="I21" s="10" t="inlineStr"/>
      <c r="J21" s="10" t="inlineStr"/>
    </row>
    <row r="22" ht="22" customHeight="1">
      <c r="B22" s="14" t="inlineStr">
        <is>
          <t>PAIR/017</t>
        </is>
      </c>
      <c r="C22" s="15" t="inlineStr"/>
      <c r="D22" s="16" t="inlineStr"/>
      <c r="E22" s="15" t="inlineStr"/>
      <c r="F22" s="16" t="inlineStr"/>
      <c r="G22" s="16" t="inlineStr">
        <is>
          <t>Career Transition</t>
        </is>
      </c>
      <c r="H22" s="16" t="inlineStr"/>
      <c r="I22" s="16" t="inlineStr"/>
      <c r="J22" s="16" t="inlineStr"/>
    </row>
    <row r="23" ht="22" customHeight="1">
      <c r="B23" s="8" t="inlineStr">
        <is>
          <t>PAIR/018</t>
        </is>
      </c>
      <c r="C23" s="9" t="inlineStr"/>
      <c r="D23" s="10" t="inlineStr"/>
      <c r="E23" s="9" t="inlineStr"/>
      <c r="F23" s="10" t="inlineStr"/>
      <c r="G23" s="10" t="inlineStr">
        <is>
          <t>Leadership</t>
        </is>
      </c>
      <c r="H23" s="10" t="inlineStr"/>
      <c r="I23" s="10" t="inlineStr"/>
      <c r="J23" s="10" t="inlineStr"/>
    </row>
    <row r="24" ht="22" customHeight="1">
      <c r="B24" s="14" t="inlineStr">
        <is>
          <t>PAIR/019</t>
        </is>
      </c>
      <c r="C24" s="15" t="inlineStr"/>
      <c r="D24" s="16" t="inlineStr"/>
      <c r="E24" s="15" t="inlineStr"/>
      <c r="F24" s="16" t="inlineStr"/>
      <c r="G24" s="16" t="inlineStr">
        <is>
          <t>Finance &amp; Investment</t>
        </is>
      </c>
      <c r="H24" s="16" t="inlineStr"/>
      <c r="I24" s="16" t="inlineStr"/>
      <c r="J24" s="16" t="inlineStr"/>
    </row>
    <row r="25" ht="22" customHeight="1">
      <c r="B25" s="8" t="inlineStr">
        <is>
          <t>PAIR/020</t>
        </is>
      </c>
      <c r="C25" s="9" t="inlineStr"/>
      <c r="D25" s="10" t="inlineStr"/>
      <c r="E25" s="9" t="inlineStr"/>
      <c r="F25" s="10" t="inlineStr"/>
      <c r="G25" s="10" t="inlineStr">
        <is>
          <t>Work-Life Balance</t>
        </is>
      </c>
      <c r="H25" s="10" t="inlineStr"/>
      <c r="I25" s="10" t="inlineStr"/>
      <c r="J25" s="10" t="inlineStr"/>
    </row>
    <row r="26" ht="22" customHeight="1"/>
    <row r="27" ht="24" customHeight="1">
      <c r="B27" s="34" t="inlineStr">
        <is>
          <t>MENTORSHIP SESSION LOG</t>
        </is>
      </c>
    </row>
    <row r="28" ht="22" customHeight="1">
      <c r="B28" s="30" t="inlineStr">
        <is>
          <t>Session
Ref.</t>
        </is>
      </c>
      <c r="C28" s="30" t="inlineStr">
        <is>
          <t>Mentor Name</t>
        </is>
      </c>
      <c r="D28" s="30" t="inlineStr">
        <is>
          <t>Mentee Name</t>
        </is>
      </c>
      <c r="E28" s="30" t="inlineStr">
        <is>
          <t>Date</t>
        </is>
      </c>
      <c r="F28" s="30" t="inlineStr">
        <is>
          <t>Duration
(hrs)</t>
        </is>
      </c>
      <c r="G28" s="30" t="inlineStr">
        <is>
          <t>Mode</t>
        </is>
      </c>
      <c r="H28" s="30" t="inlineStr">
        <is>
          <t>Topics Discussed</t>
        </is>
      </c>
      <c r="I28" s="30" t="inlineStr">
        <is>
          <t>Action Items</t>
        </is>
      </c>
      <c r="J28" s="30" t="inlineStr">
        <is>
          <t>Next Session</t>
        </is>
      </c>
    </row>
    <row r="29" ht="25" customHeight="1"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5" customHeight="1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 ht="25" customHeight="1"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5" customHeight="1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25" customHeight="1"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 ht="25" customHeight="1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 ht="25" customHeight="1"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</row>
    <row r="36" ht="25" customHeight="1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 ht="25" customHeight="1"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</row>
    <row r="38" ht="25" customHeight="1"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 ht="22" customHeight="1"/>
    <row r="40" ht="24" customHeight="1">
      <c r="B40" s="20" t="inlineStr">
        <is>
          <t>MENTORSHIP PROGRAMME SUMMARY</t>
        </is>
      </c>
    </row>
    <row r="41" ht="22" customHeight="1">
      <c r="B41" s="23" t="inlineStr">
        <is>
          <t>Total Mentor-Mentee Pairs</t>
        </is>
      </c>
      <c r="F41" s="36">
        <f>COUNTA(B6:B25)</f>
        <v/>
      </c>
    </row>
    <row r="42">
      <c r="B42" s="25" t="inlineStr">
        <is>
          <t>Unique Alumni Mentors</t>
        </is>
      </c>
      <c r="F42" s="37" t="inlineStr"/>
    </row>
    <row r="43">
      <c r="B43" s="23" t="inlineStr">
        <is>
          <t>Students Benefited</t>
        </is>
      </c>
      <c r="F43" s="36" t="inlineStr"/>
    </row>
    <row r="44">
      <c r="B44" s="25" t="inlineStr">
        <is>
          <t>Total Sessions Conducted</t>
        </is>
      </c>
      <c r="F44" s="37" t="inlineStr"/>
    </row>
    <row r="45">
      <c r="B45" s="23" t="inlineStr">
        <is>
          <t>Avg. Sessions per Pair</t>
        </is>
      </c>
      <c r="F45" s="36">
        <f>IFERROR(ROUND(H5/C40,1),"")</f>
        <v/>
      </c>
    </row>
    <row r="46">
      <c r="B46" s="25" t="inlineStr">
        <is>
          <t>Avg. Mentee Rating (/5)</t>
        </is>
      </c>
      <c r="F46" s="37">
        <f>IFERROR(ROUND(AVERAGE(J6:J25),2),"")</f>
        <v/>
      </c>
    </row>
  </sheetData>
  <mergeCells count="17">
    <mergeCell ref="B45:E45"/>
    <mergeCell ref="F44:J44"/>
    <mergeCell ref="B41:E41"/>
    <mergeCell ref="B3:J3"/>
    <mergeCell ref="F43:J43"/>
    <mergeCell ref="B43:E43"/>
    <mergeCell ref="B44:E44"/>
    <mergeCell ref="B40:J40"/>
    <mergeCell ref="B27:J27"/>
    <mergeCell ref="F42:J42"/>
    <mergeCell ref="F45:J45"/>
    <mergeCell ref="B4:J4"/>
    <mergeCell ref="F41:J41"/>
    <mergeCell ref="F46:J46"/>
    <mergeCell ref="B42:E42"/>
    <mergeCell ref="B46:E46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6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2" t="inlineStr">
        <is>
          <t>ACC-16: ALUMNI PLACEMENT REFERRAL &amp; RECRUITMENT REGISTER</t>
        </is>
      </c>
    </row>
    <row r="3" ht="25" customHeight="1">
      <c r="B3" s="2" t="inlineStr">
        <is>
          <t>A.Y.: _______  T&amp;P Officer: ___________________  Alumni Coordinator: ___________________</t>
        </is>
      </c>
    </row>
    <row r="4" ht="25" customHeight="1">
      <c r="B4" s="47" t="inlineStr">
        <is>
          <t>Ref.
No.</t>
        </is>
      </c>
      <c r="C4" s="47" t="inlineStr">
        <is>
          <t>Student Name</t>
        </is>
      </c>
      <c r="D4" s="47" t="inlineStr">
        <is>
          <t>Programme
&amp; Batch</t>
        </is>
      </c>
      <c r="E4" s="47" t="inlineStr">
        <is>
          <t>Company
(Alumni's Org.)</t>
        </is>
      </c>
      <c r="F4" s="47" t="inlineStr">
        <is>
          <t>Alumni
Referring</t>
        </is>
      </c>
      <c r="G4" s="47" t="inlineStr">
        <is>
          <t>Role / Position</t>
        </is>
      </c>
      <c r="H4" s="47" t="inlineStr">
        <is>
          <t>CTC
(₹L PA)</t>
        </is>
      </c>
      <c r="I4" s="47" t="inlineStr">
        <is>
          <t>Date of
Offer</t>
        </is>
      </c>
      <c r="J4" s="47" t="inlineStr">
        <is>
          <t>Status</t>
        </is>
      </c>
    </row>
    <row r="5" ht="22" customHeight="1">
      <c r="B5" s="48" t="inlineStr">
        <is>
          <t>PLR/2024/001</t>
        </is>
      </c>
      <c r="C5" s="49" t="inlineStr"/>
      <c r="D5" s="50" t="inlineStr"/>
      <c r="E5" s="49" t="inlineStr"/>
      <c r="F5" s="49" t="inlineStr"/>
      <c r="G5" s="49" t="inlineStr"/>
      <c r="H5" s="50" t="inlineStr"/>
      <c r="I5" s="50" t="inlineStr"/>
      <c r="J5" s="50" t="inlineStr">
        <is>
          <t>Offer Accepted</t>
        </is>
      </c>
    </row>
    <row r="6" ht="22" customHeight="1">
      <c r="B6" s="8" t="inlineStr">
        <is>
          <t>PLR/2024/002</t>
        </is>
      </c>
      <c r="C6" s="9" t="inlineStr"/>
      <c r="D6" s="10" t="inlineStr"/>
      <c r="E6" s="9" t="inlineStr"/>
      <c r="F6" s="9" t="inlineStr"/>
      <c r="G6" s="9" t="inlineStr"/>
      <c r="H6" s="10" t="inlineStr"/>
      <c r="I6" s="10" t="inlineStr"/>
      <c r="J6" s="10" t="inlineStr">
        <is>
          <t>Offer Declined</t>
        </is>
      </c>
    </row>
    <row r="7" ht="22" customHeight="1">
      <c r="B7" s="48" t="inlineStr">
        <is>
          <t>PLR/2024/003</t>
        </is>
      </c>
      <c r="C7" s="49" t="inlineStr"/>
      <c r="D7" s="50" t="inlineStr"/>
      <c r="E7" s="49" t="inlineStr"/>
      <c r="F7" s="49" t="inlineStr"/>
      <c r="G7" s="49" t="inlineStr"/>
      <c r="H7" s="50" t="inlineStr"/>
      <c r="I7" s="50" t="inlineStr"/>
      <c r="J7" s="50" t="inlineStr">
        <is>
          <t>Joining Pending</t>
        </is>
      </c>
    </row>
    <row r="8" ht="22" customHeight="1">
      <c r="B8" s="8" t="inlineStr">
        <is>
          <t>PLR/2024/004</t>
        </is>
      </c>
      <c r="C8" s="9" t="inlineStr"/>
      <c r="D8" s="10" t="inlineStr"/>
      <c r="E8" s="9" t="inlineStr"/>
      <c r="F8" s="9" t="inlineStr"/>
      <c r="G8" s="9" t="inlineStr"/>
      <c r="H8" s="10" t="inlineStr"/>
      <c r="I8" s="10" t="inlineStr"/>
      <c r="J8" s="10" t="inlineStr">
        <is>
          <t>Withdrawn</t>
        </is>
      </c>
    </row>
    <row r="9" ht="22" customHeight="1">
      <c r="B9" s="48" t="inlineStr">
        <is>
          <t>PLR/2024/005</t>
        </is>
      </c>
      <c r="C9" s="49" t="inlineStr"/>
      <c r="D9" s="50" t="inlineStr"/>
      <c r="E9" s="49" t="inlineStr"/>
      <c r="F9" s="49" t="inlineStr"/>
      <c r="G9" s="49" t="inlineStr"/>
      <c r="H9" s="50" t="inlineStr"/>
      <c r="I9" s="50" t="inlineStr"/>
      <c r="J9" s="50" t="inlineStr">
        <is>
          <t>Not Selected</t>
        </is>
      </c>
    </row>
    <row r="10" ht="22" customHeight="1">
      <c r="B10" s="8" t="inlineStr">
        <is>
          <t>PLR/2024/006</t>
        </is>
      </c>
      <c r="C10" s="9" t="inlineStr"/>
      <c r="D10" s="10" t="inlineStr"/>
      <c r="E10" s="9" t="inlineStr"/>
      <c r="F10" s="9" t="inlineStr"/>
      <c r="G10" s="9" t="inlineStr"/>
      <c r="H10" s="10" t="inlineStr"/>
      <c r="I10" s="10" t="inlineStr"/>
      <c r="J10" s="10" t="inlineStr">
        <is>
          <t>Under Process</t>
        </is>
      </c>
    </row>
    <row r="11" ht="22" customHeight="1">
      <c r="B11" s="48" t="inlineStr">
        <is>
          <t>PLR/2024/007</t>
        </is>
      </c>
      <c r="C11" s="49" t="inlineStr"/>
      <c r="D11" s="50" t="inlineStr"/>
      <c r="E11" s="49" t="inlineStr"/>
      <c r="F11" s="49" t="inlineStr"/>
      <c r="G11" s="49" t="inlineStr"/>
      <c r="H11" s="50" t="inlineStr"/>
      <c r="I11" s="50" t="inlineStr"/>
      <c r="J11" s="50" t="inlineStr">
        <is>
          <t>Offer Accepted</t>
        </is>
      </c>
    </row>
    <row r="12" ht="22" customHeight="1">
      <c r="B12" s="8" t="inlineStr">
        <is>
          <t>PLR/2024/008</t>
        </is>
      </c>
      <c r="C12" s="9" t="inlineStr"/>
      <c r="D12" s="10" t="inlineStr"/>
      <c r="E12" s="9" t="inlineStr"/>
      <c r="F12" s="9" t="inlineStr"/>
      <c r="G12" s="9" t="inlineStr"/>
      <c r="H12" s="10" t="inlineStr"/>
      <c r="I12" s="10" t="inlineStr"/>
      <c r="J12" s="10" t="inlineStr">
        <is>
          <t>Offer Declined</t>
        </is>
      </c>
    </row>
    <row r="13" ht="22" customHeight="1">
      <c r="B13" s="48" t="inlineStr">
        <is>
          <t>PLR/2024/009</t>
        </is>
      </c>
      <c r="C13" s="49" t="inlineStr"/>
      <c r="D13" s="50" t="inlineStr"/>
      <c r="E13" s="49" t="inlineStr"/>
      <c r="F13" s="49" t="inlineStr"/>
      <c r="G13" s="49" t="inlineStr"/>
      <c r="H13" s="50" t="inlineStr"/>
      <c r="I13" s="50" t="inlineStr"/>
      <c r="J13" s="50" t="inlineStr">
        <is>
          <t>Joining Pending</t>
        </is>
      </c>
    </row>
    <row r="14" ht="22" customHeight="1">
      <c r="B14" s="8" t="inlineStr">
        <is>
          <t>PLR/2024/010</t>
        </is>
      </c>
      <c r="C14" s="9" t="inlineStr"/>
      <c r="D14" s="10" t="inlineStr"/>
      <c r="E14" s="9" t="inlineStr"/>
      <c r="F14" s="9" t="inlineStr"/>
      <c r="G14" s="9" t="inlineStr"/>
      <c r="H14" s="10" t="inlineStr"/>
      <c r="I14" s="10" t="inlineStr"/>
      <c r="J14" s="10" t="inlineStr">
        <is>
          <t>Withdrawn</t>
        </is>
      </c>
    </row>
    <row r="15" ht="22" customHeight="1">
      <c r="B15" s="48" t="inlineStr">
        <is>
          <t>PLR/2024/011</t>
        </is>
      </c>
      <c r="C15" s="49" t="inlineStr"/>
      <c r="D15" s="50" t="inlineStr"/>
      <c r="E15" s="49" t="inlineStr"/>
      <c r="F15" s="49" t="inlineStr"/>
      <c r="G15" s="49" t="inlineStr"/>
      <c r="H15" s="50" t="inlineStr"/>
      <c r="I15" s="50" t="inlineStr"/>
      <c r="J15" s="50" t="inlineStr">
        <is>
          <t>Not Selected</t>
        </is>
      </c>
    </row>
    <row r="16" ht="22" customHeight="1">
      <c r="B16" s="8" t="inlineStr">
        <is>
          <t>PLR/2025/012</t>
        </is>
      </c>
      <c r="C16" s="9" t="inlineStr"/>
      <c r="D16" s="10" t="inlineStr"/>
      <c r="E16" s="9" t="inlineStr"/>
      <c r="F16" s="9" t="inlineStr"/>
      <c r="G16" s="9" t="inlineStr"/>
      <c r="H16" s="10" t="inlineStr"/>
      <c r="I16" s="10" t="inlineStr"/>
      <c r="J16" s="10" t="inlineStr">
        <is>
          <t>Under Process</t>
        </is>
      </c>
    </row>
    <row r="17" ht="22" customHeight="1">
      <c r="B17" s="48" t="inlineStr">
        <is>
          <t>PLR/2025/013</t>
        </is>
      </c>
      <c r="C17" s="49" t="inlineStr"/>
      <c r="D17" s="50" t="inlineStr"/>
      <c r="E17" s="49" t="inlineStr"/>
      <c r="F17" s="49" t="inlineStr"/>
      <c r="G17" s="49" t="inlineStr"/>
      <c r="H17" s="50" t="inlineStr"/>
      <c r="I17" s="50" t="inlineStr"/>
      <c r="J17" s="50" t="inlineStr">
        <is>
          <t>Offer Accepted</t>
        </is>
      </c>
    </row>
    <row r="18" ht="22" customHeight="1">
      <c r="B18" s="8" t="inlineStr">
        <is>
          <t>PLR/2025/014</t>
        </is>
      </c>
      <c r="C18" s="9" t="inlineStr"/>
      <c r="D18" s="10" t="inlineStr"/>
      <c r="E18" s="9" t="inlineStr"/>
      <c r="F18" s="9" t="inlineStr"/>
      <c r="G18" s="9" t="inlineStr"/>
      <c r="H18" s="10" t="inlineStr"/>
      <c r="I18" s="10" t="inlineStr"/>
      <c r="J18" s="10" t="inlineStr">
        <is>
          <t>Offer Declined</t>
        </is>
      </c>
    </row>
    <row r="19" ht="22" customHeight="1">
      <c r="B19" s="48" t="inlineStr">
        <is>
          <t>PLR/2025/015</t>
        </is>
      </c>
      <c r="C19" s="49" t="inlineStr"/>
      <c r="D19" s="50" t="inlineStr"/>
      <c r="E19" s="49" t="inlineStr"/>
      <c r="F19" s="49" t="inlineStr"/>
      <c r="G19" s="49" t="inlineStr"/>
      <c r="H19" s="50" t="inlineStr"/>
      <c r="I19" s="50" t="inlineStr"/>
      <c r="J19" s="50" t="inlineStr">
        <is>
          <t>Joining Pending</t>
        </is>
      </c>
    </row>
    <row r="20" ht="22" customHeight="1">
      <c r="B20" s="8" t="inlineStr">
        <is>
          <t>PLR/2025/016</t>
        </is>
      </c>
      <c r="C20" s="9" t="inlineStr"/>
      <c r="D20" s="10" t="inlineStr"/>
      <c r="E20" s="9" t="inlineStr"/>
      <c r="F20" s="9" t="inlineStr"/>
      <c r="G20" s="9" t="inlineStr"/>
      <c r="H20" s="10" t="inlineStr"/>
      <c r="I20" s="10" t="inlineStr"/>
      <c r="J20" s="10" t="inlineStr">
        <is>
          <t>Withdrawn</t>
        </is>
      </c>
    </row>
    <row r="21" ht="22" customHeight="1">
      <c r="B21" s="48" t="inlineStr">
        <is>
          <t>PLR/2025/017</t>
        </is>
      </c>
      <c r="C21" s="49" t="inlineStr"/>
      <c r="D21" s="50" t="inlineStr"/>
      <c r="E21" s="49" t="inlineStr"/>
      <c r="F21" s="49" t="inlineStr"/>
      <c r="G21" s="49" t="inlineStr"/>
      <c r="H21" s="50" t="inlineStr"/>
      <c r="I21" s="50" t="inlineStr"/>
      <c r="J21" s="50" t="inlineStr">
        <is>
          <t>Not Selected</t>
        </is>
      </c>
    </row>
    <row r="22" ht="22" customHeight="1">
      <c r="B22" s="8" t="inlineStr">
        <is>
          <t>PLR/2025/018</t>
        </is>
      </c>
      <c r="C22" s="9" t="inlineStr"/>
      <c r="D22" s="10" t="inlineStr"/>
      <c r="E22" s="9" t="inlineStr"/>
      <c r="F22" s="9" t="inlineStr"/>
      <c r="G22" s="9" t="inlineStr"/>
      <c r="H22" s="10" t="inlineStr"/>
      <c r="I22" s="10" t="inlineStr"/>
      <c r="J22" s="10" t="inlineStr">
        <is>
          <t>Under Process</t>
        </is>
      </c>
    </row>
    <row r="23" ht="22" customHeight="1">
      <c r="B23" s="48" t="inlineStr">
        <is>
          <t>PLR/2025/019</t>
        </is>
      </c>
      <c r="C23" s="49" t="inlineStr"/>
      <c r="D23" s="50" t="inlineStr"/>
      <c r="E23" s="49" t="inlineStr"/>
      <c r="F23" s="49" t="inlineStr"/>
      <c r="G23" s="49" t="inlineStr"/>
      <c r="H23" s="50" t="inlineStr"/>
      <c r="I23" s="50" t="inlineStr"/>
      <c r="J23" s="50" t="inlineStr">
        <is>
          <t>Offer Accepted</t>
        </is>
      </c>
    </row>
    <row r="24" ht="22" customHeight="1">
      <c r="B24" s="8" t="inlineStr">
        <is>
          <t>PLR/2025/020</t>
        </is>
      </c>
      <c r="C24" s="9" t="inlineStr"/>
      <c r="D24" s="10" t="inlineStr"/>
      <c r="E24" s="9" t="inlineStr"/>
      <c r="F24" s="9" t="inlineStr"/>
      <c r="G24" s="9" t="inlineStr"/>
      <c r="H24" s="10" t="inlineStr"/>
      <c r="I24" s="10" t="inlineStr"/>
      <c r="J24" s="10" t="inlineStr">
        <is>
          <t>Offer Declined</t>
        </is>
      </c>
    </row>
    <row r="25" ht="22" customHeight="1">
      <c r="B25" s="48" t="inlineStr">
        <is>
          <t>PLR/2025/021</t>
        </is>
      </c>
      <c r="C25" s="49" t="inlineStr"/>
      <c r="D25" s="50" t="inlineStr"/>
      <c r="E25" s="49" t="inlineStr"/>
      <c r="F25" s="49" t="inlineStr"/>
      <c r="G25" s="49" t="inlineStr"/>
      <c r="H25" s="50" t="inlineStr"/>
      <c r="I25" s="50" t="inlineStr"/>
      <c r="J25" s="50" t="inlineStr">
        <is>
          <t>Joining Pending</t>
        </is>
      </c>
    </row>
    <row r="26" ht="22" customHeight="1">
      <c r="B26" s="8" t="inlineStr">
        <is>
          <t>PLR/2025/022</t>
        </is>
      </c>
      <c r="C26" s="9" t="inlineStr"/>
      <c r="D26" s="10" t="inlineStr"/>
      <c r="E26" s="9" t="inlineStr"/>
      <c r="F26" s="9" t="inlineStr"/>
      <c r="G26" s="9" t="inlineStr"/>
      <c r="H26" s="10" t="inlineStr"/>
      <c r="I26" s="10" t="inlineStr"/>
      <c r="J26" s="10" t="inlineStr">
        <is>
          <t>Withdrawn</t>
        </is>
      </c>
    </row>
    <row r="27" ht="22" customHeight="1"/>
    <row r="28" ht="24" customHeight="1">
      <c r="B28" s="34" t="inlineStr">
        <is>
          <t>PLACEMENT VIA ALUMNI — SUMMARY</t>
        </is>
      </c>
    </row>
    <row r="29" ht="22" customHeight="1">
      <c r="B29" s="51" t="inlineStr">
        <is>
          <t>Total Referrals from Alumni</t>
        </is>
      </c>
      <c r="F29" s="52">
        <f>COUNTA(B5:B26)</f>
        <v/>
      </c>
    </row>
    <row r="30" ht="22" customHeight="1">
      <c r="B30" s="25" t="inlineStr">
        <is>
          <t>Offers Extended</t>
        </is>
      </c>
      <c r="F30" s="37" t="inlineStr"/>
    </row>
    <row r="31" ht="22" customHeight="1">
      <c r="B31" s="51" t="inlineStr">
        <is>
          <t>Offers Accepted</t>
        </is>
      </c>
      <c r="F31" s="52">
        <f>COUNTIF(J5:J26,"Offer Accepted")</f>
        <v/>
      </c>
    </row>
    <row r="32" ht="22" customHeight="1">
      <c r="B32" s="25" t="inlineStr">
        <is>
          <t>Total CTC Generated via Alumni (₹L)</t>
        </is>
      </c>
      <c r="F32" s="37">
        <f>IFERROR(SUM(H5:H26),"")</f>
        <v/>
      </c>
    </row>
    <row r="33" ht="22" customHeight="1">
      <c r="B33" s="51" t="inlineStr">
        <is>
          <t>Avg. CTC via Alumni Referral (₹L)</t>
        </is>
      </c>
      <c r="F33" s="52">
        <f>IFERROR(ROUND(AVERAGE(H5:H26),2),"")</f>
        <v/>
      </c>
    </row>
    <row r="34" ht="22" customHeight="1">
      <c r="B34" s="25" t="inlineStr">
        <is>
          <t>Placement Rate via Alumni (%)</t>
        </is>
      </c>
      <c r="F34" s="37">
        <f>IFERROR(ROUND(C31/C29*100,1),"")</f>
        <v/>
      </c>
    </row>
    <row r="35" ht="22" customHeight="1"/>
    <row r="36" ht="22" customHeight="1"/>
    <row r="37" ht="22" customHeight="1"/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ACC-20: ALUMNI DONATION &amp; CONTRIBUTION REGISTER (₹)</t>
        </is>
      </c>
    </row>
    <row r="3" ht="25" customHeight="1">
      <c r="B3" s="2" t="inlineStr">
        <is>
          <t>A.Y.: _______  Finance Officer: ___________________  All donations receipted and audited.</t>
        </is>
      </c>
    </row>
    <row r="4" ht="25" customHeight="1">
      <c r="B4" s="21" t="inlineStr">
        <is>
          <t>Donation
Ref.</t>
        </is>
      </c>
      <c r="C4" s="21" t="inlineStr">
        <is>
          <t>Donor Name
(Alumni)</t>
        </is>
      </c>
      <c r="D4" s="21" t="inlineStr">
        <is>
          <t>Batch</t>
        </is>
      </c>
      <c r="E4" s="21" t="inlineStr">
        <is>
          <t>Type of
Contribution</t>
        </is>
      </c>
      <c r="F4" s="21" t="inlineStr">
        <is>
          <t>Amount
(₹)</t>
        </is>
      </c>
      <c r="G4" s="21" t="inlineStr">
        <is>
          <t>Date
Received</t>
        </is>
      </c>
      <c r="H4" s="21" t="inlineStr">
        <is>
          <t>Receipt
No.</t>
        </is>
      </c>
      <c r="I4" s="21" t="inlineStr">
        <is>
          <t>Purpose /
Designation</t>
        </is>
      </c>
      <c r="J4" s="21" t="inlineStr">
        <is>
          <t>Status</t>
        </is>
      </c>
    </row>
    <row r="5" ht="22" customHeight="1">
      <c r="B5" s="42" t="inlineStr">
        <is>
          <t>DON/2024/001</t>
        </is>
      </c>
      <c r="C5" s="43" t="inlineStr"/>
      <c r="D5" s="22" t="inlineStr"/>
      <c r="E5" s="22" t="inlineStr">
        <is>
          <t>Cash Donation</t>
        </is>
      </c>
      <c r="F5" s="22" t="inlineStr"/>
      <c r="G5" s="22" t="inlineStr"/>
      <c r="H5" s="22" t="inlineStr"/>
      <c r="I5" s="43" t="inlineStr"/>
      <c r="J5" s="22" t="inlineStr">
        <is>
          <t>Received</t>
        </is>
      </c>
    </row>
    <row r="6" ht="22" customHeight="1">
      <c r="B6" s="8" t="inlineStr">
        <is>
          <t>DON/2024/002</t>
        </is>
      </c>
      <c r="C6" s="9" t="inlineStr"/>
      <c r="D6" s="10" t="inlineStr"/>
      <c r="E6" s="10" t="inlineStr">
        <is>
          <t>Equipment / Hardware</t>
        </is>
      </c>
      <c r="F6" s="10" t="inlineStr"/>
      <c r="G6" s="10" t="inlineStr"/>
      <c r="H6" s="10" t="inlineStr"/>
      <c r="I6" s="9" t="inlineStr"/>
      <c r="J6" s="10" t="inlineStr">
        <is>
          <t>Received</t>
        </is>
      </c>
    </row>
    <row r="7" ht="22" customHeight="1">
      <c r="B7" s="42" t="inlineStr">
        <is>
          <t>DON/2024/003</t>
        </is>
      </c>
      <c r="C7" s="43" t="inlineStr"/>
      <c r="D7" s="22" t="inlineStr"/>
      <c r="E7" s="22" t="inlineStr">
        <is>
          <t>Books / Library Resources</t>
        </is>
      </c>
      <c r="F7" s="22" t="inlineStr"/>
      <c r="G7" s="22" t="inlineStr"/>
      <c r="H7" s="22" t="inlineStr"/>
      <c r="I7" s="43" t="inlineStr"/>
      <c r="J7" s="22" t="inlineStr">
        <is>
          <t>Received</t>
        </is>
      </c>
    </row>
    <row r="8" ht="22" customHeight="1">
      <c r="B8" s="8" t="inlineStr">
        <is>
          <t>DON/2024/004</t>
        </is>
      </c>
      <c r="C8" s="9" t="inlineStr"/>
      <c r="D8" s="10" t="inlineStr"/>
      <c r="E8" s="10" t="inlineStr">
        <is>
          <t>Scholarship Endowment</t>
        </is>
      </c>
      <c r="F8" s="10" t="inlineStr"/>
      <c r="G8" s="10" t="inlineStr"/>
      <c r="H8" s="10" t="inlineStr"/>
      <c r="I8" s="9" t="inlineStr"/>
      <c r="J8" s="10" t="inlineStr">
        <is>
          <t>Received</t>
        </is>
      </c>
    </row>
    <row r="9" ht="22" customHeight="1">
      <c r="B9" s="42" t="inlineStr">
        <is>
          <t>DON/2024/005</t>
        </is>
      </c>
      <c r="C9" s="43" t="inlineStr"/>
      <c r="D9" s="22" t="inlineStr"/>
      <c r="E9" s="22" t="inlineStr">
        <is>
          <t>Lab Development</t>
        </is>
      </c>
      <c r="F9" s="22" t="inlineStr"/>
      <c r="G9" s="22" t="inlineStr"/>
      <c r="H9" s="22" t="inlineStr"/>
      <c r="I9" s="43" t="inlineStr"/>
      <c r="J9" s="22" t="inlineStr">
        <is>
          <t>Received</t>
        </is>
      </c>
    </row>
    <row r="10" ht="22" customHeight="1">
      <c r="B10" s="8" t="inlineStr">
        <is>
          <t>DON/2024/006</t>
        </is>
      </c>
      <c r="C10" s="9" t="inlineStr"/>
      <c r="D10" s="10" t="inlineStr"/>
      <c r="E10" s="10" t="inlineStr">
        <is>
          <t>Construction / Infrastructure</t>
        </is>
      </c>
      <c r="F10" s="10" t="inlineStr"/>
      <c r="G10" s="10" t="inlineStr"/>
      <c r="H10" s="10" t="inlineStr"/>
      <c r="I10" s="9" t="inlineStr"/>
      <c r="J10" s="10" t="inlineStr">
        <is>
          <t>Received</t>
        </is>
      </c>
    </row>
    <row r="11" ht="22" customHeight="1">
      <c r="B11" s="42" t="inlineStr">
        <is>
          <t>DON/2024/007</t>
        </is>
      </c>
      <c r="C11" s="43" t="inlineStr"/>
      <c r="D11" s="22" t="inlineStr"/>
      <c r="E11" s="22" t="inlineStr">
        <is>
          <t>Event Sponsorship</t>
        </is>
      </c>
      <c r="F11" s="22" t="inlineStr"/>
      <c r="G11" s="22" t="inlineStr"/>
      <c r="H11" s="22" t="inlineStr"/>
      <c r="I11" s="43" t="inlineStr"/>
      <c r="J11" s="22" t="inlineStr">
        <is>
          <t>Received</t>
        </is>
      </c>
    </row>
    <row r="12" ht="22" customHeight="1">
      <c r="B12" s="8" t="inlineStr">
        <is>
          <t>DON/2024/008</t>
        </is>
      </c>
      <c r="C12" s="9" t="inlineStr"/>
      <c r="D12" s="10" t="inlineStr"/>
      <c r="E12" s="10" t="inlineStr">
        <is>
          <t>Research Grant</t>
        </is>
      </c>
      <c r="F12" s="10" t="inlineStr"/>
      <c r="G12" s="10" t="inlineStr"/>
      <c r="H12" s="10" t="inlineStr"/>
      <c r="I12" s="9" t="inlineStr"/>
      <c r="J12" s="10" t="inlineStr">
        <is>
          <t>Received</t>
        </is>
      </c>
    </row>
    <row r="13" ht="22" customHeight="1">
      <c r="B13" s="42" t="inlineStr">
        <is>
          <t>DON/2024/009</t>
        </is>
      </c>
      <c r="C13" s="43" t="inlineStr"/>
      <c r="D13" s="22" t="inlineStr"/>
      <c r="E13" s="22" t="inlineStr">
        <is>
          <t>Software Licence</t>
        </is>
      </c>
      <c r="F13" s="22" t="inlineStr"/>
      <c r="G13" s="22" t="inlineStr"/>
      <c r="H13" s="22" t="inlineStr"/>
      <c r="I13" s="43" t="inlineStr"/>
      <c r="J13" s="22" t="inlineStr">
        <is>
          <t>Received</t>
        </is>
      </c>
    </row>
    <row r="14" ht="22" customHeight="1">
      <c r="B14" s="8" t="inlineStr">
        <is>
          <t>DON/2024/010</t>
        </is>
      </c>
      <c r="C14" s="9" t="inlineStr"/>
      <c r="D14" s="10" t="inlineStr"/>
      <c r="E14" s="10" t="inlineStr">
        <is>
          <t>Furniture / Furnishings</t>
        </is>
      </c>
      <c r="F14" s="10" t="inlineStr"/>
      <c r="G14" s="10" t="inlineStr"/>
      <c r="H14" s="10" t="inlineStr"/>
      <c r="I14" s="9" t="inlineStr"/>
      <c r="J14" s="10" t="inlineStr">
        <is>
          <t>Received</t>
        </is>
      </c>
    </row>
    <row r="15" ht="22" customHeight="1">
      <c r="B15" s="42" t="inlineStr">
        <is>
          <t>DON/2024/011</t>
        </is>
      </c>
      <c r="C15" s="43" t="inlineStr"/>
      <c r="D15" s="22" t="inlineStr"/>
      <c r="E15" s="22" t="inlineStr">
        <is>
          <t>Other In-kind</t>
        </is>
      </c>
      <c r="F15" s="22" t="inlineStr"/>
      <c r="G15" s="22" t="inlineStr"/>
      <c r="H15" s="22" t="inlineStr"/>
      <c r="I15" s="43" t="inlineStr"/>
      <c r="J15" s="22" t="inlineStr">
        <is>
          <t>Received</t>
        </is>
      </c>
    </row>
    <row r="16" ht="22" customHeight="1">
      <c r="B16" s="8" t="inlineStr">
        <is>
          <t>DON/2025/012</t>
        </is>
      </c>
      <c r="C16" s="9" t="inlineStr"/>
      <c r="D16" s="10" t="inlineStr"/>
      <c r="E16" s="10" t="inlineStr">
        <is>
          <t>Cash Donation</t>
        </is>
      </c>
      <c r="F16" s="10" t="inlineStr"/>
      <c r="G16" s="10" t="inlineStr"/>
      <c r="H16" s="10" t="inlineStr"/>
      <c r="I16" s="9" t="inlineStr"/>
      <c r="J16" s="10" t="inlineStr">
        <is>
          <t>Received</t>
        </is>
      </c>
    </row>
    <row r="17" ht="22" customHeight="1">
      <c r="B17" s="42" t="inlineStr">
        <is>
          <t>DON/2025/013</t>
        </is>
      </c>
      <c r="C17" s="43" t="inlineStr"/>
      <c r="D17" s="22" t="inlineStr"/>
      <c r="E17" s="22" t="inlineStr">
        <is>
          <t>Equipment / Hardware</t>
        </is>
      </c>
      <c r="F17" s="22" t="inlineStr"/>
      <c r="G17" s="22" t="inlineStr"/>
      <c r="H17" s="22" t="inlineStr"/>
      <c r="I17" s="43" t="inlineStr"/>
      <c r="J17" s="22" t="inlineStr">
        <is>
          <t>Received</t>
        </is>
      </c>
    </row>
    <row r="18" ht="22" customHeight="1">
      <c r="B18" s="8" t="inlineStr">
        <is>
          <t>DON/2025/014</t>
        </is>
      </c>
      <c r="C18" s="9" t="inlineStr"/>
      <c r="D18" s="10" t="inlineStr"/>
      <c r="E18" s="10" t="inlineStr">
        <is>
          <t>Books / Library Resources</t>
        </is>
      </c>
      <c r="F18" s="10" t="inlineStr"/>
      <c r="G18" s="10" t="inlineStr"/>
      <c r="H18" s="10" t="inlineStr"/>
      <c r="I18" s="9" t="inlineStr"/>
      <c r="J18" s="10" t="inlineStr">
        <is>
          <t>Received</t>
        </is>
      </c>
    </row>
    <row r="19" ht="22" customHeight="1">
      <c r="B19" s="42" t="inlineStr">
        <is>
          <t>DON/2025/015</t>
        </is>
      </c>
      <c r="C19" s="43" t="inlineStr"/>
      <c r="D19" s="22" t="inlineStr"/>
      <c r="E19" s="22" t="inlineStr">
        <is>
          <t>Scholarship Endowment</t>
        </is>
      </c>
      <c r="F19" s="22" t="inlineStr"/>
      <c r="G19" s="22" t="inlineStr"/>
      <c r="H19" s="22" t="inlineStr"/>
      <c r="I19" s="43" t="inlineStr"/>
      <c r="J19" s="22" t="inlineStr">
        <is>
          <t>Received</t>
        </is>
      </c>
    </row>
    <row r="20" ht="22" customHeight="1">
      <c r="B20" s="8" t="inlineStr">
        <is>
          <t>DON/2025/016</t>
        </is>
      </c>
      <c r="C20" s="9" t="inlineStr"/>
      <c r="D20" s="10" t="inlineStr"/>
      <c r="E20" s="10" t="inlineStr">
        <is>
          <t>Lab Development</t>
        </is>
      </c>
      <c r="F20" s="10" t="inlineStr"/>
      <c r="G20" s="10" t="inlineStr"/>
      <c r="H20" s="10" t="inlineStr"/>
      <c r="I20" s="9" t="inlineStr"/>
      <c r="J20" s="10" t="inlineStr">
        <is>
          <t>Received</t>
        </is>
      </c>
    </row>
    <row r="21" ht="22" customHeight="1">
      <c r="B21" s="42" t="inlineStr">
        <is>
          <t>DON/2025/017</t>
        </is>
      </c>
      <c r="C21" s="43" t="inlineStr"/>
      <c r="D21" s="22" t="inlineStr"/>
      <c r="E21" s="22" t="inlineStr">
        <is>
          <t>Construction / Infrastructure</t>
        </is>
      </c>
      <c r="F21" s="22" t="inlineStr"/>
      <c r="G21" s="22" t="inlineStr"/>
      <c r="H21" s="22" t="inlineStr"/>
      <c r="I21" s="43" t="inlineStr"/>
      <c r="J21" s="22" t="inlineStr">
        <is>
          <t>Received</t>
        </is>
      </c>
    </row>
    <row r="22" ht="22" customHeight="1">
      <c r="B22" s="8" t="inlineStr">
        <is>
          <t>DON/2025/018</t>
        </is>
      </c>
      <c r="C22" s="9" t="inlineStr"/>
      <c r="D22" s="10" t="inlineStr"/>
      <c r="E22" s="10" t="inlineStr">
        <is>
          <t>Event Sponsorship</t>
        </is>
      </c>
      <c r="F22" s="10" t="inlineStr"/>
      <c r="G22" s="10" t="inlineStr"/>
      <c r="H22" s="10" t="inlineStr"/>
      <c r="I22" s="9" t="inlineStr"/>
      <c r="J22" s="10" t="inlineStr">
        <is>
          <t>Received</t>
        </is>
      </c>
    </row>
    <row r="23" ht="22" customHeight="1">
      <c r="B23" s="42" t="inlineStr">
        <is>
          <t>DON/2025/019</t>
        </is>
      </c>
      <c r="C23" s="43" t="inlineStr"/>
      <c r="D23" s="22" t="inlineStr"/>
      <c r="E23" s="22" t="inlineStr">
        <is>
          <t>Research Grant</t>
        </is>
      </c>
      <c r="F23" s="22" t="inlineStr"/>
      <c r="G23" s="22" t="inlineStr"/>
      <c r="H23" s="22" t="inlineStr"/>
      <c r="I23" s="43" t="inlineStr"/>
      <c r="J23" s="22" t="inlineStr">
        <is>
          <t>Received</t>
        </is>
      </c>
    </row>
    <row r="24" ht="22" customHeight="1">
      <c r="B24" s="8" t="inlineStr">
        <is>
          <t>DON/2025/020</t>
        </is>
      </c>
      <c r="C24" s="9" t="inlineStr"/>
      <c r="D24" s="10" t="inlineStr"/>
      <c r="E24" s="10" t="inlineStr">
        <is>
          <t>Software Licence</t>
        </is>
      </c>
      <c r="F24" s="10" t="inlineStr"/>
      <c r="G24" s="10" t="inlineStr"/>
      <c r="H24" s="10" t="inlineStr"/>
      <c r="I24" s="9" t="inlineStr"/>
      <c r="J24" s="10" t="inlineStr">
        <is>
          <t>Received</t>
        </is>
      </c>
    </row>
    <row r="25" ht="22" customHeight="1">
      <c r="B25" s="42" t="inlineStr">
        <is>
          <t>DON/2025/021</t>
        </is>
      </c>
      <c r="C25" s="43" t="inlineStr"/>
      <c r="D25" s="22" t="inlineStr"/>
      <c r="E25" s="22" t="inlineStr">
        <is>
          <t>Furniture / Furnishings</t>
        </is>
      </c>
      <c r="F25" s="22" t="inlineStr"/>
      <c r="G25" s="22" t="inlineStr"/>
      <c r="H25" s="22" t="inlineStr"/>
      <c r="I25" s="43" t="inlineStr"/>
      <c r="J25" s="22" t="inlineStr">
        <is>
          <t>Received</t>
        </is>
      </c>
    </row>
    <row r="26" ht="22" customHeight="1">
      <c r="B26" s="8" t="inlineStr">
        <is>
          <t>DON/2025/022</t>
        </is>
      </c>
      <c r="C26" s="9" t="inlineStr"/>
      <c r="D26" s="10" t="inlineStr"/>
      <c r="E26" s="10" t="inlineStr">
        <is>
          <t>Other In-kind</t>
        </is>
      </c>
      <c r="F26" s="10" t="inlineStr"/>
      <c r="G26" s="10" t="inlineStr"/>
      <c r="H26" s="10" t="inlineStr"/>
      <c r="I26" s="9" t="inlineStr"/>
      <c r="J26" s="10" t="inlineStr">
        <is>
          <t>Received</t>
        </is>
      </c>
    </row>
    <row r="27" ht="22" customHeight="1"/>
    <row r="28" ht="22" customHeight="1">
      <c r="B28" s="53" t="inlineStr">
        <is>
          <t>TOTAL DONATIONS</t>
        </is>
      </c>
      <c r="C28" s="54" t="n"/>
      <c r="D28" s="54" t="n"/>
      <c r="E28" s="54" t="n"/>
      <c r="F28" s="55">
        <f>IFERROR(SUM(F5:F26),"")</f>
        <v/>
      </c>
      <c r="G28" s="44" t="n"/>
      <c r="H28" s="44" t="n"/>
      <c r="I28" s="44" t="n"/>
      <c r="J28" s="44" t="n"/>
    </row>
    <row r="29" ht="22" customHeight="1"/>
    <row r="30" ht="24" customHeight="1">
      <c r="B30" s="34" t="inlineStr">
        <is>
          <t>DONATION CATEGORY SUMMARY</t>
        </is>
      </c>
    </row>
    <row r="31" ht="22" customHeight="1">
      <c r="B31" s="30" t="inlineStr">
        <is>
          <t>Donation Type</t>
        </is>
      </c>
      <c r="C31" s="30" t="inlineStr">
        <is>
          <t>No. of Donors</t>
        </is>
      </c>
      <c r="D31" s="30" t="inlineStr">
        <is>
          <t>Total Amount
(₹)</t>
        </is>
      </c>
      <c r="E31" s="30" t="inlineStr">
        <is>
          <t>% of Total
Donations</t>
        </is>
      </c>
      <c r="F31" s="30" t="inlineStr">
        <is>
          <t>Largest Single
Donation (₹)</t>
        </is>
      </c>
      <c r="G31" s="30" t="inlineStr">
        <is>
          <t>Purpose
/ Impact</t>
        </is>
      </c>
    </row>
    <row r="32" ht="22" customHeight="1">
      <c r="B32" s="32" t="inlineStr">
        <is>
          <t>Cash Donations</t>
        </is>
      </c>
      <c r="C32" s="33" t="inlineStr"/>
      <c r="D32" s="33" t="inlineStr"/>
      <c r="E32" s="33" t="inlineStr"/>
      <c r="F32" s="33" t="inlineStr"/>
      <c r="G32" s="32" t="inlineStr"/>
      <c r="H32" s="46" t="n"/>
      <c r="I32" s="46" t="n"/>
      <c r="J32" s="46" t="n"/>
    </row>
    <row r="33" ht="22" customHeight="1">
      <c r="B33" s="9" t="inlineStr">
        <is>
          <t>Equipment &amp; Hardware</t>
        </is>
      </c>
      <c r="C33" s="10" t="inlineStr"/>
      <c r="D33" s="10" t="inlineStr"/>
      <c r="E33" s="10" t="inlineStr"/>
      <c r="F33" s="10" t="inlineStr"/>
      <c r="G33" s="9" t="inlineStr"/>
      <c r="H33" s="45" t="n"/>
      <c r="I33" s="45" t="n"/>
      <c r="J33" s="45" t="n"/>
    </row>
    <row r="34" ht="22" customHeight="1">
      <c r="B34" s="32" t="inlineStr">
        <is>
          <t>Scholarships &amp; Endowments</t>
        </is>
      </c>
      <c r="C34" s="33" t="inlineStr"/>
      <c r="D34" s="33" t="inlineStr"/>
      <c r="E34" s="33" t="inlineStr"/>
      <c r="F34" s="33" t="inlineStr"/>
      <c r="G34" s="32" t="inlineStr"/>
      <c r="H34" s="46" t="n"/>
      <c r="I34" s="46" t="n"/>
      <c r="J34" s="46" t="n"/>
    </row>
    <row r="35" ht="22" customHeight="1">
      <c r="B35" s="9" t="inlineStr">
        <is>
          <t>Infrastructure</t>
        </is>
      </c>
      <c r="C35" s="10" t="inlineStr"/>
      <c r="D35" s="10" t="inlineStr"/>
      <c r="E35" s="10" t="inlineStr"/>
      <c r="F35" s="10" t="inlineStr"/>
      <c r="G35" s="9" t="inlineStr"/>
      <c r="H35" s="45" t="n"/>
      <c r="I35" s="45" t="n"/>
      <c r="J35" s="45" t="n"/>
    </row>
    <row r="36" ht="22" customHeight="1">
      <c r="B36" s="32" t="inlineStr">
        <is>
          <t>Research &amp; Academic</t>
        </is>
      </c>
      <c r="C36" s="33" t="inlineStr"/>
      <c r="D36" s="33" t="inlineStr"/>
      <c r="E36" s="33" t="inlineStr"/>
      <c r="F36" s="33" t="inlineStr"/>
      <c r="G36" s="32" t="inlineStr"/>
      <c r="H36" s="46" t="n"/>
      <c r="I36" s="46" t="n"/>
      <c r="J36" s="46" t="n"/>
    </row>
    <row r="37" ht="22" customHeight="1">
      <c r="B37" s="9" t="inlineStr">
        <is>
          <t>Event Sponsorships</t>
        </is>
      </c>
      <c r="C37" s="10" t="inlineStr"/>
      <c r="D37" s="10" t="inlineStr"/>
      <c r="E37" s="10" t="inlineStr"/>
      <c r="F37" s="10" t="inlineStr"/>
      <c r="G37" s="9" t="inlineStr"/>
      <c r="H37" s="45" t="n"/>
      <c r="I37" s="45" t="n"/>
      <c r="J37" s="45" t="n"/>
    </row>
    <row r="38">
      <c r="B38" s="23" t="inlineStr">
        <is>
          <t>GRAND TOTAL</t>
        </is>
      </c>
      <c r="C38" s="42" t="inlineStr"/>
      <c r="D38" s="42" t="inlineStr"/>
      <c r="E38" s="42" t="inlineStr"/>
      <c r="F38" s="42" t="inlineStr"/>
      <c r="G38" s="23" t="inlineStr"/>
      <c r="H38" s="44" t="n"/>
      <c r="I38" s="44" t="n"/>
      <c r="J38" s="44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ACC-22: ALUMNI SCHOLARSHIP REGISTER</t>
        </is>
      </c>
    </row>
    <row r="3" ht="25" customHeight="1">
      <c r="B3" s="2" t="inlineStr">
        <is>
          <t>A.Y.: _______  Alumni Scholarship Coordinator: ___________________  Finance Officer: ___________________</t>
        </is>
      </c>
    </row>
    <row r="4" ht="25" customHeight="1">
      <c r="B4" s="21" t="inlineStr">
        <is>
          <t>Scholarship
Ref.</t>
        </is>
      </c>
      <c r="C4" s="21" t="inlineStr">
        <is>
          <t>Scholarship Name</t>
        </is>
      </c>
      <c r="D4" s="21" t="inlineStr">
        <is>
          <t>Funded by
(Alumnus/a Name)</t>
        </is>
      </c>
      <c r="E4" s="21" t="inlineStr">
        <is>
          <t>Batch</t>
        </is>
      </c>
      <c r="F4" s="21" t="inlineStr">
        <is>
          <t>Amount
(₹ / year)</t>
        </is>
      </c>
      <c r="G4" s="21" t="inlineStr">
        <is>
          <t>Eligibility
Criteria</t>
        </is>
      </c>
      <c r="H4" s="21" t="inlineStr">
        <is>
          <t>No. of
Beneficiaries</t>
        </is>
      </c>
      <c r="I4" s="21" t="inlineStr">
        <is>
          <t>A.Y. Active</t>
        </is>
      </c>
      <c r="J4" s="21" t="inlineStr">
        <is>
          <t>Status</t>
        </is>
      </c>
    </row>
    <row r="5" ht="22" customHeight="1">
      <c r="B5" s="42" t="inlineStr">
        <is>
          <t>SCHOL/001</t>
        </is>
      </c>
      <c r="C5" s="43" t="inlineStr"/>
      <c r="D5" s="43" t="inlineStr"/>
      <c r="E5" s="22" t="inlineStr"/>
      <c r="F5" s="22" t="inlineStr"/>
      <c r="G5" s="43" t="inlineStr"/>
      <c r="H5" s="22" t="inlineStr"/>
      <c r="I5" s="22" t="inlineStr"/>
      <c r="J5" s="22" t="inlineStr">
        <is>
          <t>Active</t>
        </is>
      </c>
    </row>
    <row r="6" ht="22" customHeight="1">
      <c r="B6" s="8" t="inlineStr">
        <is>
          <t>SCHOL/002</t>
        </is>
      </c>
      <c r="C6" s="9" t="inlineStr"/>
      <c r="D6" s="9" t="inlineStr"/>
      <c r="E6" s="10" t="inlineStr"/>
      <c r="F6" s="10" t="inlineStr"/>
      <c r="G6" s="9" t="inlineStr"/>
      <c r="H6" s="10" t="inlineStr"/>
      <c r="I6" s="10" t="inlineStr"/>
      <c r="J6" s="10" t="inlineStr">
        <is>
          <t>Active</t>
        </is>
      </c>
    </row>
    <row r="7" ht="22" customHeight="1">
      <c r="B7" s="42" t="inlineStr">
        <is>
          <t>SCHOL/003</t>
        </is>
      </c>
      <c r="C7" s="43" t="inlineStr"/>
      <c r="D7" s="43" t="inlineStr"/>
      <c r="E7" s="22" t="inlineStr"/>
      <c r="F7" s="22" t="inlineStr"/>
      <c r="G7" s="43" t="inlineStr"/>
      <c r="H7" s="22" t="inlineStr"/>
      <c r="I7" s="22" t="inlineStr"/>
      <c r="J7" s="22" t="inlineStr">
        <is>
          <t>Active</t>
        </is>
      </c>
    </row>
    <row r="8" ht="22" customHeight="1">
      <c r="B8" s="8" t="inlineStr">
        <is>
          <t>SCHOL/004</t>
        </is>
      </c>
      <c r="C8" s="9" t="inlineStr"/>
      <c r="D8" s="9" t="inlineStr"/>
      <c r="E8" s="10" t="inlineStr"/>
      <c r="F8" s="10" t="inlineStr"/>
      <c r="G8" s="9" t="inlineStr"/>
      <c r="H8" s="10" t="inlineStr"/>
      <c r="I8" s="10" t="inlineStr"/>
      <c r="J8" s="10" t="inlineStr">
        <is>
          <t>Active</t>
        </is>
      </c>
    </row>
    <row r="9" ht="22" customHeight="1">
      <c r="B9" s="42" t="inlineStr">
        <is>
          <t>SCHOL/005</t>
        </is>
      </c>
      <c r="C9" s="43" t="inlineStr"/>
      <c r="D9" s="43" t="inlineStr"/>
      <c r="E9" s="22" t="inlineStr"/>
      <c r="F9" s="22" t="inlineStr"/>
      <c r="G9" s="43" t="inlineStr"/>
      <c r="H9" s="22" t="inlineStr"/>
      <c r="I9" s="22" t="inlineStr"/>
      <c r="J9" s="22" t="inlineStr">
        <is>
          <t>Active</t>
        </is>
      </c>
    </row>
    <row r="10" ht="22" customHeight="1">
      <c r="B10" s="8" t="inlineStr">
        <is>
          <t>SCHOL/006</t>
        </is>
      </c>
      <c r="C10" s="9" t="inlineStr"/>
      <c r="D10" s="9" t="inlineStr"/>
      <c r="E10" s="10" t="inlineStr"/>
      <c r="F10" s="10" t="inlineStr"/>
      <c r="G10" s="9" t="inlineStr"/>
      <c r="H10" s="10" t="inlineStr"/>
      <c r="I10" s="10" t="inlineStr"/>
      <c r="J10" s="10" t="inlineStr">
        <is>
          <t>Active</t>
        </is>
      </c>
    </row>
    <row r="11" ht="22" customHeight="1">
      <c r="B11" s="42" t="inlineStr">
        <is>
          <t>SCHOL/007</t>
        </is>
      </c>
      <c r="C11" s="43" t="inlineStr"/>
      <c r="D11" s="43" t="inlineStr"/>
      <c r="E11" s="22" t="inlineStr"/>
      <c r="F11" s="22" t="inlineStr"/>
      <c r="G11" s="43" t="inlineStr"/>
      <c r="H11" s="22" t="inlineStr"/>
      <c r="I11" s="22" t="inlineStr"/>
      <c r="J11" s="22" t="inlineStr">
        <is>
          <t>Active</t>
        </is>
      </c>
    </row>
    <row r="12" ht="22" customHeight="1">
      <c r="B12" s="8" t="inlineStr">
        <is>
          <t>SCHOL/008</t>
        </is>
      </c>
      <c r="C12" s="9" t="inlineStr"/>
      <c r="D12" s="9" t="inlineStr"/>
      <c r="E12" s="10" t="inlineStr"/>
      <c r="F12" s="10" t="inlineStr"/>
      <c r="G12" s="9" t="inlineStr"/>
      <c r="H12" s="10" t="inlineStr"/>
      <c r="I12" s="10" t="inlineStr"/>
      <c r="J12" s="10" t="inlineStr">
        <is>
          <t>Active</t>
        </is>
      </c>
    </row>
    <row r="13" ht="22" customHeight="1">
      <c r="B13" s="42" t="inlineStr">
        <is>
          <t>SCHOL/009</t>
        </is>
      </c>
      <c r="C13" s="43" t="inlineStr"/>
      <c r="D13" s="43" t="inlineStr"/>
      <c r="E13" s="22" t="inlineStr"/>
      <c r="F13" s="22" t="inlineStr"/>
      <c r="G13" s="43" t="inlineStr"/>
      <c r="H13" s="22" t="inlineStr"/>
      <c r="I13" s="22" t="inlineStr"/>
      <c r="J13" s="22" t="inlineStr">
        <is>
          <t>Active</t>
        </is>
      </c>
    </row>
    <row r="14" ht="22" customHeight="1">
      <c r="B14" s="8" t="inlineStr">
        <is>
          <t>SCHOL/010</t>
        </is>
      </c>
      <c r="C14" s="9" t="inlineStr"/>
      <c r="D14" s="9" t="inlineStr"/>
      <c r="E14" s="10" t="inlineStr"/>
      <c r="F14" s="10" t="inlineStr"/>
      <c r="G14" s="9" t="inlineStr"/>
      <c r="H14" s="10" t="inlineStr"/>
      <c r="I14" s="10" t="inlineStr"/>
      <c r="J14" s="10" t="inlineStr">
        <is>
          <t>Active</t>
        </is>
      </c>
    </row>
    <row r="15" ht="22" customHeight="1">
      <c r="B15" s="42" t="inlineStr">
        <is>
          <t>SCHOL/011</t>
        </is>
      </c>
      <c r="C15" s="43" t="inlineStr"/>
      <c r="D15" s="43" t="inlineStr"/>
      <c r="E15" s="22" t="inlineStr"/>
      <c r="F15" s="22" t="inlineStr"/>
      <c r="G15" s="43" t="inlineStr"/>
      <c r="H15" s="22" t="inlineStr"/>
      <c r="I15" s="22" t="inlineStr"/>
      <c r="J15" s="22" t="inlineStr">
        <is>
          <t>Active</t>
        </is>
      </c>
    </row>
    <row r="16" ht="22" customHeight="1">
      <c r="B16" s="8" t="inlineStr">
        <is>
          <t>SCHOL/012</t>
        </is>
      </c>
      <c r="C16" s="9" t="inlineStr"/>
      <c r="D16" s="9" t="inlineStr"/>
      <c r="E16" s="10" t="inlineStr"/>
      <c r="F16" s="10" t="inlineStr"/>
      <c r="G16" s="9" t="inlineStr"/>
      <c r="H16" s="10" t="inlineStr"/>
      <c r="I16" s="10" t="inlineStr"/>
      <c r="J16" s="10" t="inlineStr">
        <is>
          <t>Active</t>
        </is>
      </c>
    </row>
    <row r="17" ht="22" customHeight="1">
      <c r="B17" s="42" t="inlineStr">
        <is>
          <t>SCHOL/013</t>
        </is>
      </c>
      <c r="C17" s="43" t="inlineStr"/>
      <c r="D17" s="43" t="inlineStr"/>
      <c r="E17" s="22" t="inlineStr"/>
      <c r="F17" s="22" t="inlineStr"/>
      <c r="G17" s="43" t="inlineStr"/>
      <c r="H17" s="22" t="inlineStr"/>
      <c r="I17" s="22" t="inlineStr"/>
      <c r="J17" s="22" t="inlineStr">
        <is>
          <t>Active</t>
        </is>
      </c>
    </row>
    <row r="18" ht="22" customHeight="1">
      <c r="B18" s="8" t="inlineStr">
        <is>
          <t>SCHOL/014</t>
        </is>
      </c>
      <c r="C18" s="9" t="inlineStr"/>
      <c r="D18" s="9" t="inlineStr"/>
      <c r="E18" s="10" t="inlineStr"/>
      <c r="F18" s="10" t="inlineStr"/>
      <c r="G18" s="9" t="inlineStr"/>
      <c r="H18" s="10" t="inlineStr"/>
      <c r="I18" s="10" t="inlineStr"/>
      <c r="J18" s="10" t="inlineStr">
        <is>
          <t>Active</t>
        </is>
      </c>
    </row>
    <row r="19" ht="22" customHeight="1">
      <c r="B19" s="42" t="inlineStr">
        <is>
          <t>SCHOL/015</t>
        </is>
      </c>
      <c r="C19" s="43" t="inlineStr"/>
      <c r="D19" s="43" t="inlineStr"/>
      <c r="E19" s="22" t="inlineStr"/>
      <c r="F19" s="22" t="inlineStr"/>
      <c r="G19" s="43" t="inlineStr"/>
      <c r="H19" s="22" t="inlineStr"/>
      <c r="I19" s="22" t="inlineStr"/>
      <c r="J19" s="22" t="inlineStr">
        <is>
          <t>Active</t>
        </is>
      </c>
    </row>
    <row r="20" ht="22" customHeight="1">
      <c r="B20" s="8" t="inlineStr">
        <is>
          <t>SCHOL/016</t>
        </is>
      </c>
      <c r="C20" s="9" t="inlineStr"/>
      <c r="D20" s="9" t="inlineStr"/>
      <c r="E20" s="10" t="inlineStr"/>
      <c r="F20" s="10" t="inlineStr"/>
      <c r="G20" s="9" t="inlineStr"/>
      <c r="H20" s="10" t="inlineStr"/>
      <c r="I20" s="10" t="inlineStr"/>
      <c r="J20" s="10" t="inlineStr">
        <is>
          <t>Active</t>
        </is>
      </c>
    </row>
    <row r="21" ht="22" customHeight="1"/>
    <row r="22" ht="24" customHeight="1">
      <c r="B22" s="34" t="inlineStr">
        <is>
          <t>SCHOLARSHIP BENEFICIARY REGISTER</t>
        </is>
      </c>
    </row>
    <row r="23" ht="22" customHeight="1">
      <c r="B23" s="30" t="inlineStr">
        <is>
          <t>Beneficiary
Ref.</t>
        </is>
      </c>
      <c r="C23" s="30" t="inlineStr">
        <is>
          <t>Student Name</t>
        </is>
      </c>
      <c r="D23" s="30" t="inlineStr">
        <is>
          <t>Programme &amp;
Year</t>
        </is>
      </c>
      <c r="E23" s="30" t="inlineStr">
        <is>
          <t>Scholarship
Ref.</t>
        </is>
      </c>
      <c r="F23" s="30" t="inlineStr">
        <is>
          <t>Amount
Disbursed (₹)</t>
        </is>
      </c>
      <c r="G23" s="30" t="inlineStr">
        <is>
          <t>Date
Disbursed</t>
        </is>
      </c>
      <c r="H23" s="30" t="inlineStr">
        <is>
          <t>Criteria
Met</t>
        </is>
      </c>
      <c r="I23" s="30" t="inlineStr">
        <is>
          <t>Recipient
Bank A/C</t>
        </is>
      </c>
      <c r="J23" s="30" t="inlineStr">
        <is>
          <t>Acknowledgement</t>
        </is>
      </c>
    </row>
    <row r="24" ht="22" customHeight="1"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22" customHeight="1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22" customHeight="1"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</row>
    <row r="27" ht="22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22" customHeight="1"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</row>
    <row r="29" ht="22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 ht="22" customHeight="1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  <row r="31" ht="22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22" customHeight="1"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 ht="22" customHeight="1">
      <c r="B33" s="53" t="inlineStr">
        <is>
          <t>TOTAL SCHOLARSHIPS DISBURSED</t>
        </is>
      </c>
      <c r="C33" s="54" t="n"/>
      <c r="D33" s="54" t="n"/>
      <c r="E33" s="54" t="n"/>
      <c r="F33" s="55">
        <f>IFERROR(SUM(F24:F32),"")</f>
        <v/>
      </c>
      <c r="G33" s="44" t="n"/>
      <c r="H33" s="44" t="n"/>
      <c r="I33" s="44" t="n"/>
      <c r="J33" s="44" t="n"/>
    </row>
  </sheetData>
  <mergeCells count="3">
    <mergeCell ref="B3:J3"/>
    <mergeCell ref="B22:J22"/>
    <mergeCell ref="B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ACC-24: ALUMNI NEWSLETTER / MAGAZINE REGISTER</t>
        </is>
      </c>
    </row>
    <row r="3" ht="25" customHeight="1">
      <c r="B3" s="2" t="inlineStr">
        <is>
          <t>A.Y.: _______  Editor: ___________________  Publication Frequency: Quarterly / Annual</t>
        </is>
      </c>
    </row>
    <row r="4" ht="25" customHeight="1">
      <c r="B4" s="13" t="inlineStr">
        <is>
          <t>Issue
Ref.</t>
        </is>
      </c>
      <c r="C4" s="13" t="inlineStr">
        <is>
          <t>Newsletter / Magazine Title</t>
        </is>
      </c>
      <c r="D4" s="13" t="inlineStr">
        <is>
          <t>Volume / Issue</t>
        </is>
      </c>
      <c r="E4" s="13" t="inlineStr">
        <is>
          <t>Publication Date</t>
        </is>
      </c>
      <c r="F4" s="13" t="inlineStr">
        <is>
          <t>Format</t>
        </is>
      </c>
      <c r="G4" s="13" t="inlineStr">
        <is>
          <t>No. Distributed</t>
        </is>
      </c>
      <c r="H4" s="13" t="inlineStr">
        <is>
          <t>Digital Reach</t>
        </is>
      </c>
      <c r="I4" s="13" t="inlineStr">
        <is>
          <t>Key Content Highlights</t>
        </is>
      </c>
    </row>
    <row r="5" ht="22" customHeight="1">
      <c r="B5" s="14" t="inlineStr">
        <is>
          <t>NL/2024/01</t>
        </is>
      </c>
      <c r="C5" s="15" t="inlineStr">
        <is>
          <t>Alumni Connect</t>
        </is>
      </c>
      <c r="D5" s="16" t="inlineStr">
        <is>
          <t>Vol.1 Issue 1</t>
        </is>
      </c>
      <c r="E5" s="16" t="inlineStr"/>
      <c r="F5" s="16" t="inlineStr">
        <is>
          <t>Print + Digital</t>
        </is>
      </c>
      <c r="G5" s="16" t="inlineStr"/>
      <c r="H5" s="16" t="inlineStr"/>
      <c r="I5" s="15" t="inlineStr"/>
    </row>
    <row r="6" ht="22" customHeight="1">
      <c r="B6" s="8" t="inlineStr">
        <is>
          <t>NL/2024/02</t>
        </is>
      </c>
      <c r="C6" s="9" t="inlineStr">
        <is>
          <t>Alumni Connect</t>
        </is>
      </c>
      <c r="D6" s="10" t="inlineStr">
        <is>
          <t>Vol.1 Issue 2</t>
        </is>
      </c>
      <c r="E6" s="10" t="inlineStr"/>
      <c r="F6" s="10" t="inlineStr">
        <is>
          <t>Print + Digital</t>
        </is>
      </c>
      <c r="G6" s="10" t="inlineStr"/>
      <c r="H6" s="10" t="inlineStr"/>
      <c r="I6" s="9" t="inlineStr"/>
    </row>
    <row r="7" ht="22" customHeight="1">
      <c r="B7" s="14" t="inlineStr">
        <is>
          <t>NL/2024/03</t>
        </is>
      </c>
      <c r="C7" s="15" t="inlineStr">
        <is>
          <t>Alumni Connect</t>
        </is>
      </c>
      <c r="D7" s="16" t="inlineStr">
        <is>
          <t>Vol.1 Issue 3</t>
        </is>
      </c>
      <c r="E7" s="16" t="inlineStr"/>
      <c r="F7" s="16" t="inlineStr">
        <is>
          <t>Print + Digital</t>
        </is>
      </c>
      <c r="G7" s="16" t="inlineStr"/>
      <c r="H7" s="16" t="inlineStr"/>
      <c r="I7" s="15" t="inlineStr"/>
    </row>
    <row r="8" ht="22" customHeight="1">
      <c r="B8" s="8" t="inlineStr">
        <is>
          <t>NL/2024/04</t>
        </is>
      </c>
      <c r="C8" s="9" t="inlineStr">
        <is>
          <t>Alumni Connect</t>
        </is>
      </c>
      <c r="D8" s="10" t="inlineStr">
        <is>
          <t>Vol.1 Issue 4</t>
        </is>
      </c>
      <c r="E8" s="10" t="inlineStr"/>
      <c r="F8" s="10" t="inlineStr">
        <is>
          <t>Print + Digital</t>
        </is>
      </c>
      <c r="G8" s="10" t="inlineStr"/>
      <c r="H8" s="10" t="inlineStr"/>
      <c r="I8" s="9" t="inlineStr"/>
    </row>
    <row r="9" ht="22" customHeight="1">
      <c r="B9" s="14" t="inlineStr">
        <is>
          <t>NL/2024/05</t>
        </is>
      </c>
      <c r="C9" s="15" t="inlineStr">
        <is>
          <t>Alumni Connect</t>
        </is>
      </c>
      <c r="D9" s="16" t="inlineStr">
        <is>
          <t>Vol.2 Issue 1</t>
        </is>
      </c>
      <c r="E9" s="16" t="inlineStr"/>
      <c r="F9" s="16" t="inlineStr">
        <is>
          <t>Print + Digital</t>
        </is>
      </c>
      <c r="G9" s="16" t="inlineStr"/>
      <c r="H9" s="16" t="inlineStr"/>
      <c r="I9" s="15" t="inlineStr"/>
    </row>
    <row r="10" ht="22" customHeight="1">
      <c r="B10" s="8" t="inlineStr">
        <is>
          <t>NL/2025/06</t>
        </is>
      </c>
      <c r="C10" s="9" t="inlineStr">
        <is>
          <t>Alumni Connect</t>
        </is>
      </c>
      <c r="D10" s="10" t="inlineStr">
        <is>
          <t>Vol.2 Issue 2</t>
        </is>
      </c>
      <c r="E10" s="10" t="inlineStr"/>
      <c r="F10" s="10" t="inlineStr">
        <is>
          <t>Print + Digital</t>
        </is>
      </c>
      <c r="G10" s="10" t="inlineStr"/>
      <c r="H10" s="10" t="inlineStr"/>
      <c r="I10" s="9" t="inlineStr"/>
    </row>
    <row r="11" ht="22" customHeight="1">
      <c r="B11" s="14" t="inlineStr">
        <is>
          <t>NL/2025/07</t>
        </is>
      </c>
      <c r="C11" s="15" t="inlineStr">
        <is>
          <t>Alumni Connect</t>
        </is>
      </c>
      <c r="D11" s="16" t="inlineStr">
        <is>
          <t>Vol.2 Issue 3</t>
        </is>
      </c>
      <c r="E11" s="16" t="inlineStr"/>
      <c r="F11" s="16" t="inlineStr">
        <is>
          <t>Print + Digital</t>
        </is>
      </c>
      <c r="G11" s="16" t="inlineStr"/>
      <c r="H11" s="16" t="inlineStr"/>
      <c r="I11" s="15" t="inlineStr"/>
    </row>
    <row r="12" ht="22" customHeight="1">
      <c r="B12" s="8" t="inlineStr">
        <is>
          <t>NL/2025/08</t>
        </is>
      </c>
      <c r="C12" s="9" t="inlineStr">
        <is>
          <t>Alumni Connect</t>
        </is>
      </c>
      <c r="D12" s="10" t="inlineStr">
        <is>
          <t>Vol.2 Issue 4</t>
        </is>
      </c>
      <c r="E12" s="10" t="inlineStr"/>
      <c r="F12" s="10" t="inlineStr">
        <is>
          <t>Print + Digital</t>
        </is>
      </c>
      <c r="G12" s="10" t="inlineStr"/>
      <c r="H12" s="10" t="inlineStr"/>
      <c r="I12" s="9" t="inlineStr"/>
    </row>
    <row r="13" ht="22" customHeight="1">
      <c r="B13" s="14" t="inlineStr">
        <is>
          <t>NL/2025/09</t>
        </is>
      </c>
      <c r="C13" s="15" t="inlineStr">
        <is>
          <t>Alumni Connect</t>
        </is>
      </c>
      <c r="D13" s="16" t="inlineStr">
        <is>
          <t>Vol.3 Issue 1</t>
        </is>
      </c>
      <c r="E13" s="16" t="inlineStr"/>
      <c r="F13" s="16" t="inlineStr">
        <is>
          <t>Print + Digital</t>
        </is>
      </c>
      <c r="G13" s="16" t="inlineStr"/>
      <c r="H13" s="16" t="inlineStr"/>
      <c r="I13" s="15" t="inlineStr"/>
    </row>
    <row r="14" ht="22" customHeight="1">
      <c r="B14" s="8" t="inlineStr">
        <is>
          <t>NL/2025/10</t>
        </is>
      </c>
      <c r="C14" s="9" t="inlineStr">
        <is>
          <t>Alumni Connect</t>
        </is>
      </c>
      <c r="D14" s="10" t="inlineStr">
        <is>
          <t>Vol.3 Issue 2</t>
        </is>
      </c>
      <c r="E14" s="10" t="inlineStr"/>
      <c r="F14" s="10" t="inlineStr">
        <is>
          <t>Print + Digital</t>
        </is>
      </c>
      <c r="G14" s="10" t="inlineStr"/>
      <c r="H14" s="10" t="inlineStr"/>
      <c r="I14" s="9" t="inlineStr"/>
    </row>
    <row r="15" ht="22" customHeight="1"/>
    <row r="16" ht="24" customHeight="1">
      <c r="B16" s="20" t="inlineStr">
        <is>
          <t>NEWSLETTER CONTENT PLANNING CALENDAR</t>
        </is>
      </c>
    </row>
    <row r="17" ht="22" customHeight="1">
      <c r="B17" s="21" t="inlineStr">
        <is>
          <t>Issue</t>
        </is>
      </c>
      <c r="C17" s="21" t="inlineStr">
        <is>
          <t>Theme / Focus</t>
        </is>
      </c>
      <c r="D17" s="21" t="inlineStr">
        <is>
          <t>Deadline for
Submissions</t>
        </is>
      </c>
      <c r="E17" s="21" t="inlineStr">
        <is>
          <t>Publication
Date</t>
        </is>
      </c>
      <c r="F17" s="21" t="inlineStr">
        <is>
          <t>Articles
Received</t>
        </is>
      </c>
      <c r="G17" s="21" t="inlineStr">
        <is>
          <t>Editorial
Review Done</t>
        </is>
      </c>
      <c r="H17" s="21" t="inlineStr">
        <is>
          <t>Printing /
Publishing Done</t>
        </is>
      </c>
      <c r="I17" s="21" t="inlineStr">
        <is>
          <t>Distributed</t>
        </is>
      </c>
    </row>
    <row r="18" ht="22" customHeight="1"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 ht="22" customHeight="1"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 ht="22" customHeight="1">
      <c r="B20" s="22" t="n"/>
      <c r="C20" s="22" t="n"/>
      <c r="D20" s="22" t="n"/>
      <c r="E20" s="22" t="n"/>
      <c r="F20" s="22" t="n"/>
      <c r="G20" s="22" t="n"/>
      <c r="H20" s="22" t="n"/>
      <c r="I20" s="22" t="n"/>
    </row>
    <row r="21" ht="22" customHeight="1"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 ht="22" customHeight="1">
      <c r="B22" s="22" t="n"/>
      <c r="C22" s="22" t="n"/>
      <c r="D22" s="22" t="n"/>
      <c r="E22" s="22" t="n"/>
      <c r="F22" s="22" t="n"/>
      <c r="G22" s="22" t="n"/>
      <c r="H22" s="22" t="n"/>
      <c r="I22" s="22" t="n"/>
    </row>
    <row r="23" ht="22" customHeight="1"/>
    <row r="24" ht="24" customHeight="1">
      <c r="B24" s="34" t="inlineStr">
        <is>
          <t>SOCIAL MEDIA &amp; DIGITAL OUTREACH TRACKER</t>
        </is>
      </c>
    </row>
    <row r="25" ht="22" customHeight="1">
      <c r="B25" s="30" t="inlineStr">
        <is>
          <t>Platform</t>
        </is>
      </c>
      <c r="C25" s="30" t="inlineStr">
        <is>
          <t>Handle / Page Name</t>
        </is>
      </c>
      <c r="D25" s="30" t="inlineStr">
        <is>
          <t>Followers /
Members</t>
        </is>
      </c>
      <c r="E25" s="30" t="inlineStr">
        <is>
          <t>Posts
This Month</t>
        </is>
      </c>
      <c r="F25" s="30" t="inlineStr">
        <is>
          <t>Avg. Reach
per Post</t>
        </is>
      </c>
      <c r="G25" s="30" t="inlineStr">
        <is>
          <t>Engagement
Rate %</t>
        </is>
      </c>
      <c r="H25" s="30" t="inlineStr">
        <is>
          <t>Growth
This Quarter</t>
        </is>
      </c>
      <c r="I25" s="30" t="inlineStr">
        <is>
          <t>Status</t>
        </is>
      </c>
    </row>
    <row r="26" ht="22" customHeight="1">
      <c r="B26" s="35" t="inlineStr">
        <is>
          <t>WhatsApp Group — Alumni</t>
        </is>
      </c>
      <c r="C26" s="33" t="inlineStr"/>
      <c r="D26" s="33" t="inlineStr"/>
      <c r="E26" s="33" t="inlineStr"/>
      <c r="F26" s="33" t="inlineStr"/>
      <c r="G26" s="33">
        <f>IFERROR(ROUND(F26/E26*100,1),"")</f>
        <v/>
      </c>
      <c r="H26" s="33" t="inlineStr"/>
      <c r="I26" s="33" t="inlineStr">
        <is>
          <t>Active</t>
        </is>
      </c>
    </row>
    <row r="27" ht="22" customHeight="1">
      <c r="B27" s="25" t="inlineStr">
        <is>
          <t>Facebook Page</t>
        </is>
      </c>
      <c r="C27" s="10" t="inlineStr"/>
      <c r="D27" s="10" t="inlineStr"/>
      <c r="E27" s="10" t="inlineStr"/>
      <c r="F27" s="10" t="inlineStr"/>
      <c r="G27" s="10">
        <f>IFERROR(ROUND(F27/E27*100,1),"")</f>
        <v/>
      </c>
      <c r="H27" s="10" t="inlineStr"/>
      <c r="I27" s="10" t="inlineStr">
        <is>
          <t>Active</t>
        </is>
      </c>
    </row>
    <row r="28" ht="22" customHeight="1">
      <c r="B28" s="35" t="inlineStr">
        <is>
          <t>LinkedIn — Official Group</t>
        </is>
      </c>
      <c r="C28" s="33" t="inlineStr"/>
      <c r="D28" s="33" t="inlineStr"/>
      <c r="E28" s="33" t="inlineStr"/>
      <c r="F28" s="33" t="inlineStr"/>
      <c r="G28" s="33">
        <f>IFERROR(ROUND(F28/E28*100,1),"")</f>
        <v/>
      </c>
      <c r="H28" s="33" t="inlineStr"/>
      <c r="I28" s="33" t="inlineStr">
        <is>
          <t>Active</t>
        </is>
      </c>
    </row>
    <row r="29" ht="22" customHeight="1">
      <c r="B29" s="25" t="inlineStr">
        <is>
          <t>Instagram</t>
        </is>
      </c>
      <c r="C29" s="10" t="inlineStr"/>
      <c r="D29" s="10" t="inlineStr"/>
      <c r="E29" s="10" t="inlineStr"/>
      <c r="F29" s="10" t="inlineStr"/>
      <c r="G29" s="10">
        <f>IFERROR(ROUND(F29/E29*100,1),"")</f>
        <v/>
      </c>
      <c r="H29" s="10" t="inlineStr"/>
      <c r="I29" s="10" t="inlineStr">
        <is>
          <t>Active</t>
        </is>
      </c>
    </row>
    <row r="30" ht="22" customHeight="1">
      <c r="B30" s="35" t="inlineStr">
        <is>
          <t>YouTube</t>
        </is>
      </c>
      <c r="C30" s="33" t="inlineStr"/>
      <c r="D30" s="33" t="inlineStr"/>
      <c r="E30" s="33" t="inlineStr"/>
      <c r="F30" s="33" t="inlineStr"/>
      <c r="G30" s="33">
        <f>IFERROR(ROUND(F30/E30*100,1),"")</f>
        <v/>
      </c>
      <c r="H30" s="33" t="inlineStr"/>
      <c r="I30" s="33" t="inlineStr">
        <is>
          <t>Active</t>
        </is>
      </c>
    </row>
    <row r="31" ht="22" customHeight="1">
      <c r="B31" s="25" t="inlineStr">
        <is>
          <t>Twitter / X</t>
        </is>
      </c>
      <c r="C31" s="10" t="inlineStr"/>
      <c r="D31" s="10" t="inlineStr"/>
      <c r="E31" s="10" t="inlineStr"/>
      <c r="F31" s="10" t="inlineStr"/>
      <c r="G31" s="10">
        <f>IFERROR(ROUND(F31/E31*100,1),"")</f>
        <v/>
      </c>
      <c r="H31" s="10" t="inlineStr"/>
      <c r="I31" s="10" t="inlineStr">
        <is>
          <t>Active</t>
        </is>
      </c>
    </row>
    <row r="32">
      <c r="B32" s="35" t="inlineStr">
        <is>
          <t>Telegram Channel</t>
        </is>
      </c>
      <c r="C32" s="33" t="inlineStr"/>
      <c r="D32" s="33" t="inlineStr"/>
      <c r="E32" s="33" t="inlineStr"/>
      <c r="F32" s="33" t="inlineStr"/>
      <c r="G32" s="33">
        <f>IFERROR(ROUND(F32/E32*100,1),"")</f>
        <v/>
      </c>
      <c r="H32" s="33" t="inlineStr"/>
      <c r="I32" s="33" t="inlineStr">
        <is>
          <t>Active</t>
        </is>
      </c>
    </row>
    <row r="33">
      <c r="B33" s="25" t="inlineStr">
        <is>
          <t>Email Newsletter List</t>
        </is>
      </c>
      <c r="C33" s="10" t="inlineStr"/>
      <c r="D33" s="10" t="inlineStr"/>
      <c r="E33" s="10" t="inlineStr"/>
      <c r="F33" s="10" t="inlineStr"/>
      <c r="G33" s="10">
        <f>IFERROR(ROUND(F33/E33*100,1),"")</f>
        <v/>
      </c>
      <c r="H33" s="10" t="inlineStr"/>
      <c r="I33" s="10" t="inlineStr">
        <is>
          <t>Active</t>
        </is>
      </c>
    </row>
  </sheetData>
  <mergeCells count="4">
    <mergeCell ref="B16:I16"/>
    <mergeCell ref="B3:I3"/>
    <mergeCell ref="B24:I24"/>
    <mergeCell ref="B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ACC-27: ALUMNI SATISFACTION &amp; PROGRAMME FEEDBACK SURVEY</t>
        </is>
      </c>
    </row>
    <row r="3" ht="25" customHeight="1">
      <c r="B3" s="2" t="inlineStr">
        <is>
          <t>A.Y.: _______  Respondents: _______  Survey Period: _______  Mode: Online / Offline  NAAC Ref.: Criterion V.4</t>
        </is>
      </c>
    </row>
    <row r="4" ht="22" customHeight="1">
      <c r="B4" s="56" t="inlineStr">
        <is>
          <t>Rating Scale: 1 = Very Poor  |  2 = Poor  |  3 = Average  |  4 = Good  |  5 = Excellent</t>
        </is>
      </c>
    </row>
    <row r="5" ht="24" customHeight="1">
      <c r="B5" s="19" t="inlineStr">
        <is>
          <t>SECTION A — ACADEMIC EXPERIENCE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Strongly
Agree (5)</t>
        </is>
      </c>
      <c r="E6" s="13" t="inlineStr">
        <is>
          <t>Agree
(4)</t>
        </is>
      </c>
      <c r="F6" s="13" t="inlineStr">
        <is>
          <t>Neutral
(3)</t>
        </is>
      </c>
      <c r="G6" s="13" t="inlineStr">
        <is>
          <t>Disagree
(2)</t>
        </is>
      </c>
      <c r="H6" s="13" t="inlineStr">
        <is>
          <t>Strongly
Disagree (1)</t>
        </is>
      </c>
      <c r="I6" s="13" t="inlineStr">
        <is>
          <t>Avg
Score</t>
        </is>
      </c>
    </row>
    <row r="7" ht="22" customHeight="1">
      <c r="B7" s="14" t="inlineStr">
        <is>
          <t>Q1</t>
        </is>
      </c>
      <c r="C7" s="15" t="inlineStr">
        <is>
          <t>Quality of curriculum and course content during your study</t>
        </is>
      </c>
      <c r="D7" s="16" t="inlineStr"/>
      <c r="E7" s="16" t="inlineStr"/>
      <c r="F7" s="16" t="inlineStr"/>
      <c r="G7" s="16" t="inlineStr"/>
      <c r="H7" s="16" t="inlineStr"/>
      <c r="I7" s="57">
        <f>IFERROR(ROUND((D7*5+E7*4+F7*3+G7*2+H7*1)/SUM(D7:H7),2),"")</f>
        <v/>
      </c>
    </row>
    <row r="8" ht="22" customHeight="1">
      <c r="B8" s="8" t="inlineStr">
        <is>
          <t>Q2</t>
        </is>
      </c>
      <c r="C8" s="9" t="inlineStr">
        <is>
          <t>Relevance of curriculum to industry / career needs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IFERROR(ROUND((D8*5+E8*4+F8*3+G8*2+H8*1)/SUM(D8:H8),2),"")</f>
        <v/>
      </c>
    </row>
    <row r="9" ht="22" customHeight="1">
      <c r="B9" s="14" t="inlineStr">
        <is>
          <t>Q3</t>
        </is>
      </c>
      <c r="C9" s="15" t="inlineStr">
        <is>
          <t>Teaching quality and faculty competence</t>
        </is>
      </c>
      <c r="D9" s="16" t="inlineStr"/>
      <c r="E9" s="16" t="inlineStr"/>
      <c r="F9" s="16" t="inlineStr"/>
      <c r="G9" s="16" t="inlineStr"/>
      <c r="H9" s="16" t="inlineStr"/>
      <c r="I9" s="57">
        <f>IFERROR(ROUND((D9*5+E9*4+F9*3+G9*2+H9*1)/SUM(D9:H9),2),"")</f>
        <v/>
      </c>
    </row>
    <row r="10" ht="22" customHeight="1">
      <c r="B10" s="8" t="inlineStr">
        <is>
          <t>Q4</t>
        </is>
      </c>
      <c r="C10" s="9" t="inlineStr">
        <is>
          <t>Research and innovation opportunities provided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IFERROR(ROUND((D10*5+E10*4+F10*3+G10*2+H10*1)/SUM(D10:H10),2),"")</f>
        <v/>
      </c>
    </row>
    <row r="11" ht="22" customHeight="1">
      <c r="B11" s="14" t="inlineStr">
        <is>
          <t>Q5</t>
        </is>
      </c>
      <c r="C11" s="15" t="inlineStr">
        <is>
          <t>Practical / laboratory exposure and quality</t>
        </is>
      </c>
      <c r="D11" s="16" t="inlineStr"/>
      <c r="E11" s="16" t="inlineStr"/>
      <c r="F11" s="16" t="inlineStr"/>
      <c r="G11" s="16" t="inlineStr"/>
      <c r="H11" s="16" t="inlineStr"/>
      <c r="I11" s="57">
        <f>IFERROR(ROUND((D11*5+E11*4+F11*3+G11*2+H11*1)/SUM(D11:H11),2),"")</f>
        <v/>
      </c>
    </row>
    <row r="12" ht="22" customHeight="1">
      <c r="B12" s="8" t="inlineStr">
        <is>
          <t>Q6</t>
        </is>
      </c>
      <c r="C12" s="9" t="inlineStr">
        <is>
          <t>Opportunities for industry interaction during study</t>
        </is>
      </c>
      <c r="D12" s="10" t="inlineStr"/>
      <c r="E12" s="10" t="inlineStr"/>
      <c r="F12" s="10" t="inlineStr"/>
      <c r="G12" s="10" t="inlineStr"/>
      <c r="H12" s="10" t="inlineStr"/>
      <c r="I12" s="37">
        <f>IFERROR(ROUND((D12*5+E12*4+F12*3+G12*2+H12*1)/SUM(D12:H12),2),"")</f>
        <v/>
      </c>
    </row>
    <row r="13" ht="22" customHeight="1">
      <c r="B13" s="14" t="inlineStr">
        <is>
          <t>Q7</t>
        </is>
      </c>
      <c r="C13" s="15" t="inlineStr">
        <is>
          <t>Overall quality of your academic programme</t>
        </is>
      </c>
      <c r="D13" s="16" t="inlineStr"/>
      <c r="E13" s="16" t="inlineStr"/>
      <c r="F13" s="16" t="inlineStr"/>
      <c r="G13" s="16" t="inlineStr"/>
      <c r="H13" s="16" t="inlineStr"/>
      <c r="I13" s="57">
        <f>IFERROR(ROUND((D13*5+E13*4+F13*3+G13*2+H13*1)/SUM(D13:H13),2),"")</f>
        <v/>
      </c>
    </row>
    <row r="14" ht="22" customHeight="1"/>
    <row r="15" ht="24" customHeight="1">
      <c r="B15" s="20" t="inlineStr">
        <is>
          <t>SECTION B — CAMPUS EXPERIENCE &amp; INFRASTRUCTURE</t>
        </is>
      </c>
    </row>
    <row r="16" ht="22" customHeight="1">
      <c r="B16" s="21" t="inlineStr">
        <is>
          <t>Q.</t>
        </is>
      </c>
      <c r="C16" s="21" t="inlineStr">
        <is>
          <t>Survey Statement</t>
        </is>
      </c>
      <c r="D16" s="21" t="inlineStr">
        <is>
          <t>Strongly
Agree (5)</t>
        </is>
      </c>
      <c r="E16" s="21" t="inlineStr">
        <is>
          <t>Agree
(4)</t>
        </is>
      </c>
      <c r="F16" s="21" t="inlineStr">
        <is>
          <t>Neutral
(3)</t>
        </is>
      </c>
      <c r="G16" s="21" t="inlineStr">
        <is>
          <t>Disagree
(2)</t>
        </is>
      </c>
      <c r="H16" s="21" t="inlineStr">
        <is>
          <t>Strongly
Disagree (1)</t>
        </is>
      </c>
      <c r="I16" s="21" t="inlineStr">
        <is>
          <t>Avg
Score</t>
        </is>
      </c>
    </row>
    <row r="17" ht="22" customHeight="1">
      <c r="B17" s="42" t="inlineStr">
        <is>
          <t>Q8</t>
        </is>
      </c>
      <c r="C17" s="43" t="inlineStr">
        <is>
          <t>Quality of physical infrastructure (classrooms, labs, library)</t>
        </is>
      </c>
      <c r="D17" s="22" t="inlineStr"/>
      <c r="E17" s="22" t="inlineStr"/>
      <c r="F17" s="22" t="inlineStr"/>
      <c r="G17" s="22" t="inlineStr"/>
      <c r="H17" s="22" t="inlineStr"/>
      <c r="I17" s="58">
        <f>IFERROR(ROUND((D17*5+E17*4+F17*3+G17*2+H17*1)/SUM(D17:H17),2),"")</f>
        <v/>
      </c>
    </row>
    <row r="18" ht="22" customHeight="1">
      <c r="B18" s="8" t="inlineStr">
        <is>
          <t>Q9</t>
        </is>
      </c>
      <c r="C18" s="9" t="inlineStr">
        <is>
          <t>Availability of digital / e-learning resources</t>
        </is>
      </c>
      <c r="D18" s="10" t="inlineStr"/>
      <c r="E18" s="10" t="inlineStr"/>
      <c r="F18" s="10" t="inlineStr"/>
      <c r="G18" s="10" t="inlineStr"/>
      <c r="H18" s="10" t="inlineStr"/>
      <c r="I18" s="37">
        <f>IFERROR(ROUND((D18*5+E18*4+F18*3+G18*2+H18*1)/SUM(D18:H18),2),"")</f>
        <v/>
      </c>
    </row>
    <row r="19" ht="22" customHeight="1">
      <c r="B19" s="42" t="inlineStr">
        <is>
          <t>Q10</t>
        </is>
      </c>
      <c r="C19" s="43" t="inlineStr">
        <is>
          <t>Hostel and accommodation facilities</t>
        </is>
      </c>
      <c r="D19" s="22" t="inlineStr"/>
      <c r="E19" s="22" t="inlineStr"/>
      <c r="F19" s="22" t="inlineStr"/>
      <c r="G19" s="22" t="inlineStr"/>
      <c r="H19" s="22" t="inlineStr"/>
      <c r="I19" s="58">
        <f>IFERROR(ROUND((D19*5+E19*4+F19*3+G19*2+H19*1)/SUM(D19:H19),2),"")</f>
        <v/>
      </c>
    </row>
    <row r="20" ht="22" customHeight="1">
      <c r="B20" s="8" t="inlineStr">
        <is>
          <t>Q11</t>
        </is>
      </c>
      <c r="C20" s="9" t="inlineStr">
        <is>
          <t>Sports, cultural and extracurricular opportunities</t>
        </is>
      </c>
      <c r="D20" s="10" t="inlineStr"/>
      <c r="E20" s="10" t="inlineStr"/>
      <c r="F20" s="10" t="inlineStr"/>
      <c r="G20" s="10" t="inlineStr"/>
      <c r="H20" s="10" t="inlineStr"/>
      <c r="I20" s="37">
        <f>IFERROR(ROUND((D20*5+E20*4+F20*3+G20*2+H20*1)/SUM(D20:H20),2),"")</f>
        <v/>
      </c>
    </row>
    <row r="21" ht="22" customHeight="1">
      <c r="B21" s="42" t="inlineStr">
        <is>
          <t>Q12</t>
        </is>
      </c>
      <c r="C21" s="43" t="inlineStr">
        <is>
          <t>Campus safety and overall environment</t>
        </is>
      </c>
      <c r="D21" s="22" t="inlineStr"/>
      <c r="E21" s="22" t="inlineStr"/>
      <c r="F21" s="22" t="inlineStr"/>
      <c r="G21" s="22" t="inlineStr"/>
      <c r="H21" s="22" t="inlineStr"/>
      <c r="I21" s="58">
        <f>IFERROR(ROUND((D21*5+E21*4+F21*3+G21*2+H21*1)/SUM(D21:H21),2),"")</f>
        <v/>
      </c>
    </row>
    <row r="22" ht="22" customHeight="1"/>
    <row r="23" ht="24" customHeight="1">
      <c r="B23" s="59" t="inlineStr">
        <is>
          <t>SECTION C — CAREER &amp; PROFESSIONAL DEVELOPMENT</t>
        </is>
      </c>
    </row>
    <row r="24" ht="22" customHeight="1">
      <c r="B24" s="47" t="inlineStr">
        <is>
          <t>Q.</t>
        </is>
      </c>
      <c r="C24" s="47" t="inlineStr">
        <is>
          <t>Survey Statement</t>
        </is>
      </c>
      <c r="D24" s="47" t="inlineStr">
        <is>
          <t>Strongly
Agree (5)</t>
        </is>
      </c>
      <c r="E24" s="47" t="inlineStr">
        <is>
          <t>Agree
(4)</t>
        </is>
      </c>
      <c r="F24" s="47" t="inlineStr">
        <is>
          <t>Neutral
(3)</t>
        </is>
      </c>
      <c r="G24" s="47" t="inlineStr">
        <is>
          <t>Disagree
(2)</t>
        </is>
      </c>
      <c r="H24" s="47" t="inlineStr">
        <is>
          <t>Strongly
Disagree (1)</t>
        </is>
      </c>
      <c r="I24" s="47" t="inlineStr">
        <is>
          <t>Avg
Score</t>
        </is>
      </c>
    </row>
    <row r="25" ht="22" customHeight="1">
      <c r="B25" s="48" t="inlineStr">
        <is>
          <t>Q13</t>
        </is>
      </c>
      <c r="C25" s="49" t="inlineStr">
        <is>
          <t>Placement and career support received during your study</t>
        </is>
      </c>
      <c r="D25" s="50" t="inlineStr"/>
      <c r="E25" s="50" t="inlineStr"/>
      <c r="F25" s="50" t="inlineStr"/>
      <c r="G25" s="50" t="inlineStr"/>
      <c r="H25" s="50" t="inlineStr"/>
      <c r="I25" s="36">
        <f>IFERROR(ROUND((D25*5+E25*4+F25*3+G25*2+H25*1)/SUM(D25:H25),2),"")</f>
        <v/>
      </c>
    </row>
    <row r="26" ht="22" customHeight="1">
      <c r="B26" s="8" t="inlineStr">
        <is>
          <t>Q14</t>
        </is>
      </c>
      <c r="C26" s="9" t="inlineStr">
        <is>
          <t>Internship opportunities and industry exposure</t>
        </is>
      </c>
      <c r="D26" s="10" t="inlineStr"/>
      <c r="E26" s="10" t="inlineStr"/>
      <c r="F26" s="10" t="inlineStr"/>
      <c r="G26" s="10" t="inlineStr"/>
      <c r="H26" s="10" t="inlineStr"/>
      <c r="I26" s="37">
        <f>IFERROR(ROUND((D26*5+E26*4+F26*3+G26*2+H26*1)/SUM(D26:H26),2),"")</f>
        <v/>
      </c>
    </row>
    <row r="27" ht="22" customHeight="1">
      <c r="B27" s="48" t="inlineStr">
        <is>
          <t>Q15</t>
        </is>
      </c>
      <c r="C27" s="49" t="inlineStr">
        <is>
          <t>Entrepreneurship support and motivation received</t>
        </is>
      </c>
      <c r="D27" s="50" t="inlineStr"/>
      <c r="E27" s="50" t="inlineStr"/>
      <c r="F27" s="50" t="inlineStr"/>
      <c r="G27" s="50" t="inlineStr"/>
      <c r="H27" s="50" t="inlineStr"/>
      <c r="I27" s="36">
        <f>IFERROR(ROUND((D27*5+E27*4+F27*3+G27*2+H27*1)/SUM(D27:H27),2),"")</f>
        <v/>
      </c>
    </row>
    <row r="28" ht="22" customHeight="1">
      <c r="B28" s="8" t="inlineStr">
        <is>
          <t>Q16</t>
        </is>
      </c>
      <c r="C28" s="9" t="inlineStr">
        <is>
          <t>How well the programme prepared you for your career</t>
        </is>
      </c>
      <c r="D28" s="10" t="inlineStr"/>
      <c r="E28" s="10" t="inlineStr"/>
      <c r="F28" s="10" t="inlineStr"/>
      <c r="G28" s="10" t="inlineStr"/>
      <c r="H28" s="10" t="inlineStr"/>
      <c r="I28" s="37">
        <f>IFERROR(ROUND((D28*5+E28*4+F28*3+G28*2+H28*1)/SUM(D28:H28),2),"")</f>
        <v/>
      </c>
    </row>
    <row r="29" ht="22" customHeight="1">
      <c r="B29" s="48" t="inlineStr">
        <is>
          <t>Q17</t>
        </is>
      </c>
      <c r="C29" s="49" t="inlineStr">
        <is>
          <t>Growth in your career after graduation</t>
        </is>
      </c>
      <c r="D29" s="50" t="inlineStr"/>
      <c r="E29" s="50" t="inlineStr"/>
      <c r="F29" s="50" t="inlineStr"/>
      <c r="G29" s="50" t="inlineStr"/>
      <c r="H29" s="50" t="inlineStr"/>
      <c r="I29" s="36">
        <f>IFERROR(ROUND((D29*5+E29*4+F29*3+G29*2+H29*1)/SUM(D29:H29),2),"")</f>
        <v/>
      </c>
    </row>
    <row r="30" ht="22" customHeight="1">
      <c r="B30" s="8" t="inlineStr">
        <is>
          <t>Q18</t>
        </is>
      </c>
      <c r="C30" s="9" t="inlineStr">
        <is>
          <t>Your current salary relative to your batch peers</t>
        </is>
      </c>
      <c r="D30" s="10" t="inlineStr"/>
      <c r="E30" s="10" t="inlineStr"/>
      <c r="F30" s="10" t="inlineStr"/>
      <c r="G30" s="10" t="inlineStr"/>
      <c r="H30" s="10" t="inlineStr"/>
      <c r="I30" s="37">
        <f>IFERROR(ROUND((D30*5+E30*4+F30*3+G30*2+H30*1)/SUM(D30:H30),2),"")</f>
        <v/>
      </c>
    </row>
    <row r="31" ht="22" customHeight="1"/>
    <row r="32" ht="24" customHeight="1">
      <c r="B32" s="34" t="inlineStr">
        <is>
          <t>SECTION D — ALUMNI ASSOCIATION &amp; ENGAGEMENT</t>
        </is>
      </c>
    </row>
    <row r="33" ht="22" customHeight="1">
      <c r="B33" s="30" t="inlineStr">
        <is>
          <t>Q.</t>
        </is>
      </c>
      <c r="C33" s="30" t="inlineStr">
        <is>
          <t>Survey Statement</t>
        </is>
      </c>
      <c r="D33" s="30" t="inlineStr">
        <is>
          <t>Strongly
Agree (5)</t>
        </is>
      </c>
      <c r="E33" s="30" t="inlineStr">
        <is>
          <t>Agree
(4)</t>
        </is>
      </c>
      <c r="F33" s="30" t="inlineStr">
        <is>
          <t>Neutral
(3)</t>
        </is>
      </c>
      <c r="G33" s="30" t="inlineStr">
        <is>
          <t>Disagree
(2)</t>
        </is>
      </c>
      <c r="H33" s="30" t="inlineStr">
        <is>
          <t>Strongly
Disagree (1)</t>
        </is>
      </c>
      <c r="I33" s="30" t="inlineStr">
        <is>
          <t>Avg
Score</t>
        </is>
      </c>
    </row>
    <row r="34" ht="22" customHeight="1">
      <c r="B34" s="31" t="inlineStr">
        <is>
          <t>Q19</t>
        </is>
      </c>
      <c r="C34" s="32" t="inlineStr">
        <is>
          <t>How well the Alumni Association keeps you connected</t>
        </is>
      </c>
      <c r="D34" s="33" t="inlineStr"/>
      <c r="E34" s="33" t="inlineStr"/>
      <c r="F34" s="33" t="inlineStr"/>
      <c r="G34" s="33" t="inlineStr"/>
      <c r="H34" s="33" t="inlineStr"/>
      <c r="I34" s="52">
        <f>IFERROR(ROUND((D34*5+E34*4+F34*3+G34*2+H34*1)/SUM(D34:H34),2),"")</f>
        <v/>
      </c>
    </row>
    <row r="35" ht="22" customHeight="1">
      <c r="B35" s="8" t="inlineStr">
        <is>
          <t>Q20</t>
        </is>
      </c>
      <c r="C35" s="9" t="inlineStr">
        <is>
          <t>Quality and frequency of alumni events / meets</t>
        </is>
      </c>
      <c r="D35" s="10" t="inlineStr"/>
      <c r="E35" s="10" t="inlineStr"/>
      <c r="F35" s="10" t="inlineStr"/>
      <c r="G35" s="10" t="inlineStr"/>
      <c r="H35" s="10" t="inlineStr"/>
      <c r="I35" s="37">
        <f>IFERROR(ROUND((D35*5+E35*4+F35*3+G35*2+H35*1)/SUM(D35:H35),2),"")</f>
        <v/>
      </c>
    </row>
    <row r="36" ht="22" customHeight="1">
      <c r="B36" s="31" t="inlineStr">
        <is>
          <t>Q21</t>
        </is>
      </c>
      <c r="C36" s="32" t="inlineStr">
        <is>
          <t>Usefulness of alumni mentorship programme</t>
        </is>
      </c>
      <c r="D36" s="33" t="inlineStr"/>
      <c r="E36" s="33" t="inlineStr"/>
      <c r="F36" s="33" t="inlineStr"/>
      <c r="G36" s="33" t="inlineStr"/>
      <c r="H36" s="33" t="inlineStr"/>
      <c r="I36" s="52">
        <f>IFERROR(ROUND((D36*5+E36*4+F36*3+G36*2+H36*1)/SUM(D36:H36),2),"")</f>
        <v/>
      </c>
    </row>
    <row r="37" ht="22" customHeight="1">
      <c r="B37" s="8" t="inlineStr">
        <is>
          <t>Q22</t>
        </is>
      </c>
      <c r="C37" s="9" t="inlineStr">
        <is>
          <t>Relevance and quality of alumni newsletter / communications</t>
        </is>
      </c>
      <c r="D37" s="10" t="inlineStr"/>
      <c r="E37" s="10" t="inlineStr"/>
      <c r="F37" s="10" t="inlineStr"/>
      <c r="G37" s="10" t="inlineStr"/>
      <c r="H37" s="10" t="inlineStr"/>
      <c r="I37" s="37">
        <f>IFERROR(ROUND((D37*5+E37*4+F37*3+G37*2+H37*1)/SUM(D37:H37),2),"")</f>
        <v/>
      </c>
    </row>
    <row r="38" ht="22" customHeight="1">
      <c r="B38" s="31" t="inlineStr">
        <is>
          <t>Q23</t>
        </is>
      </c>
      <c r="C38" s="32" t="inlineStr">
        <is>
          <t>Overall satisfaction with alumni engagement activities</t>
        </is>
      </c>
      <c r="D38" s="33" t="inlineStr"/>
      <c r="E38" s="33" t="inlineStr"/>
      <c r="F38" s="33" t="inlineStr"/>
      <c r="G38" s="33" t="inlineStr"/>
      <c r="H38" s="33" t="inlineStr"/>
      <c r="I38" s="52">
        <f>IFERROR(ROUND((D38*5+E38*4+F38*3+G38*2+H38*1)/SUM(D38:H38),2),"")</f>
        <v/>
      </c>
    </row>
    <row r="39" ht="22" customHeight="1"/>
    <row r="40" ht="24" customHeight="1">
      <c r="B40" s="60" t="inlineStr">
        <is>
          <t>SECTION E — INSTITUTION REPUTATION &amp; RECOMMENDATION</t>
        </is>
      </c>
    </row>
    <row r="41" ht="22" customHeight="1">
      <c r="B41" s="61" t="inlineStr">
        <is>
          <t>Q.</t>
        </is>
      </c>
      <c r="C41" s="61" t="inlineStr">
        <is>
          <t>Survey Statement</t>
        </is>
      </c>
      <c r="D41" s="61" t="inlineStr">
        <is>
          <t>Strongly
Agree (5)</t>
        </is>
      </c>
      <c r="E41" s="61" t="inlineStr">
        <is>
          <t>Agree
(4)</t>
        </is>
      </c>
      <c r="F41" s="61" t="inlineStr">
        <is>
          <t>Neutral
(3)</t>
        </is>
      </c>
      <c r="G41" s="61" t="inlineStr">
        <is>
          <t>Disagree
(2)</t>
        </is>
      </c>
      <c r="H41" s="61" t="inlineStr">
        <is>
          <t>Strongly
Disagree (1)</t>
        </is>
      </c>
      <c r="I41" s="61" t="inlineStr">
        <is>
          <t>Avg
Score</t>
        </is>
      </c>
    </row>
    <row r="42" ht="22" customHeight="1">
      <c r="B42" s="62" t="inlineStr">
        <is>
          <t>Q24</t>
        </is>
      </c>
      <c r="C42" s="63" t="inlineStr">
        <is>
          <t>How has the institution's reputation grown over the years?</t>
        </is>
      </c>
      <c r="D42" s="64" t="inlineStr"/>
      <c r="E42" s="64" t="inlineStr"/>
      <c r="F42" s="64" t="inlineStr"/>
      <c r="G42" s="64" t="inlineStr"/>
      <c r="H42" s="64" t="inlineStr"/>
      <c r="I42" s="65">
        <f>IFERROR(ROUND((D42*5+E42*4+F42*3+G42*2+H42*1)/SUM(D42:H42),2),"")</f>
        <v/>
      </c>
    </row>
    <row r="43" ht="22" customHeight="1">
      <c r="B43" s="8" t="inlineStr">
        <is>
          <t>Q25</t>
        </is>
      </c>
      <c r="C43" s="9" t="inlineStr">
        <is>
          <t>Would you recommend this institution to family / friends?</t>
        </is>
      </c>
      <c r="D43" s="10" t="inlineStr"/>
      <c r="E43" s="10" t="inlineStr"/>
      <c r="F43" s="10" t="inlineStr"/>
      <c r="G43" s="10" t="inlineStr"/>
      <c r="H43" s="10" t="inlineStr"/>
      <c r="I43" s="37">
        <f>IFERROR(ROUND((D43*5+E43*4+F43*3+G43*2+H43*1)/SUM(D43:H43),2),"")</f>
        <v/>
      </c>
    </row>
    <row r="44" ht="22" customHeight="1">
      <c r="B44" s="62" t="inlineStr">
        <is>
          <t>Q26</t>
        </is>
      </c>
      <c r="C44" s="63" t="inlineStr">
        <is>
          <t>How proud are you to be an alumnus/a of this institution?</t>
        </is>
      </c>
      <c r="D44" s="64" t="inlineStr"/>
      <c r="E44" s="64" t="inlineStr"/>
      <c r="F44" s="64" t="inlineStr"/>
      <c r="G44" s="64" t="inlineStr"/>
      <c r="H44" s="64" t="inlineStr"/>
      <c r="I44" s="65">
        <f>IFERROR(ROUND((D44*5+E44*4+F44*3+G44*2+H44*1)/SUM(D44:H44),2),"")</f>
        <v/>
      </c>
    </row>
    <row r="45" ht="22" customHeight="1">
      <c r="B45" s="8" t="inlineStr">
        <is>
          <t>Q27</t>
        </is>
      </c>
      <c r="C45" s="9" t="inlineStr">
        <is>
          <t>Overall satisfaction with your time at this institution</t>
        </is>
      </c>
      <c r="D45" s="10" t="inlineStr"/>
      <c r="E45" s="10" t="inlineStr"/>
      <c r="F45" s="10" t="inlineStr"/>
      <c r="G45" s="10" t="inlineStr"/>
      <c r="H45" s="10" t="inlineStr"/>
      <c r="I45" s="37">
        <f>IFERROR(ROUND((D45*5+E45*4+F45*3+G45*2+H45*1)/SUM(D45:H45),2),"")</f>
        <v/>
      </c>
    </row>
    <row r="46" ht="22" customHeight="1"/>
    <row r="47" ht="24" customHeight="1">
      <c r="B47" s="27" t="inlineStr">
        <is>
          <t>SURVEY SUMMARY &amp; ACTION PLAN</t>
        </is>
      </c>
    </row>
    <row r="48" ht="22" customHeight="1">
      <c r="B48" s="28" t="inlineStr">
        <is>
          <t>Section</t>
        </is>
      </c>
      <c r="C48" s="28" t="inlineStr">
        <is>
          <t>Avg Score (/5)</t>
        </is>
      </c>
      <c r="D48" s="28" t="inlineStr">
        <is>
          <t>Satisfaction %</t>
        </is>
      </c>
      <c r="E48" s="28" t="inlineStr">
        <is>
          <t>Benchmark
(≥3.5)</t>
        </is>
      </c>
      <c r="F48" s="28" t="inlineStr">
        <is>
          <t>Gap</t>
        </is>
      </c>
      <c r="G48" s="28" t="inlineStr">
        <is>
          <t>Status</t>
        </is>
      </c>
      <c r="H48" s="28" t="inlineStr">
        <is>
          <t>Priority Action</t>
        </is>
      </c>
    </row>
    <row r="49" ht="22" customHeight="1">
      <c r="B49" s="66" t="inlineStr">
        <is>
          <t>SECTION A</t>
        </is>
      </c>
      <c r="C49" s="16" t="inlineStr"/>
      <c r="D49" s="16">
        <f>IFERROR(ROUND(C49/5*100,1),"")</f>
        <v/>
      </c>
      <c r="E49" s="16" t="n">
        <v>3.5</v>
      </c>
      <c r="F49" s="16">
        <f>IFERROR(ROUND(C49-E49,2),"")</f>
        <v/>
      </c>
      <c r="G49" s="16">
        <f>IFERROR(IF(C49&gt;=3.5,"Good","Needs Attention"),"")</f>
        <v/>
      </c>
      <c r="H49" s="15" t="inlineStr"/>
      <c r="I49" s="67" t="n"/>
    </row>
    <row r="50" ht="22" customHeight="1">
      <c r="B50" s="25" t="inlineStr">
        <is>
          <t>SECTION B</t>
        </is>
      </c>
      <c r="C50" s="10" t="inlineStr"/>
      <c r="D50" s="10">
        <f>IFERROR(ROUND(C50/5*100,1),"")</f>
        <v/>
      </c>
      <c r="E50" s="10" t="n">
        <v>3.5</v>
      </c>
      <c r="F50" s="10">
        <f>IFERROR(ROUND(C50-E50,2),"")</f>
        <v/>
      </c>
      <c r="G50" s="10">
        <f>IFERROR(IF(C50&gt;=3.5,"Good","Needs Attention"),"")</f>
        <v/>
      </c>
      <c r="H50" s="9" t="inlineStr"/>
      <c r="I50" s="45" t="n"/>
    </row>
    <row r="51" ht="22" customHeight="1">
      <c r="B51" s="66" t="inlineStr">
        <is>
          <t>SECTION C</t>
        </is>
      </c>
      <c r="C51" s="16" t="inlineStr"/>
      <c r="D51" s="16">
        <f>IFERROR(ROUND(C51/5*100,1),"")</f>
        <v/>
      </c>
      <c r="E51" s="16" t="n">
        <v>3.5</v>
      </c>
      <c r="F51" s="16">
        <f>IFERROR(ROUND(C51-E51,2),"")</f>
        <v/>
      </c>
      <c r="G51" s="16">
        <f>IFERROR(IF(C51&gt;=3.5,"Good","Needs Attention"),"")</f>
        <v/>
      </c>
      <c r="H51" s="15" t="inlineStr"/>
      <c r="I51" s="67" t="n"/>
    </row>
    <row r="52">
      <c r="B52" s="25" t="inlineStr">
        <is>
          <t>SECTION D</t>
        </is>
      </c>
      <c r="C52" s="10" t="inlineStr"/>
      <c r="D52" s="10">
        <f>IFERROR(ROUND(C52/5*100,1),"")</f>
        <v/>
      </c>
      <c r="E52" s="10" t="n">
        <v>3.5</v>
      </c>
      <c r="F52" s="10">
        <f>IFERROR(ROUND(C52-E52,2),"")</f>
        <v/>
      </c>
      <c r="G52" s="10">
        <f>IFERROR(IF(C52&gt;=3.5,"Good","Needs Attention"),"")</f>
        <v/>
      </c>
      <c r="H52" s="9" t="inlineStr"/>
      <c r="I52" s="45" t="n"/>
    </row>
    <row r="53">
      <c r="B53" s="66" t="inlineStr">
        <is>
          <t>SECTION E</t>
        </is>
      </c>
      <c r="C53" s="16" t="inlineStr"/>
      <c r="D53" s="16">
        <f>IFERROR(ROUND(C53/5*100,1),"")</f>
        <v/>
      </c>
      <c r="E53" s="16" t="n">
        <v>3.5</v>
      </c>
      <c r="F53" s="16">
        <f>IFERROR(ROUND(C53-E53,2),"")</f>
        <v/>
      </c>
      <c r="G53" s="16">
        <f>IFERROR(IF(C53&gt;=3.5,"Good","Needs Attention"),"")</f>
        <v/>
      </c>
      <c r="H53" s="15" t="inlineStr"/>
      <c r="I53" s="67" t="n"/>
    </row>
  </sheetData>
  <mergeCells count="9">
    <mergeCell ref="B15:I15"/>
    <mergeCell ref="B47:I47"/>
    <mergeCell ref="B2:I2"/>
    <mergeCell ref="B3:I3"/>
    <mergeCell ref="B5:I5"/>
    <mergeCell ref="B23:I23"/>
    <mergeCell ref="B32:I32"/>
    <mergeCell ref="B4:I4"/>
    <mergeCell ref="B40:I4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ACC-28: ALUMNI DATA COMPILATION FOR NAAC / NIRF / NBA / IQAC</t>
        </is>
      </c>
    </row>
    <row r="3" ht="25" customHeight="1">
      <c r="B3" s="2" t="inlineStr">
        <is>
          <t>A.Y.: _______  IQAC Coordinator: ___________________  Data Source: Alumni Office + T&amp;P Cell  Date: _______</t>
        </is>
      </c>
    </row>
    <row r="4" ht="24" customHeight="1">
      <c r="B4" s="19" t="inlineStr">
        <is>
          <t>NAAC CRITERION V.4 — ALUMNI ENGAGEMENT</t>
        </is>
      </c>
    </row>
    <row r="5" ht="22" customHeight="1">
      <c r="B5" s="13" t="inlineStr">
        <is>
          <t>Ref.</t>
        </is>
      </c>
      <c r="C5" s="13" t="inlineStr">
        <is>
          <t>Data Point /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Target</t>
        </is>
      </c>
      <c r="H5" s="13" t="inlineStr">
        <is>
          <t>Source / Evidence</t>
        </is>
      </c>
    </row>
    <row r="6" ht="22" customHeight="1">
      <c r="B6" s="14" t="inlineStr">
        <is>
          <t>V.4.1</t>
        </is>
      </c>
      <c r="C6" s="15" t="inlineStr">
        <is>
          <t>Alumni registered (total)</t>
        </is>
      </c>
      <c r="D6" s="16" t="inlineStr">
        <is>
          <t>No.</t>
        </is>
      </c>
      <c r="E6" s="16" t="inlineStr"/>
      <c r="F6" s="16" t="inlineStr"/>
      <c r="G6" s="16" t="inlineStr"/>
      <c r="H6" s="15" t="inlineStr"/>
    </row>
    <row r="7" ht="22" customHeight="1">
      <c r="B7" s="8" t="inlineStr">
        <is>
          <t>V.4.1</t>
        </is>
      </c>
      <c r="C7" s="9" t="inlineStr">
        <is>
          <t>Alumni registered this year (new)</t>
        </is>
      </c>
      <c r="D7" s="10" t="inlineStr">
        <is>
          <t>No.</t>
        </is>
      </c>
      <c r="E7" s="10" t="inlineStr"/>
      <c r="F7" s="10" t="inlineStr"/>
      <c r="G7" s="10" t="inlineStr"/>
      <c r="H7" s="9" t="inlineStr"/>
    </row>
    <row r="8" ht="22" customHeight="1">
      <c r="B8" s="14" t="inlineStr">
        <is>
          <t>V.4.1</t>
        </is>
      </c>
      <c r="C8" s="15" t="inlineStr">
        <is>
          <t>Alumni chapters active</t>
        </is>
      </c>
      <c r="D8" s="16" t="inlineStr">
        <is>
          <t>No.</t>
        </is>
      </c>
      <c r="E8" s="16" t="inlineStr"/>
      <c r="F8" s="16" t="inlineStr"/>
      <c r="G8" s="16" t="inlineStr"/>
      <c r="H8" s="15" t="inlineStr"/>
    </row>
    <row r="9" ht="22" customHeight="1">
      <c r="B9" s="8" t="inlineStr">
        <is>
          <t>V.4.2</t>
        </is>
      </c>
      <c r="C9" s="9" t="inlineStr">
        <is>
          <t>Alumni events / meets conducted</t>
        </is>
      </c>
      <c r="D9" s="10" t="inlineStr">
        <is>
          <t>No.</t>
        </is>
      </c>
      <c r="E9" s="10" t="inlineStr"/>
      <c r="F9" s="10" t="inlineStr"/>
      <c r="G9" s="10" t="inlineStr"/>
      <c r="H9" s="9" t="inlineStr"/>
    </row>
    <row r="10" ht="22" customHeight="1">
      <c r="B10" s="14" t="inlineStr">
        <is>
          <t>V.4.2</t>
        </is>
      </c>
      <c r="C10" s="15" t="inlineStr">
        <is>
          <t>Alumni-student interaction events (lectures, mentoring)</t>
        </is>
      </c>
      <c r="D10" s="16" t="inlineStr">
        <is>
          <t>No.</t>
        </is>
      </c>
      <c r="E10" s="16" t="inlineStr"/>
      <c r="F10" s="16" t="inlineStr"/>
      <c r="G10" s="16" t="inlineStr"/>
      <c r="H10" s="15" t="inlineStr"/>
    </row>
    <row r="11" ht="22" customHeight="1">
      <c r="B11" s="8" t="inlineStr">
        <is>
          <t>V.4.2</t>
        </is>
      </c>
      <c r="C11" s="9" t="inlineStr">
        <is>
          <t>Students benefited through alumni interaction</t>
        </is>
      </c>
      <c r="D11" s="10" t="inlineStr">
        <is>
          <t>No.</t>
        </is>
      </c>
      <c r="E11" s="10" t="inlineStr"/>
      <c r="F11" s="10" t="inlineStr"/>
      <c r="G11" s="10" t="inlineStr"/>
      <c r="H11" s="9" t="inlineStr"/>
    </row>
    <row r="12" ht="22" customHeight="1">
      <c r="B12" s="14" t="inlineStr">
        <is>
          <t>V.4.3</t>
        </is>
      </c>
      <c r="C12" s="15" t="inlineStr">
        <is>
          <t>Alumni financial contribution (₹L)</t>
        </is>
      </c>
      <c r="D12" s="16" t="inlineStr">
        <is>
          <t>₹L</t>
        </is>
      </c>
      <c r="E12" s="16" t="inlineStr"/>
      <c r="F12" s="16" t="inlineStr"/>
      <c r="G12" s="16" t="inlineStr"/>
      <c r="H12" s="15" t="inlineStr"/>
    </row>
    <row r="13" ht="22" customHeight="1">
      <c r="B13" s="8" t="inlineStr">
        <is>
          <t>V.4.3</t>
        </is>
      </c>
      <c r="C13" s="9" t="inlineStr">
        <is>
          <t>Alumni scholarships disbursed (₹L)</t>
        </is>
      </c>
      <c r="D13" s="10" t="inlineStr">
        <is>
          <t>₹L</t>
        </is>
      </c>
      <c r="E13" s="10" t="inlineStr"/>
      <c r="F13" s="10" t="inlineStr"/>
      <c r="G13" s="10" t="inlineStr"/>
      <c r="H13" s="9" t="inlineStr"/>
    </row>
    <row r="14" ht="22" customHeight="1">
      <c r="B14" s="14" t="inlineStr">
        <is>
          <t>V.4.3</t>
        </is>
      </c>
      <c r="C14" s="15" t="inlineStr">
        <is>
          <t>Alumni equipment / infrastructure donations (₹L equivalent)</t>
        </is>
      </c>
      <c r="D14" s="16" t="inlineStr">
        <is>
          <t>₹L</t>
        </is>
      </c>
      <c r="E14" s="16" t="inlineStr"/>
      <c r="F14" s="16" t="inlineStr"/>
      <c r="G14" s="16" t="inlineStr"/>
      <c r="H14" s="15" t="inlineStr"/>
    </row>
    <row r="15" ht="22" customHeight="1">
      <c r="B15" s="8" t="inlineStr">
        <is>
          <t>V.4.4</t>
        </is>
      </c>
      <c r="C15" s="9" t="inlineStr">
        <is>
          <t>Alumni survey conducted (Y/N)</t>
        </is>
      </c>
      <c r="D15" s="10" t="inlineStr">
        <is>
          <t>Y/N</t>
        </is>
      </c>
      <c r="E15" s="10" t="inlineStr"/>
      <c r="F15" s="10" t="inlineStr"/>
      <c r="G15" s="10" t="inlineStr"/>
      <c r="H15" s="9" t="inlineStr"/>
    </row>
    <row r="16" ht="22" customHeight="1">
      <c r="B16" s="14" t="inlineStr">
        <is>
          <t>V.4.4</t>
        </is>
      </c>
      <c r="C16" s="15" t="inlineStr">
        <is>
          <t>Alumni satisfaction score (/5)</t>
        </is>
      </c>
      <c r="D16" s="16" t="inlineStr">
        <is>
          <t>Score</t>
        </is>
      </c>
      <c r="E16" s="16" t="inlineStr"/>
      <c r="F16" s="16" t="inlineStr"/>
      <c r="G16" s="16" t="inlineStr"/>
      <c r="H16" s="15" t="inlineStr"/>
    </row>
    <row r="17" ht="22" customHeight="1"/>
    <row r="18" ht="24" customHeight="1">
      <c r="B18" s="20" t="inlineStr">
        <is>
          <t>NAAC CRITERION V.2 — STUDENT PROGRESSION</t>
        </is>
      </c>
    </row>
    <row r="19" ht="22" customHeight="1">
      <c r="B19" s="21" t="inlineStr">
        <is>
          <t>Ref.</t>
        </is>
      </c>
      <c r="C19" s="21" t="inlineStr">
        <is>
          <t>Data Point / Metric</t>
        </is>
      </c>
      <c r="D19" s="21" t="inlineStr">
        <is>
          <t>Unit</t>
        </is>
      </c>
      <c r="E19" s="21" t="inlineStr">
        <is>
          <t>Current A.Y.</t>
        </is>
      </c>
      <c r="F19" s="21" t="inlineStr">
        <is>
          <t>Previous A.Y.</t>
        </is>
      </c>
      <c r="G19" s="21" t="inlineStr">
        <is>
          <t>Target</t>
        </is>
      </c>
      <c r="H19" s="21" t="inlineStr">
        <is>
          <t>Source / Evidence</t>
        </is>
      </c>
    </row>
    <row r="20" ht="22" customHeight="1">
      <c r="B20" s="42" t="inlineStr">
        <is>
          <t>V.2.1</t>
        </is>
      </c>
      <c r="C20" s="43" t="inlineStr">
        <is>
          <t>Students progressing to higher studies (%)</t>
        </is>
      </c>
      <c r="D20" s="22" t="inlineStr">
        <is>
          <t>% of graduating batch</t>
        </is>
      </c>
      <c r="E20" s="22" t="inlineStr"/>
      <c r="F20" s="22" t="inlineStr"/>
      <c r="G20" s="22" t="inlineStr"/>
      <c r="H20" s="43" t="inlineStr"/>
    </row>
    <row r="21" ht="22" customHeight="1">
      <c r="B21" s="8" t="inlineStr">
        <is>
          <t>V.2.2</t>
        </is>
      </c>
      <c r="C21" s="9" t="inlineStr">
        <is>
          <t>Students placed in industry (% of eligible)</t>
        </is>
      </c>
      <c r="D21" s="10" t="inlineStr">
        <is>
          <t>% placed</t>
        </is>
      </c>
      <c r="E21" s="10" t="inlineStr"/>
      <c r="F21" s="10" t="inlineStr"/>
      <c r="G21" s="10" t="inlineStr"/>
      <c r="H21" s="9" t="inlineStr"/>
    </row>
    <row r="22" ht="22" customHeight="1">
      <c r="B22" s="42" t="inlineStr">
        <is>
          <t>V.2.2</t>
        </is>
      </c>
      <c r="C22" s="43" t="inlineStr">
        <is>
          <t>Avg. CTC of placed students (₹L)</t>
        </is>
      </c>
      <c r="D22" s="22" t="inlineStr">
        <is>
          <t>₹L PA</t>
        </is>
      </c>
      <c r="E22" s="22" t="inlineStr"/>
      <c r="F22" s="22" t="inlineStr"/>
      <c r="G22" s="22" t="inlineStr"/>
      <c r="H22" s="43" t="inlineStr"/>
    </row>
    <row r="23" ht="22" customHeight="1">
      <c r="B23" s="8" t="inlineStr">
        <is>
          <t>V.2.3</t>
        </is>
      </c>
      <c r="C23" s="9" t="inlineStr">
        <is>
          <t>Students who started ventures (%)</t>
        </is>
      </c>
      <c r="D23" s="10" t="inlineStr">
        <is>
          <t>% entrepreneurs</t>
        </is>
      </c>
      <c r="E23" s="10" t="inlineStr"/>
      <c r="F23" s="10" t="inlineStr"/>
      <c r="G23" s="10" t="inlineStr"/>
      <c r="H23" s="9" t="inlineStr"/>
    </row>
    <row r="24" ht="22" customHeight="1">
      <c r="B24" s="42" t="inlineStr">
        <is>
          <t>V.2.4</t>
        </is>
      </c>
      <c r="C24" s="43" t="inlineStr">
        <is>
          <t>Students qualifying national exams (GATE/UPSC/NET)</t>
        </is>
      </c>
      <c r="D24" s="22" t="inlineStr">
        <is>
          <t>No.</t>
        </is>
      </c>
      <c r="E24" s="22" t="inlineStr"/>
      <c r="F24" s="22" t="inlineStr"/>
      <c r="G24" s="22" t="inlineStr"/>
      <c r="H24" s="43" t="inlineStr"/>
    </row>
    <row r="25" ht="22" customHeight="1"/>
    <row r="26" ht="24" customHeight="1">
      <c r="B26" s="34" t="inlineStr">
        <is>
          <t>NIRF — GRADUATION OUTCOMES</t>
        </is>
      </c>
    </row>
    <row r="27" ht="22" customHeight="1">
      <c r="B27" s="30" t="inlineStr">
        <is>
          <t>Ref.</t>
        </is>
      </c>
      <c r="C27" s="30" t="inlineStr">
        <is>
          <t>Data Point / Metric</t>
        </is>
      </c>
      <c r="D27" s="30" t="inlineStr">
        <is>
          <t>Unit</t>
        </is>
      </c>
      <c r="E27" s="30" t="inlineStr">
        <is>
          <t>Current A.Y.</t>
        </is>
      </c>
      <c r="F27" s="30" t="inlineStr">
        <is>
          <t>Previous A.Y.</t>
        </is>
      </c>
      <c r="G27" s="30" t="inlineStr">
        <is>
          <t>Target</t>
        </is>
      </c>
      <c r="H27" s="30" t="inlineStr">
        <is>
          <t>Source / Evidence</t>
        </is>
      </c>
    </row>
    <row r="28" ht="22" customHeight="1">
      <c r="B28" s="31" t="inlineStr">
        <is>
          <t>GO-1</t>
        </is>
      </c>
      <c r="C28" s="32" t="inlineStr">
        <is>
          <t>PhD students from this institution (last 5 years)</t>
        </is>
      </c>
      <c r="D28" s="33" t="inlineStr">
        <is>
          <t>No.</t>
        </is>
      </c>
      <c r="E28" s="33" t="inlineStr"/>
      <c r="F28" s="33" t="inlineStr"/>
      <c r="G28" s="33" t="inlineStr"/>
      <c r="H28" s="32" t="inlineStr"/>
    </row>
    <row r="29" ht="22" customHeight="1">
      <c r="B29" s="8" t="inlineStr">
        <is>
          <t>GO-2</t>
        </is>
      </c>
      <c r="C29" s="9" t="inlineStr">
        <is>
          <t>Students placed in Top 500 companies</t>
        </is>
      </c>
      <c r="D29" s="10" t="inlineStr">
        <is>
          <t>No.</t>
        </is>
      </c>
      <c r="E29" s="10" t="inlineStr"/>
      <c r="F29" s="10" t="inlineStr"/>
      <c r="G29" s="10" t="inlineStr"/>
      <c r="H29" s="9" t="inlineStr"/>
    </row>
    <row r="30" ht="22" customHeight="1">
      <c r="B30" s="31" t="inlineStr">
        <is>
          <t>GO-3</t>
        </is>
      </c>
      <c r="C30" s="32" t="inlineStr">
        <is>
          <t>Students in higher studies at Top-100 institutions</t>
        </is>
      </c>
      <c r="D30" s="33" t="inlineStr">
        <is>
          <t>No.</t>
        </is>
      </c>
      <c r="E30" s="33" t="inlineStr"/>
      <c r="F30" s="33" t="inlineStr"/>
      <c r="G30" s="33" t="inlineStr"/>
      <c r="H30" s="32" t="inlineStr"/>
    </row>
    <row r="31" ht="22" customHeight="1">
      <c r="B31" s="8" t="inlineStr">
        <is>
          <t>GO-4</t>
        </is>
      </c>
      <c r="C31" s="9" t="inlineStr">
        <is>
          <t>Median salary of placed graduates (₹L)</t>
        </is>
      </c>
      <c r="D31" s="10" t="inlineStr">
        <is>
          <t>₹L PA</t>
        </is>
      </c>
      <c r="E31" s="10" t="inlineStr"/>
      <c r="F31" s="10" t="inlineStr"/>
      <c r="G31" s="10" t="inlineStr"/>
      <c r="H31" s="9" t="inlineStr"/>
    </row>
    <row r="32" ht="22" customHeight="1">
      <c r="B32" s="31" t="inlineStr">
        <is>
          <t>GO-5</t>
        </is>
      </c>
      <c r="C32" s="32" t="inlineStr">
        <is>
          <t>Students who became entrepreneurs</t>
        </is>
      </c>
      <c r="D32" s="33" t="inlineStr">
        <is>
          <t>No.</t>
        </is>
      </c>
      <c r="E32" s="33" t="inlineStr"/>
      <c r="F32" s="33" t="inlineStr"/>
      <c r="G32" s="33" t="inlineStr"/>
      <c r="H32" s="32" t="inlineStr"/>
    </row>
    <row r="33" ht="22" customHeight="1">
      <c r="B33" s="8" t="inlineStr">
        <is>
          <t>GO-6</t>
        </is>
      </c>
      <c r="C33" s="9" t="inlineStr">
        <is>
          <t>Students with patents granted</t>
        </is>
      </c>
      <c r="D33" s="10" t="inlineStr">
        <is>
          <t>No.</t>
        </is>
      </c>
      <c r="E33" s="10" t="inlineStr"/>
      <c r="F33" s="10" t="inlineStr"/>
      <c r="G33" s="10" t="inlineStr"/>
      <c r="H33" s="9" t="inlineStr"/>
    </row>
    <row r="34" ht="22" customHeight="1"/>
    <row r="35" ht="24" customHeight="1">
      <c r="B35" s="60" t="inlineStr">
        <is>
          <t>NBA SAR — ALUMNI &amp; GRADUATE PERFORMANCE</t>
        </is>
      </c>
    </row>
    <row r="36" ht="22" customHeight="1">
      <c r="B36" s="61" t="inlineStr">
        <is>
          <t>Ref.</t>
        </is>
      </c>
      <c r="C36" s="61" t="inlineStr">
        <is>
          <t>Data Point / Metric</t>
        </is>
      </c>
      <c r="D36" s="61" t="inlineStr">
        <is>
          <t>Unit</t>
        </is>
      </c>
      <c r="E36" s="61" t="inlineStr">
        <is>
          <t>Current A.Y.</t>
        </is>
      </c>
      <c r="F36" s="61" t="inlineStr">
        <is>
          <t>Previous A.Y.</t>
        </is>
      </c>
      <c r="G36" s="61" t="inlineStr">
        <is>
          <t>Target</t>
        </is>
      </c>
      <c r="H36" s="61" t="inlineStr">
        <is>
          <t>Source / Evidence</t>
        </is>
      </c>
    </row>
    <row r="37" ht="22" customHeight="1">
      <c r="B37" s="62" t="inlineStr">
        <is>
          <t>PO Attainment</t>
        </is>
      </c>
      <c r="C37" s="63" t="inlineStr">
        <is>
          <t>Indirect attainment via alumni survey (/3)</t>
        </is>
      </c>
      <c r="D37" s="64" t="inlineStr">
        <is>
          <t>Level</t>
        </is>
      </c>
      <c r="E37" s="64" t="inlineStr"/>
      <c r="F37" s="64" t="inlineStr"/>
      <c r="G37" s="64" t="inlineStr"/>
      <c r="H37" s="63" t="inlineStr"/>
    </row>
    <row r="38" ht="22" customHeight="1">
      <c r="B38" s="8" t="inlineStr">
        <is>
          <t>Alumni in senior positions</t>
        </is>
      </c>
      <c r="C38" s="9" t="inlineStr">
        <is>
          <t>No. in CXO/VP/Director roles</t>
        </is>
      </c>
      <c r="D38" s="10" t="inlineStr">
        <is>
          <t>No.</t>
        </is>
      </c>
      <c r="E38" s="10" t="inlineStr"/>
      <c r="F38" s="10" t="inlineStr"/>
      <c r="G38" s="10" t="inlineStr"/>
      <c r="H38" s="9" t="inlineStr"/>
    </row>
    <row r="39" ht="22" customHeight="1">
      <c r="B39" s="62" t="inlineStr">
        <is>
          <t>Alumni publications / patents (last 5 years)</t>
        </is>
      </c>
      <c r="C39" s="63" t="inlineStr">
        <is>
          <t>Cumulative</t>
        </is>
      </c>
      <c r="D39" s="64" t="inlineStr">
        <is>
          <t>No.</t>
        </is>
      </c>
      <c r="E39" s="64" t="inlineStr"/>
      <c r="F39" s="64" t="inlineStr"/>
      <c r="G39" s="64" t="inlineStr"/>
      <c r="H39" s="63" t="inlineStr"/>
    </row>
    <row r="40" ht="22" customHeight="1">
      <c r="B40" s="8" t="inlineStr">
        <is>
          <t>Alumni with professional certifications</t>
        </is>
      </c>
      <c r="C40" s="9" t="inlineStr">
        <is>
          <t>% with certs</t>
        </is>
      </c>
      <c r="D40" s="10" t="inlineStr">
        <is>
          <t>% alumni</t>
        </is>
      </c>
      <c r="E40" s="10" t="inlineStr"/>
      <c r="F40" s="10" t="inlineStr"/>
      <c r="G40" s="10" t="inlineStr"/>
      <c r="H40" s="9" t="inlineStr"/>
    </row>
    <row r="41" ht="22" customHeight="1">
      <c r="B41" s="62" t="inlineStr">
        <is>
          <t>Alumni who obtained higher degrees</t>
        </is>
      </c>
      <c r="C41" s="63" t="inlineStr">
        <is>
          <t>No.</t>
        </is>
      </c>
      <c r="D41" s="64" t="inlineStr">
        <is>
          <t>No.</t>
        </is>
      </c>
      <c r="E41" s="64" t="inlineStr"/>
      <c r="F41" s="64" t="inlineStr"/>
      <c r="G41" s="64" t="inlineStr"/>
      <c r="H41" s="63" t="inlineStr"/>
    </row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6">
    <mergeCell ref="B26:H26"/>
    <mergeCell ref="B18:H18"/>
    <mergeCell ref="B35:H35"/>
    <mergeCell ref="B4:H4"/>
    <mergeCell ref="B2:H2"/>
    <mergeCell ref="B3:H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ACC-29: ALUMNI EMPLOYER FEEDBACK SURVEY — CONSOLIDATED REPORT</t>
        </is>
      </c>
    </row>
    <row r="3" ht="25" customHeight="1">
      <c r="B3" s="2" t="inlineStr">
        <is>
          <t>A.Y.: _______  Respondents: _______  Survey Conducted by: ___________________  NAAC Ref.: Criterion V.2 / II.7</t>
        </is>
      </c>
    </row>
    <row r="4" ht="22" customHeight="1">
      <c r="B4" s="56" t="inlineStr">
        <is>
          <t>Scale: 1 = Very Poor  |  2 = Poor  |  3 = Average  |  4 = Good  |  5 = Excellent</t>
        </is>
      </c>
    </row>
    <row r="5" ht="24" customHeight="1">
      <c r="B5" s="19" t="inlineStr">
        <is>
          <t>A. TECHNICAL &amp; PROFESSIONAL COMPETENCY</t>
        </is>
      </c>
    </row>
    <row r="6" ht="22" customHeight="1">
      <c r="B6" s="13" t="inlineStr">
        <is>
          <t>Q.</t>
        </is>
      </c>
      <c r="C6" s="13" t="inlineStr">
        <is>
          <t>Feedback Parameter</t>
        </is>
      </c>
      <c r="D6" s="13" t="inlineStr">
        <is>
          <t>PO Linked</t>
        </is>
      </c>
      <c r="E6" s="13" t="inlineStr">
        <is>
          <t>Avg Rating
(1–5)</t>
        </is>
      </c>
      <c r="F6" s="13" t="inlineStr">
        <is>
          <t>Importance
(H/M/L)</t>
        </is>
      </c>
      <c r="G6" s="13" t="inlineStr">
        <is>
          <t>Strength /
Gap</t>
        </is>
      </c>
      <c r="H6" s="13" t="inlineStr">
        <is>
          <t>Recommended
Action</t>
        </is>
      </c>
    </row>
    <row r="7" ht="22" customHeight="1">
      <c r="B7" s="14" t="inlineStr">
        <is>
          <t>E1</t>
        </is>
      </c>
      <c r="C7" s="15" t="inlineStr">
        <is>
          <t>Technical knowledge in their domain</t>
        </is>
      </c>
      <c r="D7" s="16" t="inlineStr">
        <is>
          <t>PO1 / PO2</t>
        </is>
      </c>
      <c r="E7" s="16" t="inlineStr"/>
      <c r="F7" s="16" t="inlineStr">
        <is>
          <t>H</t>
        </is>
      </c>
      <c r="G7" s="15" t="inlineStr"/>
      <c r="H7" s="15" t="inlineStr"/>
      <c r="I7" s="67" t="n"/>
    </row>
    <row r="8" ht="22" customHeight="1">
      <c r="B8" s="8" t="inlineStr">
        <is>
          <t>E2</t>
        </is>
      </c>
      <c r="C8" s="9" t="inlineStr">
        <is>
          <t>Ability to solve complex engineering / business problems</t>
        </is>
      </c>
      <c r="D8" s="10" t="inlineStr">
        <is>
          <t>PO3 / PO4</t>
        </is>
      </c>
      <c r="E8" s="10" t="inlineStr"/>
      <c r="F8" s="10" t="inlineStr">
        <is>
          <t>H</t>
        </is>
      </c>
      <c r="G8" s="9" t="inlineStr"/>
      <c r="H8" s="9" t="inlineStr"/>
      <c r="I8" s="45" t="n"/>
    </row>
    <row r="9" ht="22" customHeight="1">
      <c r="B9" s="14" t="inlineStr">
        <is>
          <t>E3</t>
        </is>
      </c>
      <c r="C9" s="15" t="inlineStr">
        <is>
          <t>Proficiency with industry-standard tools and technologies</t>
        </is>
      </c>
      <c r="D9" s="16" t="inlineStr">
        <is>
          <t>PO5</t>
        </is>
      </c>
      <c r="E9" s="16" t="inlineStr"/>
      <c r="F9" s="16" t="inlineStr">
        <is>
          <t>H</t>
        </is>
      </c>
      <c r="G9" s="15" t="inlineStr"/>
      <c r="H9" s="15" t="inlineStr"/>
      <c r="I9" s="67" t="n"/>
    </row>
    <row r="10" ht="22" customHeight="1">
      <c r="B10" s="8" t="inlineStr">
        <is>
          <t>E4</t>
        </is>
      </c>
      <c r="C10" s="9" t="inlineStr">
        <is>
          <t>Research and analytical thinking skills</t>
        </is>
      </c>
      <c r="D10" s="10" t="inlineStr">
        <is>
          <t>PO4</t>
        </is>
      </c>
      <c r="E10" s="10" t="inlineStr"/>
      <c r="F10" s="10" t="inlineStr">
        <is>
          <t>H</t>
        </is>
      </c>
      <c r="G10" s="9" t="inlineStr"/>
      <c r="H10" s="9" t="inlineStr"/>
      <c r="I10" s="45" t="n"/>
    </row>
    <row r="11" ht="22" customHeight="1">
      <c r="B11" s="14" t="inlineStr">
        <is>
          <t>E5</t>
        </is>
      </c>
      <c r="C11" s="15" t="inlineStr">
        <is>
          <t>Design and innovation capability</t>
        </is>
      </c>
      <c r="D11" s="16" t="inlineStr">
        <is>
          <t>PO3</t>
        </is>
      </c>
      <c r="E11" s="16" t="inlineStr"/>
      <c r="F11" s="16" t="inlineStr">
        <is>
          <t>H</t>
        </is>
      </c>
      <c r="G11" s="15" t="inlineStr"/>
      <c r="H11" s="15" t="inlineStr"/>
      <c r="I11" s="67" t="n"/>
    </row>
    <row r="12" ht="22" customHeight="1"/>
    <row r="13" ht="24" customHeight="1">
      <c r="B13" s="20" t="inlineStr">
        <is>
          <t>B. PROFESSIONAL BEHAVIOUR &amp; ETHICS</t>
        </is>
      </c>
    </row>
    <row r="14" ht="22" customHeight="1">
      <c r="B14" s="21" t="inlineStr">
        <is>
          <t>Q.</t>
        </is>
      </c>
      <c r="C14" s="21" t="inlineStr">
        <is>
          <t>Feedback Parameter</t>
        </is>
      </c>
      <c r="D14" s="21" t="inlineStr">
        <is>
          <t>PO Linked</t>
        </is>
      </c>
      <c r="E14" s="21" t="inlineStr">
        <is>
          <t>Avg Rating
(1–5)</t>
        </is>
      </c>
      <c r="F14" s="21" t="inlineStr">
        <is>
          <t>Importance
(H/M/L)</t>
        </is>
      </c>
      <c r="G14" s="21" t="inlineStr">
        <is>
          <t>Strength /
Gap</t>
        </is>
      </c>
      <c r="H14" s="21" t="inlineStr">
        <is>
          <t>Recommended
Action</t>
        </is>
      </c>
    </row>
    <row r="15" ht="22" customHeight="1">
      <c r="B15" s="42" t="inlineStr">
        <is>
          <t>E6</t>
        </is>
      </c>
      <c r="C15" s="43" t="inlineStr">
        <is>
          <t>Professional ethics and integrity in the workplace</t>
        </is>
      </c>
      <c r="D15" s="22" t="inlineStr">
        <is>
          <t>PO8</t>
        </is>
      </c>
      <c r="E15" s="22" t="inlineStr"/>
      <c r="F15" s="22" t="inlineStr">
        <is>
          <t>H</t>
        </is>
      </c>
      <c r="G15" s="43" t="inlineStr"/>
      <c r="H15" s="43" t="inlineStr"/>
      <c r="I15" s="44" t="n"/>
    </row>
    <row r="16" ht="22" customHeight="1">
      <c r="B16" s="8" t="inlineStr">
        <is>
          <t>E7</t>
        </is>
      </c>
      <c r="C16" s="9" t="inlineStr">
        <is>
          <t>Adaptability and openness to learning new skills</t>
        </is>
      </c>
      <c r="D16" s="10" t="inlineStr">
        <is>
          <t>PO12</t>
        </is>
      </c>
      <c r="E16" s="10" t="inlineStr"/>
      <c r="F16" s="10" t="inlineStr">
        <is>
          <t>H</t>
        </is>
      </c>
      <c r="G16" s="9" t="inlineStr"/>
      <c r="H16" s="9" t="inlineStr"/>
      <c r="I16" s="45" t="n"/>
    </row>
    <row r="17" ht="22" customHeight="1">
      <c r="B17" s="42" t="inlineStr">
        <is>
          <t>E8</t>
        </is>
      </c>
      <c r="C17" s="43" t="inlineStr">
        <is>
          <t>Time management and reliability</t>
        </is>
      </c>
      <c r="D17" s="22" t="inlineStr">
        <is>
          <t>PO10</t>
        </is>
      </c>
      <c r="E17" s="22" t="inlineStr"/>
      <c r="F17" s="22" t="inlineStr">
        <is>
          <t>H</t>
        </is>
      </c>
      <c r="G17" s="43" t="inlineStr"/>
      <c r="H17" s="43" t="inlineStr"/>
      <c r="I17" s="44" t="n"/>
    </row>
    <row r="18" ht="22" customHeight="1">
      <c r="B18" s="8" t="inlineStr">
        <is>
          <t>E9</t>
        </is>
      </c>
      <c r="C18" s="9" t="inlineStr">
        <is>
          <t>Compliance with workplace policies</t>
        </is>
      </c>
      <c r="D18" s="10" t="inlineStr">
        <is>
          <t>PO8</t>
        </is>
      </c>
      <c r="E18" s="10" t="inlineStr"/>
      <c r="F18" s="10" t="inlineStr">
        <is>
          <t>H</t>
        </is>
      </c>
      <c r="G18" s="9" t="inlineStr"/>
      <c r="H18" s="9" t="inlineStr"/>
      <c r="I18" s="45" t="n"/>
    </row>
    <row r="19" ht="22" customHeight="1"/>
    <row r="20" ht="24" customHeight="1">
      <c r="B20" s="34" t="inlineStr">
        <is>
          <t>C. COMMUNICATION &amp; INTERPERSONAL SKILLS</t>
        </is>
      </c>
    </row>
    <row r="21" ht="22" customHeight="1">
      <c r="B21" s="30" t="inlineStr">
        <is>
          <t>Q.</t>
        </is>
      </c>
      <c r="C21" s="30" t="inlineStr">
        <is>
          <t>Feedback Parameter</t>
        </is>
      </c>
      <c r="D21" s="30" t="inlineStr">
        <is>
          <t>PO Linked</t>
        </is>
      </c>
      <c r="E21" s="30" t="inlineStr">
        <is>
          <t>Avg Rating
(1–5)</t>
        </is>
      </c>
      <c r="F21" s="30" t="inlineStr">
        <is>
          <t>Importance
(H/M/L)</t>
        </is>
      </c>
      <c r="G21" s="30" t="inlineStr">
        <is>
          <t>Strength /
Gap</t>
        </is>
      </c>
      <c r="H21" s="30" t="inlineStr">
        <is>
          <t>Recommended
Action</t>
        </is>
      </c>
    </row>
    <row r="22" ht="22" customHeight="1">
      <c r="B22" s="31" t="inlineStr">
        <is>
          <t>E10</t>
        </is>
      </c>
      <c r="C22" s="32" t="inlineStr">
        <is>
          <t>Written and verbal communication skills</t>
        </is>
      </c>
      <c r="D22" s="33" t="inlineStr">
        <is>
          <t>PO10</t>
        </is>
      </c>
      <c r="E22" s="33" t="inlineStr"/>
      <c r="F22" s="33" t="inlineStr">
        <is>
          <t>H</t>
        </is>
      </c>
      <c r="G22" s="32" t="inlineStr"/>
      <c r="H22" s="32" t="inlineStr"/>
      <c r="I22" s="46" t="n"/>
    </row>
    <row r="23" ht="22" customHeight="1">
      <c r="B23" s="8" t="inlineStr">
        <is>
          <t>E11</t>
        </is>
      </c>
      <c r="C23" s="9" t="inlineStr">
        <is>
          <t>Ability to work effectively in teams</t>
        </is>
      </c>
      <c r="D23" s="10" t="inlineStr">
        <is>
          <t>PO9</t>
        </is>
      </c>
      <c r="E23" s="10" t="inlineStr"/>
      <c r="F23" s="10" t="inlineStr">
        <is>
          <t>H</t>
        </is>
      </c>
      <c r="G23" s="9" t="inlineStr"/>
      <c r="H23" s="9" t="inlineStr"/>
      <c r="I23" s="45" t="n"/>
    </row>
    <row r="24" ht="22" customHeight="1">
      <c r="B24" s="31" t="inlineStr">
        <is>
          <t>E12</t>
        </is>
      </c>
      <c r="C24" s="32" t="inlineStr">
        <is>
          <t>Leadership potential and initiative</t>
        </is>
      </c>
      <c r="D24" s="33" t="inlineStr">
        <is>
          <t>PO9 / PO10</t>
        </is>
      </c>
      <c r="E24" s="33" t="inlineStr"/>
      <c r="F24" s="33" t="inlineStr">
        <is>
          <t>H</t>
        </is>
      </c>
      <c r="G24" s="32" t="inlineStr"/>
      <c r="H24" s="32" t="inlineStr"/>
      <c r="I24" s="46" t="n"/>
    </row>
    <row r="25" ht="22" customHeight="1">
      <c r="B25" s="8" t="inlineStr">
        <is>
          <t>E13</t>
        </is>
      </c>
      <c r="C25" s="9" t="inlineStr">
        <is>
          <t>Cross-cultural and stakeholder management</t>
        </is>
      </c>
      <c r="D25" s="10" t="inlineStr">
        <is>
          <t>PO10</t>
        </is>
      </c>
      <c r="E25" s="10" t="inlineStr"/>
      <c r="F25" s="10" t="inlineStr">
        <is>
          <t>H</t>
        </is>
      </c>
      <c r="G25" s="9" t="inlineStr"/>
      <c r="H25" s="9" t="inlineStr"/>
      <c r="I25" s="45" t="n"/>
    </row>
    <row r="26" ht="22" customHeight="1"/>
    <row r="27" ht="24" customHeight="1">
      <c r="B27" s="59" t="inlineStr">
        <is>
          <t>D. INDUSTRY READINESS</t>
        </is>
      </c>
    </row>
    <row r="28" ht="22" customHeight="1">
      <c r="B28" s="47" t="inlineStr">
        <is>
          <t>Q.</t>
        </is>
      </c>
      <c r="C28" s="47" t="inlineStr">
        <is>
          <t>Feedback Parameter</t>
        </is>
      </c>
      <c r="D28" s="47" t="inlineStr">
        <is>
          <t>PO Linked</t>
        </is>
      </c>
      <c r="E28" s="47" t="inlineStr">
        <is>
          <t>Avg Rating
(1–5)</t>
        </is>
      </c>
      <c r="F28" s="47" t="inlineStr">
        <is>
          <t>Importance
(H/M/L)</t>
        </is>
      </c>
      <c r="G28" s="47" t="inlineStr">
        <is>
          <t>Strength /
Gap</t>
        </is>
      </c>
      <c r="H28" s="47" t="inlineStr">
        <is>
          <t>Recommended
Action</t>
        </is>
      </c>
    </row>
    <row r="29" ht="22" customHeight="1">
      <c r="B29" s="48" t="inlineStr">
        <is>
          <t>E14</t>
        </is>
      </c>
      <c r="C29" s="49" t="inlineStr">
        <is>
          <t>Overall industry readiness on joining</t>
        </is>
      </c>
      <c r="D29" s="50" t="inlineStr">
        <is>
          <t>All POs</t>
        </is>
      </c>
      <c r="E29" s="50" t="inlineStr"/>
      <c r="F29" s="50" t="inlineStr">
        <is>
          <t>H</t>
        </is>
      </c>
      <c r="G29" s="49" t="inlineStr"/>
      <c r="H29" s="49" t="inlineStr"/>
      <c r="I29" s="68" t="n"/>
    </row>
    <row r="30" ht="22" customHeight="1">
      <c r="B30" s="8" t="inlineStr">
        <is>
          <t>E15</t>
        </is>
      </c>
      <c r="C30" s="9" t="inlineStr">
        <is>
          <t>Gap period to full productivity</t>
        </is>
      </c>
      <c r="D30" s="10" t="inlineStr">
        <is>
          <t>All POs</t>
        </is>
      </c>
      <c r="E30" s="10" t="inlineStr"/>
      <c r="F30" s="10" t="inlineStr">
        <is>
          <t>H</t>
        </is>
      </c>
      <c r="G30" s="9" t="inlineStr"/>
      <c r="H30" s="9" t="inlineStr"/>
      <c r="I30" s="45" t="n"/>
    </row>
    <row r="31" ht="22" customHeight="1">
      <c r="B31" s="48" t="inlineStr">
        <is>
          <t>E16</t>
        </is>
      </c>
      <c r="C31" s="49" t="inlineStr">
        <is>
          <t>Would you hire more graduates from this institution?</t>
        </is>
      </c>
      <c r="D31" s="50" t="inlineStr">
        <is>
          <t>—</t>
        </is>
      </c>
      <c r="E31" s="50" t="inlineStr"/>
      <c r="F31" s="50" t="inlineStr">
        <is>
          <t>H</t>
        </is>
      </c>
      <c r="G31" s="49" t="inlineStr"/>
      <c r="H31" s="49" t="inlineStr"/>
      <c r="I31" s="68" t="n"/>
    </row>
    <row r="32" ht="22" customHeight="1">
      <c r="B32" s="8" t="inlineStr">
        <is>
          <t>E17</t>
        </is>
      </c>
      <c r="C32" s="9" t="inlineStr">
        <is>
          <t>Overall rating of graduates from this institution</t>
        </is>
      </c>
      <c r="D32" s="10" t="inlineStr">
        <is>
          <t>All POs</t>
        </is>
      </c>
      <c r="E32" s="10" t="inlineStr"/>
      <c r="F32" s="10" t="inlineStr">
        <is>
          <t>H</t>
        </is>
      </c>
      <c r="G32" s="9" t="inlineStr"/>
      <c r="H32" s="9" t="inlineStr"/>
      <c r="I32" s="45" t="n"/>
    </row>
    <row r="33" ht="22" customHeight="1"/>
    <row r="34" ht="24" customHeight="1">
      <c r="B34" s="27" t="inlineStr">
        <is>
          <t>EMPLOYER FEEDBACK — KEY INSIGHTS &amp; ACC ACTION PLAN</t>
        </is>
      </c>
    </row>
    <row r="35" ht="35" customHeight="1">
      <c r="B35" s="69" t="inlineStr">
        <is>
          <t>Top Strength reported by employers:</t>
        </is>
      </c>
      <c r="C35" s="9" t="n"/>
    </row>
    <row r="36" ht="35" customHeight="1">
      <c r="B36" s="69" t="inlineStr">
        <is>
          <t>Top Area for Improvement reported:</t>
        </is>
      </c>
      <c r="C36" s="9" t="n"/>
    </row>
    <row r="37" ht="35" customHeight="1">
      <c r="B37" s="69" t="inlineStr">
        <is>
          <t>Recommended curriculum changes:</t>
        </is>
      </c>
      <c r="C37" s="9" t="n"/>
    </row>
    <row r="38" ht="35" customHeight="1">
      <c r="B38" s="69" t="inlineStr">
        <is>
          <t>Skills gap identified:</t>
        </is>
      </c>
      <c r="C38" s="9" t="n"/>
    </row>
    <row r="39" ht="35" customHeight="1">
      <c r="B39" s="69" t="inlineStr">
        <is>
          <t>ACC / Institute response plan:</t>
        </is>
      </c>
      <c r="C39" s="9" t="n"/>
    </row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13">
    <mergeCell ref="C36:I36"/>
    <mergeCell ref="B13:I13"/>
    <mergeCell ref="C39:I39"/>
    <mergeCell ref="B2:I2"/>
    <mergeCell ref="B20:I20"/>
    <mergeCell ref="B34:I34"/>
    <mergeCell ref="C35:I35"/>
    <mergeCell ref="B3:I3"/>
    <mergeCell ref="B5:I5"/>
    <mergeCell ref="C38:I38"/>
    <mergeCell ref="B27:I27"/>
    <mergeCell ref="B4:I4"/>
    <mergeCell ref="C37:I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I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ACC-30: ALUMNI COORDINATION COMMITTEE KPI DASHBOARD</t>
        </is>
      </c>
    </row>
    <row r="3" ht="25" customHeight="1">
      <c r="B3" s="2" t="inlineStr">
        <is>
          <t>A.Y.: _______  Quarter: Q1/Q2/Q3/Q4  ACC Coordinator: ___________________  Date: _______</t>
        </is>
      </c>
    </row>
    <row r="4" ht="24" customHeight="1">
      <c r="B4" s="19" t="inlineStr">
        <is>
          <t>DATABASE &amp; REACH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
Target</t>
        </is>
      </c>
      <c r="F5" s="13" t="inlineStr">
        <is>
          <t>Prev. Year
Actual</t>
        </is>
      </c>
      <c r="G5" s="13" t="inlineStr">
        <is>
          <t>Q-to-Date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Total alumni registered</t>
        </is>
      </c>
      <c r="D6" s="16" t="inlineStr">
        <is>
          <t>No.</t>
        </is>
      </c>
      <c r="E6" s="16" t="inlineStr">
        <is>
          <t>All graduates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Registration rate (% of all graduates)</t>
        </is>
      </c>
      <c r="D7" s="10" t="inlineStr">
        <is>
          <t>% of total</t>
        </is>
      </c>
      <c r="E7" s="10" t="inlineStr">
        <is>
          <t>≥60%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Email / contact database accuracy</t>
        </is>
      </c>
      <c r="D8" s="16" t="inlineStr">
        <is>
          <t>% valid contacts</t>
        </is>
      </c>
      <c r="E8" s="16" t="inlineStr">
        <is>
          <t>≥80%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New alumni registered this year</t>
        </is>
      </c>
      <c r="D9" s="10" t="inlineStr">
        <is>
          <t>No.</t>
        </is>
      </c>
      <c r="E9" s="10" t="inlineStr">
        <is>
          <t>≥200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Alumni chapters active</t>
        </is>
      </c>
      <c r="D10" s="16" t="inlineStr">
        <is>
          <t>No.</t>
        </is>
      </c>
      <c r="E10" s="16" t="inlineStr">
        <is>
          <t>≥8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Geographic reach — countries / states</t>
        </is>
      </c>
      <c r="D11" s="10" t="inlineStr">
        <is>
          <t>No.</t>
        </is>
      </c>
      <c r="E11" s="10" t="inlineStr">
        <is>
          <t>Increasing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20" t="inlineStr">
        <is>
          <t>ENGAGEMENT KPIs</t>
        </is>
      </c>
    </row>
    <row r="14" ht="22" customHeight="1">
      <c r="B14" s="21" t="inlineStr">
        <is>
          <t>Sl.</t>
        </is>
      </c>
      <c r="C14" s="21" t="inlineStr">
        <is>
          <t>Key Performance Indicator</t>
        </is>
      </c>
      <c r="D14" s="21" t="inlineStr">
        <is>
          <t>Unit</t>
        </is>
      </c>
      <c r="E14" s="21" t="inlineStr">
        <is>
          <t>Annual
Target</t>
        </is>
      </c>
      <c r="F14" s="21" t="inlineStr">
        <is>
          <t>Prev. Year
Actual</t>
        </is>
      </c>
      <c r="G14" s="21" t="inlineStr">
        <is>
          <t>Q-to-Date
Actual</t>
        </is>
      </c>
      <c r="H14" s="21" t="inlineStr">
        <is>
          <t>Status</t>
        </is>
      </c>
      <c r="I14" s="21" t="inlineStr">
        <is>
          <t>Action Required</t>
        </is>
      </c>
    </row>
    <row r="15" ht="22" customHeight="1">
      <c r="B15" s="42" t="n">
        <v>1</v>
      </c>
      <c r="C15" s="43" t="inlineStr">
        <is>
          <t>Active alumni (participated in any activity this year)</t>
        </is>
      </c>
      <c r="D15" s="22" t="inlineStr">
        <is>
          <t>No.</t>
        </is>
      </c>
      <c r="E15" s="22" t="inlineStr">
        <is>
          <t>≥500</t>
        </is>
      </c>
      <c r="F15" s="22" t="inlineStr"/>
      <c r="G15" s="22" t="inlineStr"/>
      <c r="H15" s="22" t="inlineStr">
        <is>
          <t>On Track</t>
        </is>
      </c>
      <c r="I15" s="43" t="inlineStr"/>
    </row>
    <row r="16" ht="22" customHeight="1">
      <c r="B16" s="8" t="n">
        <v>2</v>
      </c>
      <c r="C16" s="9" t="inlineStr">
        <is>
          <t>Alumni engagement rate (% of registered)</t>
        </is>
      </c>
      <c r="D16" s="10" t="inlineStr">
        <is>
          <t>% engaged</t>
        </is>
      </c>
      <c r="E16" s="10" t="inlineStr">
        <is>
          <t>≥30%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42" t="n">
        <v>3</v>
      </c>
      <c r="C17" s="43" t="inlineStr">
        <is>
          <t>Events / meets conducted this year</t>
        </is>
      </c>
      <c r="D17" s="22" t="inlineStr">
        <is>
          <t>No.</t>
        </is>
      </c>
      <c r="E17" s="22" t="inlineStr">
        <is>
          <t>≥6</t>
        </is>
      </c>
      <c r="F17" s="22" t="inlineStr"/>
      <c r="G17" s="22" t="inlineStr"/>
      <c r="H17" s="22" t="inlineStr">
        <is>
          <t>On Track</t>
        </is>
      </c>
      <c r="I17" s="43" t="inlineStr"/>
    </row>
    <row r="18" ht="22" customHeight="1">
      <c r="B18" s="8" t="n">
        <v>4</v>
      </c>
      <c r="C18" s="9" t="inlineStr">
        <is>
          <t>Total attendance at alumni events</t>
        </is>
      </c>
      <c r="D18" s="10" t="inlineStr">
        <is>
          <t>No.</t>
        </is>
      </c>
      <c r="E18" s="10" t="inlineStr">
        <is>
          <t>≥300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42" t="n">
        <v>5</v>
      </c>
      <c r="C19" s="43" t="inlineStr">
        <is>
          <t>Guest lectures by alumni</t>
        </is>
      </c>
      <c r="D19" s="22" t="inlineStr">
        <is>
          <t>No.</t>
        </is>
      </c>
      <c r="E19" s="22" t="inlineStr">
        <is>
          <t>≥20</t>
        </is>
      </c>
      <c r="F19" s="22" t="inlineStr"/>
      <c r="G19" s="22" t="inlineStr"/>
      <c r="H19" s="22" t="inlineStr">
        <is>
          <t>On Track</t>
        </is>
      </c>
      <c r="I19" s="43" t="inlineStr"/>
    </row>
    <row r="20" ht="22" customHeight="1">
      <c r="B20" s="8" t="n">
        <v>6</v>
      </c>
      <c r="C20" s="9" t="inlineStr">
        <is>
          <t>Mentor-mentee pairs active</t>
        </is>
      </c>
      <c r="D20" s="10" t="inlineStr">
        <is>
          <t>No. pairs</t>
        </is>
      </c>
      <c r="E20" s="10" t="inlineStr">
        <is>
          <t>≥50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>
      <c r="B21" s="42" t="n">
        <v>7</v>
      </c>
      <c r="C21" s="43" t="inlineStr">
        <is>
          <t>Mentorship sessions held</t>
        </is>
      </c>
      <c r="D21" s="22" t="inlineStr">
        <is>
          <t>No.</t>
        </is>
      </c>
      <c r="E21" s="22" t="inlineStr">
        <is>
          <t>≥100</t>
        </is>
      </c>
      <c r="F21" s="22" t="inlineStr"/>
      <c r="G21" s="22" t="inlineStr"/>
      <c r="H21" s="22" t="inlineStr">
        <is>
          <t>On Track</t>
        </is>
      </c>
      <c r="I21" s="43" t="inlineStr"/>
    </row>
    <row r="22" ht="22" customHeight="1">
      <c r="B22" s="8" t="n">
        <v>8</v>
      </c>
      <c r="C22" s="9" t="inlineStr">
        <is>
          <t>Alumni survey response rate</t>
        </is>
      </c>
      <c r="D22" s="10" t="inlineStr">
        <is>
          <t>% of registered</t>
        </is>
      </c>
      <c r="E22" s="10" t="inlineStr">
        <is>
          <t>≥25%</t>
        </is>
      </c>
      <c r="F22" s="10" t="inlineStr"/>
      <c r="G22" s="10" t="inlineStr"/>
      <c r="H22" s="10" t="inlineStr">
        <is>
          <t>On Track</t>
        </is>
      </c>
      <c r="I22" s="9" t="inlineStr"/>
    </row>
    <row r="23" ht="22" customHeight="1"/>
    <row r="24" ht="24" customHeight="1">
      <c r="B24" s="59" t="inlineStr">
        <is>
          <t>CAREER SUPPORT KPIs</t>
        </is>
      </c>
    </row>
    <row r="25" ht="22" customHeight="1">
      <c r="B25" s="47" t="inlineStr">
        <is>
          <t>Sl.</t>
        </is>
      </c>
      <c r="C25" s="47" t="inlineStr">
        <is>
          <t>Key Performance Indicator</t>
        </is>
      </c>
      <c r="D25" s="47" t="inlineStr">
        <is>
          <t>Unit</t>
        </is>
      </c>
      <c r="E25" s="47" t="inlineStr">
        <is>
          <t>Annual
Target</t>
        </is>
      </c>
      <c r="F25" s="47" t="inlineStr">
        <is>
          <t>Prev. Year
Actual</t>
        </is>
      </c>
      <c r="G25" s="47" t="inlineStr">
        <is>
          <t>Q-to-Date
Actual</t>
        </is>
      </c>
      <c r="H25" s="47" t="inlineStr">
        <is>
          <t>Status</t>
        </is>
      </c>
      <c r="I25" s="47" t="inlineStr">
        <is>
          <t>Action Required</t>
        </is>
      </c>
    </row>
    <row r="26" ht="22" customHeight="1">
      <c r="B26" s="48" t="n">
        <v>1</v>
      </c>
      <c r="C26" s="49" t="inlineStr">
        <is>
          <t>Jobs / internships referred by alumni</t>
        </is>
      </c>
      <c r="D26" s="50" t="inlineStr">
        <is>
          <t>No.</t>
        </is>
      </c>
      <c r="E26" s="50" t="inlineStr">
        <is>
          <t>≥50</t>
        </is>
      </c>
      <c r="F26" s="50" t="inlineStr"/>
      <c r="G26" s="50" t="inlineStr"/>
      <c r="H26" s="50" t="inlineStr">
        <is>
          <t>On Track</t>
        </is>
      </c>
      <c r="I26" s="49" t="inlineStr"/>
    </row>
    <row r="27" ht="22" customHeight="1">
      <c r="B27" s="8" t="n">
        <v>2</v>
      </c>
      <c r="C27" s="9" t="inlineStr">
        <is>
          <t>Students placed via alumni referrals</t>
        </is>
      </c>
      <c r="D27" s="10" t="inlineStr">
        <is>
          <t>No.</t>
        </is>
      </c>
      <c r="E27" s="10" t="inlineStr">
        <is>
          <t>≥30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48" t="n">
        <v>3</v>
      </c>
      <c r="C28" s="49" t="inlineStr">
        <is>
          <t>Campus drives by alumni companies</t>
        </is>
      </c>
      <c r="D28" s="50" t="inlineStr">
        <is>
          <t>No.</t>
        </is>
      </c>
      <c r="E28" s="50" t="inlineStr">
        <is>
          <t>≥5</t>
        </is>
      </c>
      <c r="F28" s="50" t="inlineStr"/>
      <c r="G28" s="50" t="inlineStr"/>
      <c r="H28" s="50" t="inlineStr">
        <is>
          <t>On Track</t>
        </is>
      </c>
      <c r="I28" s="49" t="inlineStr"/>
    </row>
    <row r="29" ht="22" customHeight="1">
      <c r="B29" s="8" t="n">
        <v>4</v>
      </c>
      <c r="C29" s="9" t="inlineStr">
        <is>
          <t>Career counselling sessions by alumni</t>
        </is>
      </c>
      <c r="D29" s="10" t="inlineStr">
        <is>
          <t>No.</t>
        </is>
      </c>
      <c r="E29" s="10" t="inlineStr">
        <is>
          <t>≥30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>
      <c r="B30" s="48" t="n">
        <v>5</v>
      </c>
      <c r="C30" s="49" t="inlineStr">
        <is>
          <t>Alumni mentoring entrepreneur students</t>
        </is>
      </c>
      <c r="D30" s="50" t="inlineStr">
        <is>
          <t>No. alumni</t>
        </is>
      </c>
      <c r="E30" s="50" t="inlineStr">
        <is>
          <t>≥10</t>
        </is>
      </c>
      <c r="F30" s="50" t="inlineStr"/>
      <c r="G30" s="50" t="inlineStr"/>
      <c r="H30" s="50" t="inlineStr">
        <is>
          <t>On Track</t>
        </is>
      </c>
      <c r="I30" s="49" t="inlineStr"/>
    </row>
    <row r="31" ht="22" customHeight="1"/>
    <row r="32" ht="24" customHeight="1">
      <c r="B32" s="34" t="inlineStr">
        <is>
          <t>CONTRIBUTION KPIs</t>
        </is>
      </c>
    </row>
    <row r="33" ht="22" customHeight="1">
      <c r="B33" s="30" t="inlineStr">
        <is>
          <t>Sl.</t>
        </is>
      </c>
      <c r="C33" s="30" t="inlineStr">
        <is>
          <t>Key Performance Indicator</t>
        </is>
      </c>
      <c r="D33" s="30" t="inlineStr">
        <is>
          <t>Unit</t>
        </is>
      </c>
      <c r="E33" s="30" t="inlineStr">
        <is>
          <t>Annual
Target</t>
        </is>
      </c>
      <c r="F33" s="30" t="inlineStr">
        <is>
          <t>Prev. Year
Actual</t>
        </is>
      </c>
      <c r="G33" s="30" t="inlineStr">
        <is>
          <t>Q-to-Date
Actual</t>
        </is>
      </c>
      <c r="H33" s="30" t="inlineStr">
        <is>
          <t>Status</t>
        </is>
      </c>
      <c r="I33" s="30" t="inlineStr">
        <is>
          <t>Action Required</t>
        </is>
      </c>
    </row>
    <row r="34" ht="22" customHeight="1">
      <c r="B34" s="31" t="n">
        <v>1</v>
      </c>
      <c r="C34" s="32" t="inlineStr">
        <is>
          <t>Total donations received (₹L)</t>
        </is>
      </c>
      <c r="D34" s="33" t="inlineStr">
        <is>
          <t>₹L</t>
        </is>
      </c>
      <c r="E34" s="33" t="inlineStr">
        <is>
          <t>≥10</t>
        </is>
      </c>
      <c r="F34" s="33" t="inlineStr"/>
      <c r="G34" s="33" t="inlineStr"/>
      <c r="H34" s="33" t="inlineStr">
        <is>
          <t>On Track</t>
        </is>
      </c>
      <c r="I34" s="32" t="inlineStr"/>
    </row>
    <row r="35" ht="22" customHeight="1">
      <c r="B35" s="8" t="n">
        <v>2</v>
      </c>
      <c r="C35" s="9" t="inlineStr">
        <is>
          <t>No. of donors (alumni)</t>
        </is>
      </c>
      <c r="D35" s="10" t="inlineStr">
        <is>
          <t>No.</t>
        </is>
      </c>
      <c r="E35" s="10" t="inlineStr">
        <is>
          <t>≥50</t>
        </is>
      </c>
      <c r="F35" s="10" t="inlineStr"/>
      <c r="G35" s="10" t="inlineStr"/>
      <c r="H35" s="10" t="inlineStr">
        <is>
          <t>On Track</t>
        </is>
      </c>
      <c r="I35" s="9" t="inlineStr"/>
    </row>
    <row r="36" ht="22" customHeight="1">
      <c r="B36" s="31" t="n">
        <v>3</v>
      </c>
      <c r="C36" s="32" t="inlineStr">
        <is>
          <t>Scholarships funded by alumni</t>
        </is>
      </c>
      <c r="D36" s="33" t="inlineStr">
        <is>
          <t>No.</t>
        </is>
      </c>
      <c r="E36" s="33" t="inlineStr">
        <is>
          <t>≥5</t>
        </is>
      </c>
      <c r="F36" s="33" t="inlineStr"/>
      <c r="G36" s="33" t="inlineStr"/>
      <c r="H36" s="33" t="inlineStr">
        <is>
          <t>On Track</t>
        </is>
      </c>
      <c r="I36" s="32" t="inlineStr"/>
    </row>
    <row r="37" ht="22" customHeight="1">
      <c r="B37" s="8" t="n">
        <v>4</v>
      </c>
      <c r="C37" s="9" t="inlineStr">
        <is>
          <t>Scholarship amount disbursed (₹L)</t>
        </is>
      </c>
      <c r="D37" s="10" t="inlineStr">
        <is>
          <t>₹L</t>
        </is>
      </c>
      <c r="E37" s="10" t="inlineStr">
        <is>
          <t>≥2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>
      <c r="B38" s="31" t="n">
        <v>5</v>
      </c>
      <c r="C38" s="32" t="inlineStr">
        <is>
          <t>Equipment / infra contribution (₹L equivalent)</t>
        </is>
      </c>
      <c r="D38" s="33" t="inlineStr">
        <is>
          <t>₹L</t>
        </is>
      </c>
      <c r="E38" s="33" t="inlineStr">
        <is>
          <t>≥5</t>
        </is>
      </c>
      <c r="F38" s="33" t="inlineStr"/>
      <c r="G38" s="33" t="inlineStr"/>
      <c r="H38" s="33" t="inlineStr">
        <is>
          <t>On Track</t>
        </is>
      </c>
      <c r="I38" s="32" t="inlineStr"/>
    </row>
    <row r="39" ht="22" customHeight="1">
      <c r="B39" s="8" t="n">
        <v>6</v>
      </c>
      <c r="C39" s="9" t="inlineStr">
        <is>
          <t>Alumni with MoU / partnership with institution</t>
        </is>
      </c>
      <c r="D39" s="10" t="inlineStr">
        <is>
          <t>No.</t>
        </is>
      </c>
      <c r="E39" s="10" t="inlineStr">
        <is>
          <t>≥5</t>
        </is>
      </c>
      <c r="F39" s="10" t="inlineStr"/>
      <c r="G39" s="10" t="inlineStr"/>
      <c r="H39" s="10" t="inlineStr">
        <is>
          <t>On Track</t>
        </is>
      </c>
      <c r="I39" s="9" t="inlineStr"/>
    </row>
    <row r="40" ht="22" customHeight="1"/>
    <row r="41" ht="24" customHeight="1">
      <c r="B41" s="70" t="inlineStr">
        <is>
          <t>COMMUNICATION KPIs</t>
        </is>
      </c>
    </row>
    <row r="42" ht="22" customHeight="1">
      <c r="B42" s="71" t="inlineStr">
        <is>
          <t>Sl.</t>
        </is>
      </c>
      <c r="C42" s="71" t="inlineStr">
        <is>
          <t>Key Performance Indicator</t>
        </is>
      </c>
      <c r="D42" s="71" t="inlineStr">
        <is>
          <t>Unit</t>
        </is>
      </c>
      <c r="E42" s="71" t="inlineStr">
        <is>
          <t>Annual
Target</t>
        </is>
      </c>
      <c r="F42" s="71" t="inlineStr">
        <is>
          <t>Prev. Year
Actual</t>
        </is>
      </c>
      <c r="G42" s="71" t="inlineStr">
        <is>
          <t>Q-to-Date
Actual</t>
        </is>
      </c>
      <c r="H42" s="71" t="inlineStr">
        <is>
          <t>Status</t>
        </is>
      </c>
      <c r="I42" s="71" t="inlineStr">
        <is>
          <t>Action Required</t>
        </is>
      </c>
    </row>
    <row r="43" ht="22" customHeight="1">
      <c r="B43" s="72" t="n">
        <v>1</v>
      </c>
      <c r="C43" s="73" t="inlineStr">
        <is>
          <t>Newsletter / magazine issues published</t>
        </is>
      </c>
      <c r="D43" s="74" t="inlineStr">
        <is>
          <t>No.</t>
        </is>
      </c>
      <c r="E43" s="74" t="inlineStr">
        <is>
          <t>≥4</t>
        </is>
      </c>
      <c r="F43" s="74" t="inlineStr"/>
      <c r="G43" s="74" t="inlineStr"/>
      <c r="H43" s="74" t="inlineStr">
        <is>
          <t>On Track</t>
        </is>
      </c>
      <c r="I43" s="73" t="inlineStr"/>
    </row>
    <row r="44" ht="22" customHeight="1">
      <c r="B44" s="8" t="n">
        <v>2</v>
      </c>
      <c r="C44" s="9" t="inlineStr">
        <is>
          <t>Social media followers (combined)</t>
        </is>
      </c>
      <c r="D44" s="10" t="inlineStr">
        <is>
          <t>No.</t>
        </is>
      </c>
      <c r="E44" s="10" t="inlineStr">
        <is>
          <t>Increasing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72" t="n">
        <v>3</v>
      </c>
      <c r="C45" s="73" t="inlineStr">
        <is>
          <t>Email open rate (alumni communication)</t>
        </is>
      </c>
      <c r="D45" s="74" t="inlineStr">
        <is>
          <t>% opens</t>
        </is>
      </c>
      <c r="E45" s="74" t="inlineStr">
        <is>
          <t>≥30%</t>
        </is>
      </c>
      <c r="F45" s="74" t="inlineStr"/>
      <c r="G45" s="74" t="inlineStr"/>
      <c r="H45" s="74" t="inlineStr">
        <is>
          <t>On Track</t>
        </is>
      </c>
      <c r="I45" s="73" t="inlineStr"/>
    </row>
    <row r="46" ht="22" customHeight="1">
      <c r="B46" s="8" t="n">
        <v>4</v>
      </c>
      <c r="C46" s="9" t="inlineStr">
        <is>
          <t>Alumni website visits (monthly avg.)</t>
        </is>
      </c>
      <c r="D46" s="10" t="inlineStr">
        <is>
          <t>No.</t>
        </is>
      </c>
      <c r="E46" s="10" t="inlineStr">
        <is>
          <t>≥500</t>
        </is>
      </c>
      <c r="F46" s="10" t="inlineStr"/>
      <c r="G46" s="10" t="inlineStr"/>
      <c r="H46" s="10" t="inlineStr">
        <is>
          <t>On Track</t>
        </is>
      </c>
      <c r="I46" s="9" t="inlineStr"/>
    </row>
    <row r="47" ht="22" customHeight="1">
      <c r="B47" s="72" t="n">
        <v>5</v>
      </c>
      <c r="C47" s="73" t="inlineStr">
        <is>
          <t>Alumni satisfaction score (/5)</t>
        </is>
      </c>
      <c r="D47" s="74" t="inlineStr">
        <is>
          <t>Score</t>
        </is>
      </c>
      <c r="E47" s="74" t="inlineStr">
        <is>
          <t>≥3.5</t>
        </is>
      </c>
      <c r="F47" s="74" t="inlineStr"/>
      <c r="G47" s="74" t="inlineStr"/>
      <c r="H47" s="74" t="inlineStr">
        <is>
          <t>On Track</t>
        </is>
      </c>
      <c r="I47" s="73" t="inlineStr"/>
    </row>
    <row r="48" ht="22" customHeight="1"/>
    <row r="49" ht="24" customHeight="1">
      <c r="B49" s="60" t="inlineStr">
        <is>
          <t>NAAC / ACCREDITATION KPIs</t>
        </is>
      </c>
    </row>
    <row r="50" ht="22" customHeight="1">
      <c r="B50" s="61" t="inlineStr">
        <is>
          <t>Sl.</t>
        </is>
      </c>
      <c r="C50" s="61" t="inlineStr">
        <is>
          <t>Key Performance Indicator</t>
        </is>
      </c>
      <c r="D50" s="61" t="inlineStr">
        <is>
          <t>Unit</t>
        </is>
      </c>
      <c r="E50" s="61" t="inlineStr">
        <is>
          <t>Annual
Target</t>
        </is>
      </c>
      <c r="F50" s="61" t="inlineStr">
        <is>
          <t>Prev. Year
Actual</t>
        </is>
      </c>
      <c r="G50" s="61" t="inlineStr">
        <is>
          <t>Q-to-Date
Actual</t>
        </is>
      </c>
      <c r="H50" s="61" t="inlineStr">
        <is>
          <t>Status</t>
        </is>
      </c>
      <c r="I50" s="61" t="inlineStr">
        <is>
          <t>Action Required</t>
        </is>
      </c>
    </row>
    <row r="51" ht="22" customHeight="1">
      <c r="B51" s="62" t="n">
        <v>1</v>
      </c>
      <c r="C51" s="63" t="inlineStr">
        <is>
          <t>Alumni data submitted to NAAC (AQAR)</t>
        </is>
      </c>
      <c r="D51" s="64" t="inlineStr">
        <is>
          <t>Y/N</t>
        </is>
      </c>
      <c r="E51" s="64" t="inlineStr">
        <is>
          <t>Yes by Jul 31</t>
        </is>
      </c>
      <c r="F51" s="64" t="inlineStr"/>
      <c r="G51" s="64" t="inlineStr"/>
      <c r="H51" s="64" t="inlineStr">
        <is>
          <t>On Track</t>
        </is>
      </c>
      <c r="I51" s="63" t="inlineStr"/>
    </row>
    <row r="52" ht="22" customHeight="1">
      <c r="B52" s="8" t="n">
        <v>2</v>
      </c>
      <c r="C52" s="9" t="inlineStr">
        <is>
          <t>Employer feedback survey conducted</t>
        </is>
      </c>
      <c r="D52" s="10" t="inlineStr">
        <is>
          <t>Y/N</t>
        </is>
      </c>
      <c r="E52" s="10" t="inlineStr">
        <is>
          <t>Yes annually</t>
        </is>
      </c>
      <c r="F52" s="10" t="inlineStr"/>
      <c r="G52" s="10" t="inlineStr"/>
      <c r="H52" s="10" t="inlineStr">
        <is>
          <t>On Track</t>
        </is>
      </c>
      <c r="I52" s="9" t="inlineStr"/>
    </row>
    <row r="53" ht="22" customHeight="1">
      <c r="B53" s="62" t="n">
        <v>3</v>
      </c>
      <c r="C53" s="63" t="inlineStr">
        <is>
          <t>Graduation outcomes data for NIRF</t>
        </is>
      </c>
      <c r="D53" s="64" t="inlineStr">
        <is>
          <t>% compiled</t>
        </is>
      </c>
      <c r="E53" s="64" t="inlineStr">
        <is>
          <t>100%</t>
        </is>
      </c>
      <c r="F53" s="64" t="inlineStr"/>
      <c r="G53" s="64" t="inlineStr"/>
      <c r="H53" s="64" t="inlineStr">
        <is>
          <t>On Track</t>
        </is>
      </c>
      <c r="I53" s="63" t="inlineStr"/>
    </row>
    <row r="54" ht="22" customHeight="1">
      <c r="B54" s="8" t="n">
        <v>4</v>
      </c>
      <c r="C54" s="9" t="inlineStr">
        <is>
          <t>Distinguished alumni recognised</t>
        </is>
      </c>
      <c r="D54" s="10" t="inlineStr">
        <is>
          <t>No. per year</t>
        </is>
      </c>
      <c r="E54" s="10" t="inlineStr">
        <is>
          <t>≥2</t>
        </is>
      </c>
      <c r="F54" s="10" t="inlineStr"/>
      <c r="G54" s="10" t="inlineStr"/>
      <c r="H54" s="10" t="inlineStr">
        <is>
          <t>On Track</t>
        </is>
      </c>
      <c r="I54" s="9" t="inlineStr"/>
    </row>
    <row r="55" ht="22" customHeight="1">
      <c r="B55" s="62" t="n">
        <v>5</v>
      </c>
      <c r="C55" s="63" t="inlineStr">
        <is>
          <t>Alumni contribution to IQAC / curriculum</t>
        </is>
      </c>
      <c r="D55" s="64" t="inlineStr">
        <is>
          <t>No. inputs</t>
        </is>
      </c>
      <c r="E55" s="64" t="inlineStr">
        <is>
          <t>≥1</t>
        </is>
      </c>
      <c r="F55" s="64" t="inlineStr"/>
      <c r="G55" s="64" t="inlineStr"/>
      <c r="H55" s="64" t="inlineStr">
        <is>
          <t>On Track</t>
        </is>
      </c>
      <c r="I55" s="63" t="inlineStr"/>
    </row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8">
    <mergeCell ref="B13:I13"/>
    <mergeCell ref="B49:I49"/>
    <mergeCell ref="B24:I24"/>
    <mergeCell ref="B2:I2"/>
    <mergeCell ref="B3:I3"/>
    <mergeCell ref="B41:I41"/>
    <mergeCell ref="B32:I32"/>
    <mergeCell ref="B4:I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ACC-31: ALUMNI ANNUAL REPORT COMPILATION FORM</t>
        </is>
      </c>
    </row>
    <row r="3" ht="25" customHeight="1">
      <c r="B3" s="2" t="inlineStr">
        <is>
          <t>A.Y.: _______  Compiled by: Alumni Coordinator  Submitted to: Management / IQAC / Governing Body  Date: _______</t>
        </is>
      </c>
    </row>
    <row r="4" ht="24" customHeight="1">
      <c r="B4" s="19" t="inlineStr">
        <is>
          <t>SECTION 1 — DATABASE &amp; REACH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alumni registered (cumulative)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New registrations this year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Active alumni (engaged this year)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Alumni chapters active</t>
        </is>
      </c>
      <c r="D9" s="10" t="inlineStr">
        <is>
          <t>No.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Countries with alumni presence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Registration rate (%)</t>
        </is>
      </c>
      <c r="D11" s="10" t="inlineStr">
        <is>
          <t>% of graduates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/>
    <row r="13" ht="24" customHeight="1">
      <c r="B13" s="20" t="inlineStr">
        <is>
          <t>SECTION 2 — ENGAGEMENT ACTIVITIES</t>
        </is>
      </c>
    </row>
    <row r="14" ht="22" customHeight="1">
      <c r="B14" s="21" t="inlineStr">
        <is>
          <t>Sl.</t>
        </is>
      </c>
      <c r="C14" s="21" t="inlineStr">
        <is>
          <t>Performance Metric</t>
        </is>
      </c>
      <c r="D14" s="21" t="inlineStr">
        <is>
          <t>Unit</t>
        </is>
      </c>
      <c r="E14" s="21" t="inlineStr">
        <is>
          <t>Current A.Y.</t>
        </is>
      </c>
      <c r="F14" s="21" t="inlineStr">
        <is>
          <t>Previous A.Y.</t>
        </is>
      </c>
      <c r="G14" s="21" t="inlineStr">
        <is>
          <t>Growth %</t>
        </is>
      </c>
      <c r="H14" s="21" t="inlineStr">
        <is>
          <t>Target Next Year</t>
        </is>
      </c>
    </row>
    <row r="15" ht="22" customHeight="1">
      <c r="B15" s="42" t="n">
        <v>1</v>
      </c>
      <c r="C15" s="43" t="inlineStr">
        <is>
          <t>Total events / meets conducted</t>
        </is>
      </c>
      <c r="D15" s="22" t="inlineStr">
        <is>
          <t>No.</t>
        </is>
      </c>
      <c r="E15" s="22" t="inlineStr"/>
      <c r="F15" s="22" t="inlineStr"/>
      <c r="G15" s="22">
        <f>IFERROR(ROUND((E15-F15)/F15*100,1),"")</f>
        <v/>
      </c>
      <c r="H15" s="22" t="inlineStr"/>
    </row>
    <row r="16" ht="22" customHeight="1">
      <c r="B16" s="8" t="n">
        <v>2</v>
      </c>
      <c r="C16" s="9" t="inlineStr">
        <is>
          <t>Total alumni attendees (all events)</t>
        </is>
      </c>
      <c r="D16" s="10" t="inlineStr">
        <is>
          <t>No.</t>
        </is>
      </c>
      <c r="E16" s="10" t="inlineStr"/>
      <c r="F16" s="10" t="inlineStr"/>
      <c r="G16" s="10">
        <f>IFERROR(ROUND((E16-F16)/F16*100,1),"")</f>
        <v/>
      </c>
      <c r="H16" s="10" t="inlineStr"/>
    </row>
    <row r="17" ht="22" customHeight="1">
      <c r="B17" s="42" t="n">
        <v>3</v>
      </c>
      <c r="C17" s="43" t="inlineStr">
        <is>
          <t>Guest lectures arranged</t>
        </is>
      </c>
      <c r="D17" s="22" t="inlineStr">
        <is>
          <t>No.</t>
        </is>
      </c>
      <c r="E17" s="22" t="inlineStr"/>
      <c r="F17" s="22" t="inlineStr"/>
      <c r="G17" s="22">
        <f>IFERROR(ROUND((E17-F17)/F17*100,1),"")</f>
        <v/>
      </c>
      <c r="H17" s="22" t="inlineStr"/>
    </row>
    <row r="18" ht="22" customHeight="1">
      <c r="B18" s="8" t="n">
        <v>4</v>
      </c>
      <c r="C18" s="9" t="inlineStr">
        <is>
          <t>Students benefited through alumni</t>
        </is>
      </c>
      <c r="D18" s="10" t="inlineStr">
        <is>
          <t>No.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42" t="n">
        <v>5</v>
      </c>
      <c r="C19" s="43" t="inlineStr">
        <is>
          <t>Mentorship pairs</t>
        </is>
      </c>
      <c r="D19" s="22" t="inlineStr">
        <is>
          <t>No.</t>
        </is>
      </c>
      <c r="E19" s="22" t="inlineStr"/>
      <c r="F19" s="22" t="inlineStr"/>
      <c r="G19" s="22">
        <f>IFERROR(ROUND((E19-F19)/F19*100,1),"")</f>
        <v/>
      </c>
      <c r="H19" s="22" t="inlineStr"/>
    </row>
    <row r="20" ht="22" customHeight="1">
      <c r="B20" s="8" t="n">
        <v>6</v>
      </c>
      <c r="C20" s="9" t="inlineStr">
        <is>
          <t>Mentorship sessions</t>
        </is>
      </c>
      <c r="D20" s="10" t="inlineStr">
        <is>
          <t>No.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>
      <c r="B21" s="42" t="n">
        <v>7</v>
      </c>
      <c r="C21" s="43" t="inlineStr">
        <is>
          <t>Virtual / online engagement sessions</t>
        </is>
      </c>
      <c r="D21" s="22" t="inlineStr">
        <is>
          <t>No.</t>
        </is>
      </c>
      <c r="E21" s="22" t="inlineStr"/>
      <c r="F21" s="22" t="inlineStr"/>
      <c r="G21" s="22">
        <f>IFERROR(ROUND((E21-F21)/F21*100,1),"")</f>
        <v/>
      </c>
      <c r="H21" s="22" t="inlineStr"/>
    </row>
    <row r="22" ht="22" customHeight="1">
      <c r="B22" s="8" t="n">
        <v>8</v>
      </c>
      <c r="C22" s="9" t="inlineStr">
        <is>
          <t>Alumni survey conducted</t>
        </is>
      </c>
      <c r="D22" s="10" t="inlineStr">
        <is>
          <t>Y/N</t>
        </is>
      </c>
      <c r="E22" s="10" t="inlineStr"/>
      <c r="F22" s="10" t="inlineStr"/>
      <c r="G22" s="10">
        <f>IFERROR(ROUND((E22-F22)/F22*100,1),"")</f>
        <v/>
      </c>
      <c r="H22" s="10" t="inlineStr"/>
    </row>
    <row r="23" ht="22" customHeight="1"/>
    <row r="24" ht="24" customHeight="1">
      <c r="B24" s="59" t="inlineStr">
        <is>
          <t>SECTION 3 — CAREER SUPPORT</t>
        </is>
      </c>
    </row>
    <row r="25" ht="22" customHeight="1">
      <c r="B25" s="47" t="inlineStr">
        <is>
          <t>Sl.</t>
        </is>
      </c>
      <c r="C25" s="47" t="inlineStr">
        <is>
          <t>Performance Metric</t>
        </is>
      </c>
      <c r="D25" s="47" t="inlineStr">
        <is>
          <t>Unit</t>
        </is>
      </c>
      <c r="E25" s="47" t="inlineStr">
        <is>
          <t>Current A.Y.</t>
        </is>
      </c>
      <c r="F25" s="47" t="inlineStr">
        <is>
          <t>Previous A.Y.</t>
        </is>
      </c>
      <c r="G25" s="47" t="inlineStr">
        <is>
          <t>Growth %</t>
        </is>
      </c>
      <c r="H25" s="47" t="inlineStr">
        <is>
          <t>Target Next Year</t>
        </is>
      </c>
    </row>
    <row r="26" ht="22" customHeight="1">
      <c r="B26" s="48" t="n">
        <v>1</v>
      </c>
      <c r="C26" s="49" t="inlineStr">
        <is>
          <t>Job referrals by alumni</t>
        </is>
      </c>
      <c r="D26" s="50" t="inlineStr">
        <is>
          <t>No.</t>
        </is>
      </c>
      <c r="E26" s="50" t="inlineStr"/>
      <c r="F26" s="50" t="inlineStr"/>
      <c r="G26" s="50">
        <f>IFERROR(ROUND((E26-F26)/F26*100,1),"")</f>
        <v/>
      </c>
      <c r="H26" s="50" t="inlineStr"/>
    </row>
    <row r="27" ht="22" customHeight="1">
      <c r="B27" s="8" t="n">
        <v>2</v>
      </c>
      <c r="C27" s="9" t="inlineStr">
        <is>
          <t>Students placed via alumni</t>
        </is>
      </c>
      <c r="D27" s="10" t="inlineStr">
        <is>
          <t>No.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48" t="n">
        <v>3</v>
      </c>
      <c r="C28" s="49" t="inlineStr">
        <is>
          <t>Placement rate via alumni (%)</t>
        </is>
      </c>
      <c r="D28" s="50" t="inlineStr">
        <is>
          <t>% of placements</t>
        </is>
      </c>
      <c r="E28" s="50" t="inlineStr"/>
      <c r="F28" s="50" t="inlineStr"/>
      <c r="G28" s="50">
        <f>IFERROR(ROUND((E28-F28)/F28*100,1),"")</f>
        <v/>
      </c>
      <c r="H28" s="50" t="inlineStr"/>
    </row>
    <row r="29" ht="22" customHeight="1">
      <c r="B29" s="8" t="n">
        <v>4</v>
      </c>
      <c r="C29" s="9" t="inlineStr">
        <is>
          <t>Campus drives by alumni firms</t>
        </is>
      </c>
      <c r="D29" s="10" t="inlineStr">
        <is>
          <t>No.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>
      <c r="B30" s="48" t="n">
        <v>5</v>
      </c>
      <c r="C30" s="49" t="inlineStr">
        <is>
          <t>Entrepreneurs mentored</t>
        </is>
      </c>
      <c r="D30" s="50" t="inlineStr">
        <is>
          <t>No.</t>
        </is>
      </c>
      <c r="E30" s="50" t="inlineStr"/>
      <c r="F30" s="50" t="inlineStr"/>
      <c r="G30" s="50">
        <f>IFERROR(ROUND((E30-F30)/F30*100,1),"")</f>
        <v/>
      </c>
      <c r="H30" s="50" t="inlineStr"/>
    </row>
    <row r="31" ht="22" customHeight="1">
      <c r="B31" s="8" t="n">
        <v>6</v>
      </c>
      <c r="C31" s="9" t="inlineStr">
        <is>
          <t>Career counselling sessions</t>
        </is>
      </c>
      <c r="D31" s="10" t="inlineStr">
        <is>
          <t>No.</t>
        </is>
      </c>
      <c r="E31" s="10" t="inlineStr"/>
      <c r="F31" s="10" t="inlineStr"/>
      <c r="G31" s="10">
        <f>IFERROR(ROUND((E31-F31)/F31*100,1),"")</f>
        <v/>
      </c>
      <c r="H31" s="10" t="inlineStr"/>
    </row>
    <row r="32" ht="22" customHeight="1"/>
    <row r="33" ht="24" customHeight="1">
      <c r="B33" s="34" t="inlineStr">
        <is>
          <t>SECTION 4 — CONTRIBUTIONS</t>
        </is>
      </c>
    </row>
    <row r="34" ht="22" customHeight="1">
      <c r="B34" s="30" t="inlineStr">
        <is>
          <t>Sl.</t>
        </is>
      </c>
      <c r="C34" s="30" t="inlineStr">
        <is>
          <t>Performance Metric</t>
        </is>
      </c>
      <c r="D34" s="30" t="inlineStr">
        <is>
          <t>Unit</t>
        </is>
      </c>
      <c r="E34" s="30" t="inlineStr">
        <is>
          <t>Current A.Y.</t>
        </is>
      </c>
      <c r="F34" s="30" t="inlineStr">
        <is>
          <t>Previous A.Y.</t>
        </is>
      </c>
      <c r="G34" s="30" t="inlineStr">
        <is>
          <t>Growth %</t>
        </is>
      </c>
      <c r="H34" s="30" t="inlineStr">
        <is>
          <t>Target Next Year</t>
        </is>
      </c>
    </row>
    <row r="35" ht="22" customHeight="1">
      <c r="B35" s="31" t="n">
        <v>1</v>
      </c>
      <c r="C35" s="32" t="inlineStr">
        <is>
          <t>Total financial donations (₹L)</t>
        </is>
      </c>
      <c r="D35" s="33" t="inlineStr">
        <is>
          <t>₹L</t>
        </is>
      </c>
      <c r="E35" s="33" t="inlineStr"/>
      <c r="F35" s="33" t="inlineStr"/>
      <c r="G35" s="33">
        <f>IFERROR(ROUND((E35-F35)/F35*100,1),"")</f>
        <v/>
      </c>
      <c r="H35" s="33" t="inlineStr"/>
    </row>
    <row r="36" ht="22" customHeight="1">
      <c r="B36" s="8" t="n">
        <v>2</v>
      </c>
      <c r="C36" s="9" t="inlineStr">
        <is>
          <t>No. of donors</t>
        </is>
      </c>
      <c r="D36" s="10" t="inlineStr">
        <is>
          <t>No.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31" t="n">
        <v>3</v>
      </c>
      <c r="C37" s="32" t="inlineStr">
        <is>
          <t>Scholarships funded (no.)</t>
        </is>
      </c>
      <c r="D37" s="33" t="inlineStr">
        <is>
          <t>No.</t>
        </is>
      </c>
      <c r="E37" s="33" t="inlineStr"/>
      <c r="F37" s="33" t="inlineStr"/>
      <c r="G37" s="33">
        <f>IFERROR(ROUND((E37-F37)/F37*100,1),"")</f>
        <v/>
      </c>
      <c r="H37" s="33" t="inlineStr"/>
    </row>
    <row r="38" ht="22" customHeight="1">
      <c r="B38" s="8" t="n">
        <v>4</v>
      </c>
      <c r="C38" s="9" t="inlineStr">
        <is>
          <t>Scholarship amount (₹L)</t>
        </is>
      </c>
      <c r="D38" s="10" t="inlineStr">
        <is>
          <t>₹L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>
      <c r="B39" s="31" t="n">
        <v>5</v>
      </c>
      <c r="C39" s="32" t="inlineStr">
        <is>
          <t>Equipment / infra contribution (₹L)</t>
        </is>
      </c>
      <c r="D39" s="33" t="inlineStr">
        <is>
          <t>₹L</t>
        </is>
      </c>
      <c r="E39" s="33" t="inlineStr"/>
      <c r="F39" s="33" t="inlineStr"/>
      <c r="G39" s="33">
        <f>IFERROR(ROUND((E39-F39)/F39*100,1),"")</f>
        <v/>
      </c>
      <c r="H39" s="33" t="inlineStr"/>
    </row>
    <row r="40" ht="22" customHeight="1">
      <c r="B40" s="8" t="n">
        <v>6</v>
      </c>
      <c r="C40" s="9" t="inlineStr">
        <is>
          <t>MoUs / partnerships by alumni</t>
        </is>
      </c>
      <c r="D40" s="10" t="inlineStr">
        <is>
          <t>No.</t>
        </is>
      </c>
      <c r="E40" s="10" t="inlineStr"/>
      <c r="F40" s="10" t="inlineStr"/>
      <c r="G40" s="10">
        <f>IFERROR(ROUND((E40-F40)/F40*100,1),"")</f>
        <v/>
      </c>
      <c r="H40" s="10" t="inlineStr"/>
    </row>
    <row r="41" ht="22" customHeight="1"/>
    <row r="42" ht="24" customHeight="1">
      <c r="B42" s="70" t="inlineStr">
        <is>
          <t>SECTION 5 — COMMUNICATION</t>
        </is>
      </c>
    </row>
    <row r="43" ht="22" customHeight="1">
      <c r="B43" s="71" t="inlineStr">
        <is>
          <t>Sl.</t>
        </is>
      </c>
      <c r="C43" s="71" t="inlineStr">
        <is>
          <t>Performance Metric</t>
        </is>
      </c>
      <c r="D43" s="71" t="inlineStr">
        <is>
          <t>Unit</t>
        </is>
      </c>
      <c r="E43" s="71" t="inlineStr">
        <is>
          <t>Current A.Y.</t>
        </is>
      </c>
      <c r="F43" s="71" t="inlineStr">
        <is>
          <t>Previous A.Y.</t>
        </is>
      </c>
      <c r="G43" s="71" t="inlineStr">
        <is>
          <t>Growth %</t>
        </is>
      </c>
      <c r="H43" s="71" t="inlineStr">
        <is>
          <t>Target Next Year</t>
        </is>
      </c>
    </row>
    <row r="44" ht="22" customHeight="1">
      <c r="B44" s="72" t="n">
        <v>1</v>
      </c>
      <c r="C44" s="73" t="inlineStr">
        <is>
          <t>Newsletters / magazines published</t>
        </is>
      </c>
      <c r="D44" s="74" t="inlineStr">
        <is>
          <t>No.</t>
        </is>
      </c>
      <c r="E44" s="74" t="inlineStr"/>
      <c r="F44" s="74" t="inlineStr"/>
      <c r="G44" s="74">
        <f>IFERROR(ROUND((E44-F44)/F44*100,1),"")</f>
        <v/>
      </c>
      <c r="H44" s="74" t="inlineStr"/>
    </row>
    <row r="45" ht="22" customHeight="1">
      <c r="B45" s="8" t="n">
        <v>2</v>
      </c>
      <c r="C45" s="9" t="inlineStr">
        <is>
          <t>Avg. social media reach</t>
        </is>
      </c>
      <c r="D45" s="10" t="inlineStr">
        <is>
          <t>No. / month</t>
        </is>
      </c>
      <c r="E45" s="10" t="inlineStr"/>
      <c r="F45" s="10" t="inlineStr"/>
      <c r="G45" s="10">
        <f>IFERROR(ROUND((E45-F45)/F45*100,1),"")</f>
        <v/>
      </c>
      <c r="H45" s="10" t="inlineStr"/>
    </row>
    <row r="46" ht="22" customHeight="1">
      <c r="B46" s="72" t="n">
        <v>3</v>
      </c>
      <c r="C46" s="73" t="inlineStr">
        <is>
          <t>Email open rate (%)</t>
        </is>
      </c>
      <c r="D46" s="74" t="inlineStr">
        <is>
          <t>% opens</t>
        </is>
      </c>
      <c r="E46" s="74" t="inlineStr"/>
      <c r="F46" s="74" t="inlineStr"/>
      <c r="G46" s="74">
        <f>IFERROR(ROUND((E46-F46)/F46*100,1),"")</f>
        <v/>
      </c>
      <c r="H46" s="74" t="inlineStr"/>
    </row>
    <row r="47" ht="22" customHeight="1">
      <c r="B47" s="8" t="n">
        <v>4</v>
      </c>
      <c r="C47" s="9" t="inlineStr">
        <is>
          <t>Website / portal visits</t>
        </is>
      </c>
      <c r="D47" s="10" t="inlineStr">
        <is>
          <t>No. / month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>
      <c r="B48" s="72" t="n">
        <v>5</v>
      </c>
      <c r="C48" s="73" t="inlineStr">
        <is>
          <t>Alumni satisfaction score (/5)</t>
        </is>
      </c>
      <c r="D48" s="74" t="inlineStr">
        <is>
          <t>Score</t>
        </is>
      </c>
      <c r="E48" s="74" t="inlineStr"/>
      <c r="F48" s="74" t="inlineStr"/>
      <c r="G48" s="74">
        <f>IFERROR(ROUND((E48-F48)/F48*100,1),"")</f>
        <v/>
      </c>
      <c r="H48" s="74" t="inlineStr"/>
    </row>
    <row r="49" ht="22" customHeight="1">
      <c r="B49" s="8" t="n">
        <v>6</v>
      </c>
      <c r="C49" s="9" t="inlineStr">
        <is>
          <t>Employer feedback score (/5)</t>
        </is>
      </c>
      <c r="D49" s="10" t="inlineStr">
        <is>
          <t>Score</t>
        </is>
      </c>
      <c r="E49" s="10" t="inlineStr"/>
      <c r="F49" s="10" t="inlineStr"/>
      <c r="G49" s="10">
        <f>IFERROR(ROUND((E49-F49)/F49*100,1),"")</f>
        <v/>
      </c>
      <c r="H49" s="10" t="inlineStr"/>
    </row>
    <row r="50" ht="22" customHeight="1"/>
    <row r="51" ht="20" customHeight="1">
      <c r="B51" s="17" t="inlineStr">
        <is>
          <t>Annual Report to be submitted to: Management, IQAC (AQAR Criterion V.4), NAAC, NIRF, Governing Body &amp; Alumni Association Executive Council by April 30 each year.</t>
        </is>
      </c>
    </row>
    <row r="52" ht="22" customHeight="1">
      <c r="B52" s="29" t="inlineStr">
        <is>
          <t>Alumni Coordinator: ___________________    ACC Chairperson: ___________________    IQAC Coordinator: ___________________    Date: ___________________</t>
        </is>
      </c>
    </row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9">
    <mergeCell ref="B13:H13"/>
    <mergeCell ref="B52:H52"/>
    <mergeCell ref="B4:H4"/>
    <mergeCell ref="B24:H24"/>
    <mergeCell ref="B2:H2"/>
    <mergeCell ref="B33:H33"/>
    <mergeCell ref="B42:H42"/>
    <mergeCell ref="B3:H3"/>
    <mergeCell ref="B51:H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2026-04-20T10:18:56Z</dcterms:created>
  <dcterms:modified xmlns:dcterms="http://purl.org/dc/terms/" xmlns:xsi="http://www.w3.org/2001/XMLSchema-instance" xsi:type="dcterms:W3CDTF">2026-04-20T10:18:57Z</dcterms:modified>
</cp:coreProperties>
</file>