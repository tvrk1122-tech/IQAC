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IQ-01 IQAC Composition" sheetId="2" state="visible" r:id="rId2"/>
    <sheet xmlns:r="http://schemas.openxmlformats.org/officeDocument/2006/relationships" name="IQ-02 Meeting &amp; Minutes" sheetId="3" state="visible" r:id="rId3"/>
    <sheet xmlns:r="http://schemas.openxmlformats.org/officeDocument/2006/relationships" name="IQ-03 Action Taken Report" sheetId="4" state="visible" r:id="rId4"/>
    <sheet xmlns:r="http://schemas.openxmlformats.org/officeDocument/2006/relationships" name="IQ-04 AQAR Data" sheetId="5" state="visible" r:id="rId5"/>
    <sheet xmlns:r="http://schemas.openxmlformats.org/officeDocument/2006/relationships" name="IQ-05 Academic Audit" sheetId="6" state="visible" r:id="rId6"/>
    <sheet xmlns:r="http://schemas.openxmlformats.org/officeDocument/2006/relationships" name="IQ-06 Student Satisfaction" sheetId="7" state="visible" r:id="rId7"/>
    <sheet xmlns:r="http://schemas.openxmlformats.org/officeDocument/2006/relationships" name="IQ-07 Faculty Feedback" sheetId="8" state="visible" r:id="rId8"/>
    <sheet xmlns:r="http://schemas.openxmlformats.org/officeDocument/2006/relationships" name="IQ-08 Employer &amp; Alumni" sheetId="9" state="visible" r:id="rId9"/>
    <sheet xmlns:r="http://schemas.openxmlformats.org/officeDocument/2006/relationships" name="IQ-09 Best Practices" sheetId="10" state="visible" r:id="rId10"/>
    <sheet xmlns:r="http://schemas.openxmlformats.org/officeDocument/2006/relationships" name="IQ-10 Distinctiveness" sheetId="11" state="visible" r:id="rId11"/>
    <sheet xmlns:r="http://schemas.openxmlformats.org/officeDocument/2006/relationships" name="IQ-11 TL Quality Audit" sheetId="12" state="visible" r:id="rId12"/>
    <sheet xmlns:r="http://schemas.openxmlformats.org/officeDocument/2006/relationships" name="IQ-12 Research Tracking" sheetId="13" state="visible" r:id="rId13"/>
    <sheet xmlns:r="http://schemas.openxmlformats.org/officeDocument/2006/relationships" name="IQ-13 FDP Register" sheetId="14" state="visible" r:id="rId14"/>
    <sheet xmlns:r="http://schemas.openxmlformats.org/officeDocument/2006/relationships" name="IQ-14 Infrastructure Audit" sheetId="15" state="visible" r:id="rId15"/>
    <sheet xmlns:r="http://schemas.openxmlformats.org/officeDocument/2006/relationships" name="IQ-15 Green Campus Audit" sheetId="16" state="visible" r:id="rId16"/>
    <sheet xmlns:r="http://schemas.openxmlformats.org/officeDocument/2006/relationships" name="IQ-16 Alumni Engagement" sheetId="17" state="visible" r:id="rId17"/>
    <sheet xmlns:r="http://schemas.openxmlformats.org/officeDocument/2006/relationships" name="IQ-17 Industry Interaction" sheetId="18" state="visible" r:id="rId18"/>
    <sheet xmlns:r="http://schemas.openxmlformats.org/officeDocument/2006/relationships" name="IQ-18 Extension &amp; Outreach" sheetId="19" state="visible" r:id="rId19"/>
    <sheet xmlns:r="http://schemas.openxmlformats.org/officeDocument/2006/relationships" name="IQ-19 Accreditation Tracker" sheetId="20" state="visible" r:id="rId20"/>
    <sheet xmlns:r="http://schemas.openxmlformats.org/officeDocument/2006/relationships" name="IQ-20 Recommendations Re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006D77"/>
      <sz val="9"/>
    </font>
    <font>
      <name val="Arial"/>
      <b val="1"/>
      <color rgb="00FFFFFF"/>
      <sz val="11"/>
    </font>
    <font>
      <name val="Arial"/>
      <b val="1"/>
      <color rgb="00111827"/>
      <sz val="10"/>
    </font>
    <font>
      <name val="Arial"/>
      <color rgb="00111827"/>
      <sz val="10"/>
    </font>
    <font>
      <name val="Arial"/>
      <color rgb="006B728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5C3D00"/>
      <sz val="9"/>
    </font>
    <font>
      <name val="Arial"/>
      <b val="1"/>
      <color rgb="00006D77"/>
      <sz val="10"/>
    </font>
    <font>
      <name val="Arial"/>
      <color rgb="00111827"/>
      <sz val="9"/>
    </font>
    <font>
      <name val="Arial"/>
      <b val="1"/>
      <color rgb="005C3D00"/>
      <sz val="10"/>
    </font>
    <font>
      <name val="Arial"/>
      <b val="1"/>
      <color rgb="0078350F"/>
      <sz val="10"/>
    </font>
  </fonts>
  <fills count="24">
    <fill>
      <patternFill/>
    </fill>
    <fill>
      <patternFill patternType="gray125"/>
    </fill>
    <fill>
      <patternFill patternType="solid">
        <fgColor rgb="00003D4C"/>
      </patternFill>
    </fill>
    <fill>
      <patternFill patternType="solid">
        <fgColor rgb="00D0EAF0"/>
      </patternFill>
    </fill>
    <fill>
      <patternFill patternType="solid">
        <fgColor rgb="00D4A017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006D77"/>
      </patternFill>
    </fill>
    <fill>
      <patternFill patternType="solid">
        <fgColor rgb="00FFF8DC"/>
      </patternFill>
    </fill>
    <fill>
      <patternFill patternType="solid">
        <fgColor rgb="001A3A6B"/>
      </patternFill>
    </fill>
    <fill>
      <patternFill patternType="solid">
        <fgColor rgb="00D6E4F0"/>
      </patternFill>
    </fill>
    <fill>
      <patternFill patternType="solid">
        <fgColor rgb="00E5E7EB"/>
      </patternFill>
    </fill>
    <fill>
      <patternFill patternType="solid">
        <fgColor rgb="002C3E50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4A5E00"/>
      </patternFill>
    </fill>
    <fill>
      <patternFill patternType="solid">
        <fgColor rgb="00EBF5D0"/>
      </patternFill>
    </fill>
    <fill>
      <patternFill patternType="solid">
        <fgColor rgb="006A1B9A"/>
      </patternFill>
    </fill>
    <fill>
      <patternFill patternType="solid">
        <fgColor rgb="00F3E5F5"/>
      </patternFill>
    </fill>
    <fill>
      <patternFill patternType="solid">
        <fgColor rgb="00B45309"/>
      </patternFill>
    </fill>
    <fill>
      <patternFill patternType="solid">
        <fgColor rgb="00FEF3C7"/>
      </patternFill>
    </fill>
    <fill>
      <patternFill patternType="solid">
        <fgColor rgb="00BE123C"/>
      </patternFill>
    </fill>
    <fill>
      <patternFill patternType="solid">
        <fgColor rgb="00FFE4E6"/>
      </patternFill>
    </fill>
    <fill>
      <patternFill patternType="solid">
        <fgColor rgb="00D5D8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 wrapText="1"/>
    </xf>
    <xf numFmtId="0" fontId="5" fillId="20" borderId="1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left" vertical="center" wrapText="1"/>
    </xf>
    <xf numFmtId="0" fontId="13" fillId="2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30" customWidth="1" min="4" max="4"/>
    <col width="18" customWidth="1" min="5" max="5"/>
    <col width="3" customWidth="1" min="6" max="6"/>
  </cols>
  <sheetData>
    <row r="1" ht="10" customHeight="1"/>
    <row r="2" ht="70" customHeight="1">
      <c r="B2" s="1" t="inlineStr">
        <is>
          <t>INTERNAL QUALITY ASSURANCE CELL (IQAC)
Data Collection Formats — Master Workbook</t>
        </is>
      </c>
    </row>
    <row r="3" ht="28" customHeight="1">
      <c r="B3" s="2" t="inlineStr">
        <is>
          <t>Institution: _________________________  IQAC Coordinator: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</t>
        </is>
      </c>
    </row>
    <row r="5" ht="22" customHeight="1">
      <c r="B5" s="4" t="inlineStr">
        <is>
          <t>IQ-01</t>
        </is>
      </c>
      <c r="C5" s="5" t="inlineStr">
        <is>
          <t>IQAC Composition &amp; Members Register</t>
        </is>
      </c>
      <c r="D5" s="5" t="inlineStr">
        <is>
          <t>Record IQAC member details, roles &amp; terms</t>
        </is>
      </c>
      <c r="E5" s="6" t="inlineStr">
        <is>
          <t>Annual / On Change</t>
        </is>
      </c>
    </row>
    <row r="6" ht="22" customHeight="1">
      <c r="B6" s="7" t="inlineStr">
        <is>
          <t>IQ-02</t>
        </is>
      </c>
      <c r="C6" s="8" t="inlineStr">
        <is>
          <t>IQAC Meeting Notice, Agenda &amp; Minutes</t>
        </is>
      </c>
      <c r="D6" s="8" t="inlineStr">
        <is>
          <t>Manage IQAC meeting cycle — notice to minutes</t>
        </is>
      </c>
      <c r="E6" s="9" t="inlineStr">
        <is>
          <t>Each Meeting (Min 2/yr)</t>
        </is>
      </c>
    </row>
    <row r="7" ht="22" customHeight="1">
      <c r="B7" s="4" t="inlineStr">
        <is>
          <t>IQ-03</t>
        </is>
      </c>
      <c r="C7" s="5" t="inlineStr">
        <is>
          <t>Action Taken Report (ATR)</t>
        </is>
      </c>
      <c r="D7" s="5" t="inlineStr">
        <is>
          <t>Track implementation of IQAC resolutions</t>
        </is>
      </c>
      <c r="E7" s="6" t="inlineStr">
        <is>
          <t>Each Meeting</t>
        </is>
      </c>
    </row>
    <row r="8" ht="22" customHeight="1">
      <c r="B8" s="7" t="inlineStr">
        <is>
          <t>IQ-04</t>
        </is>
      </c>
      <c r="C8" s="8" t="inlineStr">
        <is>
          <t>Annual Quality Assurance Report (AQAR)</t>
        </is>
      </c>
      <c r="D8" s="8" t="inlineStr">
        <is>
          <t>Compile institution-wide quality data for NAAC</t>
        </is>
      </c>
      <c r="E8" s="9" t="inlineStr">
        <is>
          <t>Annual (July 31)</t>
        </is>
      </c>
    </row>
    <row r="9" ht="22" customHeight="1">
      <c r="B9" s="4" t="inlineStr">
        <is>
          <t>IQ-05</t>
        </is>
      </c>
      <c r="C9" s="5" t="inlineStr">
        <is>
          <t>Academic Audit — Department-wise</t>
        </is>
      </c>
      <c r="D9" s="5" t="inlineStr">
        <is>
          <t>Internal academic audit of all departments</t>
        </is>
      </c>
      <c r="E9" s="6" t="inlineStr">
        <is>
          <t>Annual / Semester</t>
        </is>
      </c>
    </row>
    <row r="10" ht="22" customHeight="1">
      <c r="B10" s="7" t="inlineStr">
        <is>
          <t>IQ-06</t>
        </is>
      </c>
      <c r="C10" s="8" t="inlineStr">
        <is>
          <t>Student Satisfaction Survey</t>
        </is>
      </c>
      <c r="D10" s="8" t="inlineStr">
        <is>
          <t>Capture student experience across key dimensions</t>
        </is>
      </c>
      <c r="E10" s="9" t="inlineStr">
        <is>
          <t>Annual / Semester</t>
        </is>
      </c>
    </row>
    <row r="11" ht="22" customHeight="1">
      <c r="B11" s="4" t="inlineStr">
        <is>
          <t>IQ-07</t>
        </is>
      </c>
      <c r="C11" s="5" t="inlineStr">
        <is>
          <t>Faculty Feedback on Institution</t>
        </is>
      </c>
      <c r="D11" s="5" t="inlineStr">
        <is>
          <t>Collect faculty input on institutional processes</t>
        </is>
      </c>
      <c r="E11" s="6" t="inlineStr">
        <is>
          <t>Annual</t>
        </is>
      </c>
    </row>
    <row r="12" ht="22" customHeight="1">
      <c r="B12" s="7" t="inlineStr">
        <is>
          <t>IQ-08</t>
        </is>
      </c>
      <c r="C12" s="8" t="inlineStr">
        <is>
          <t>Employer &amp; Alumni Feedback</t>
        </is>
      </c>
      <c r="D12" s="8" t="inlineStr">
        <is>
          <t>Gather external stakeholder feedback on graduates</t>
        </is>
      </c>
      <c r="E12" s="9" t="inlineStr">
        <is>
          <t>Annual</t>
        </is>
      </c>
    </row>
    <row r="13" ht="22" customHeight="1">
      <c r="B13" s="4" t="inlineStr">
        <is>
          <t>IQ-09</t>
        </is>
      </c>
      <c r="C13" s="5" t="inlineStr">
        <is>
          <t>Best Practices Documentation Form</t>
        </is>
      </c>
      <c r="D13" s="5" t="inlineStr">
        <is>
          <t>Document, validate &amp; disseminate best practices</t>
        </is>
      </c>
      <c r="E13" s="6" t="inlineStr">
        <is>
          <t>Annual</t>
        </is>
      </c>
    </row>
    <row r="14" ht="22" customHeight="1">
      <c r="B14" s="7" t="inlineStr">
        <is>
          <t>IQ-10</t>
        </is>
      </c>
      <c r="C14" s="8" t="inlineStr">
        <is>
          <t>Institutional Distinctiveness Register</t>
        </is>
      </c>
      <c r="D14" s="8" t="inlineStr">
        <is>
          <t>Record unique features, innovations &amp; achievements</t>
        </is>
      </c>
      <c r="E14" s="9" t="inlineStr">
        <is>
          <t>Annual</t>
        </is>
      </c>
    </row>
    <row r="15" ht="22" customHeight="1">
      <c r="B15" s="4" t="inlineStr">
        <is>
          <t>IQ-11</t>
        </is>
      </c>
      <c r="C15" s="5" t="inlineStr">
        <is>
          <t>Teaching-Learning Quality Audit</t>
        </is>
      </c>
      <c r="D15" s="5" t="inlineStr">
        <is>
          <t>Review pedagogy, CO attainment &amp; assessment quality</t>
        </is>
      </c>
      <c r="E15" s="6" t="inlineStr">
        <is>
          <t>Each Semester</t>
        </is>
      </c>
    </row>
    <row r="16" ht="22" customHeight="1">
      <c r="B16" s="7" t="inlineStr">
        <is>
          <t>IQ-12</t>
        </is>
      </c>
      <c r="C16" s="8" t="inlineStr">
        <is>
          <t>Research &amp; Innovation Tracking Form</t>
        </is>
      </c>
      <c r="D16" s="8" t="inlineStr">
        <is>
          <t>Monitor publications, patents, projects &amp; consultancy</t>
        </is>
      </c>
      <c r="E16" s="9" t="inlineStr">
        <is>
          <t>Annual</t>
        </is>
      </c>
    </row>
    <row r="17" ht="22" customHeight="1">
      <c r="B17" s="4" t="inlineStr">
        <is>
          <t>IQ-13</t>
        </is>
      </c>
      <c r="C17" s="5" t="inlineStr">
        <is>
          <t>Faculty Development Programme (FDP) Register</t>
        </is>
      </c>
      <c r="D17" s="5" t="inlineStr">
        <is>
          <t>Track FDP, STTP, MOOC &amp; skill development activities</t>
        </is>
      </c>
      <c r="E17" s="6" t="inlineStr">
        <is>
          <t>Continuous</t>
        </is>
      </c>
    </row>
    <row r="18" ht="22" customHeight="1">
      <c r="B18" s="7" t="inlineStr">
        <is>
          <t>IQ-14</t>
        </is>
      </c>
      <c r="C18" s="8" t="inlineStr">
        <is>
          <t>Infrastructure &amp; Facility Audit</t>
        </is>
      </c>
      <c r="D18" s="8" t="inlineStr">
        <is>
          <t>Assess adequacy and quality of campus infrastructure</t>
        </is>
      </c>
      <c r="E18" s="9" t="inlineStr">
        <is>
          <t>Annual</t>
        </is>
      </c>
    </row>
    <row r="19" ht="22" customHeight="1">
      <c r="B19" s="4" t="inlineStr">
        <is>
          <t>IQ-15</t>
        </is>
      </c>
      <c r="C19" s="5" t="inlineStr">
        <is>
          <t>Green &amp; Sustainable Campus Audit</t>
        </is>
      </c>
      <c r="D19" s="5" t="inlineStr">
        <is>
          <t>Audit energy, water, waste &amp; sustainability initiatives</t>
        </is>
      </c>
      <c r="E19" s="6" t="inlineStr">
        <is>
          <t>Annual</t>
        </is>
      </c>
    </row>
    <row r="20" ht="22" customHeight="1">
      <c r="B20" s="7" t="inlineStr">
        <is>
          <t>IQ-16</t>
        </is>
      </c>
      <c r="C20" s="8" t="inlineStr">
        <is>
          <t>Alumni Engagement &amp; Contribution Register</t>
        </is>
      </c>
      <c r="D20" s="8" t="inlineStr">
        <is>
          <t>Track alumni relations, contributions &amp; mentorship</t>
        </is>
      </c>
      <c r="E20" s="9" t="inlineStr">
        <is>
          <t>Annual</t>
        </is>
      </c>
    </row>
    <row r="21" ht="22" customHeight="1">
      <c r="B21" s="4" t="inlineStr">
        <is>
          <t>IQ-17</t>
        </is>
      </c>
      <c r="C21" s="5" t="inlineStr">
        <is>
          <t>Industry-Institute Interaction Register</t>
        </is>
      </c>
      <c r="D21" s="5" t="inlineStr">
        <is>
          <t>Record MoUs, internships, guest lectures &amp; visits</t>
        </is>
      </c>
      <c r="E21" s="6" t="inlineStr">
        <is>
          <t>Continuous</t>
        </is>
      </c>
    </row>
    <row r="22" ht="22" customHeight="1">
      <c r="B22" s="7" t="inlineStr">
        <is>
          <t>IQ-18</t>
        </is>
      </c>
      <c r="C22" s="8" t="inlineStr">
        <is>
          <t>Extension &amp; Outreach Activity Register</t>
        </is>
      </c>
      <c r="D22" s="8" t="inlineStr">
        <is>
          <t>Document NSS, NCC, community, extension programmes</t>
        </is>
      </c>
      <c r="E22" s="9" t="inlineStr">
        <is>
          <t>Annual</t>
        </is>
      </c>
    </row>
    <row r="23" ht="22" customHeight="1">
      <c r="B23" s="4" t="inlineStr">
        <is>
          <t>IQ-19</t>
        </is>
      </c>
      <c r="C23" s="5" t="inlineStr">
        <is>
          <t>NBA / NAAC / NIRF Preparation Tracker</t>
        </is>
      </c>
      <c r="D23" s="5" t="inlineStr">
        <is>
          <t>Monitor accreditation milestones &amp; submission readiness</t>
        </is>
      </c>
      <c r="E23" s="6" t="inlineStr">
        <is>
          <t>Annual</t>
        </is>
      </c>
    </row>
    <row r="24" ht="22" customHeight="1">
      <c r="B24" s="7" t="inlineStr">
        <is>
          <t>IQ-20</t>
        </is>
      </c>
      <c r="C24" s="8" t="inlineStr">
        <is>
          <t>IQAC Recommendations &amp; Follow-up Register</t>
        </is>
      </c>
      <c r="D24" s="8" t="inlineStr">
        <is>
          <t>Cumulative log of all IQAC recommendations &amp; outcomes</t>
        </is>
      </c>
      <c r="E24" s="9" t="inlineStr">
        <is>
          <t>Cumulative</t>
        </is>
      </c>
    </row>
    <row r="25" ht="22" customHeight="1">
      <c r="B25" s="10" t="inlineStr">
        <is>
          <t>• IQAC = Internal Quality Assurance Cell, mandated by NAAC for all higher educational institutions.</t>
        </is>
      </c>
    </row>
    <row r="26" ht="22" customHeight="1">
      <c r="B26" s="10" t="inlineStr">
        <is>
          <t>• IQAC must meet at least TWICE a year; AQAR must be submitted to NAAC by July 31 each year.</t>
        </is>
      </c>
    </row>
    <row r="27" ht="22" customHeight="1">
      <c r="B27" s="10" t="inlineStr">
        <is>
          <t>• IQAC coordinates NBA/NAAC/NIRF data collection, accreditation preparation &amp; quality improvement.</t>
        </is>
      </c>
    </row>
    <row r="28" ht="22" customHeight="1">
      <c r="B28" s="10" t="inlineStr">
        <is>
          <t>• Data collected through these formats feeds directly into AQAR, SAR (Self-Assessment Report) and DVV verification.</t>
        </is>
      </c>
    </row>
    <row r="29" ht="22" customHeight="1">
      <c r="B29" s="10" t="inlineStr">
        <is>
          <t>• All forms must be signed by IQAC Coordinator and countersigned by the Head of Institution.</t>
        </is>
      </c>
    </row>
    <row r="30">
      <c r="B30" s="10" t="inlineStr">
        <is>
          <t>• Maintain physical and digital copies; store digitally on IQAC portal / institutional repository.</t>
        </is>
      </c>
    </row>
  </sheetData>
  <mergeCells count="8">
    <mergeCell ref="B26:E26"/>
    <mergeCell ref="B27:E27"/>
    <mergeCell ref="B30:E30"/>
    <mergeCell ref="B29:E29"/>
    <mergeCell ref="B25:E25"/>
    <mergeCell ref="B3:E3"/>
    <mergeCell ref="B2:E2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20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IQ-01: IQAC COMPOSITION &amp; MEMBERS REGISTER</t>
        </is>
      </c>
    </row>
    <row r="3" ht="25" customHeight="1">
      <c r="B3" s="2" t="inlineStr">
        <is>
          <t>Institution: _________________________  Constituted on: _______  NAAC Cycle: _______  Total Strength: _______</t>
        </is>
      </c>
    </row>
    <row r="4" ht="25" customHeight="1">
      <c r="B4" s="12" t="inlineStr">
        <is>
          <t>Sl.</t>
        </is>
      </c>
      <c r="C4" s="12" t="inlineStr">
        <is>
          <t>Name of Member</t>
        </is>
      </c>
      <c r="D4" s="12" t="inlineStr">
        <is>
          <t>Designation / Organisation</t>
        </is>
      </c>
      <c r="E4" s="12" t="inlineStr">
        <is>
          <t>Category</t>
        </is>
      </c>
      <c r="F4" s="12" t="inlineStr">
        <is>
          <t>Specialisation</t>
        </is>
      </c>
      <c r="G4" s="12" t="inlineStr">
        <is>
          <t>Email / Phone</t>
        </is>
      </c>
      <c r="H4" s="12" t="inlineStr">
        <is>
          <t>Term (From–To)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>
        <is>
          <t>Head of Institution (Principal/Director/VC)</t>
        </is>
      </c>
      <c r="E5" s="13" t="inlineStr">
        <is>
          <t>Chairperson</t>
        </is>
      </c>
      <c r="F5" s="15" t="inlineStr">
        <is>
          <t>Quality Leadership</t>
        </is>
      </c>
      <c r="G5" s="14" t="inlineStr"/>
      <c r="H5" s="15" t="inlineStr"/>
      <c r="I5" s="15" t="inlineStr"/>
    </row>
    <row r="6" ht="22" customHeight="1">
      <c r="B6" s="4" t="n">
        <v>2</v>
      </c>
      <c r="C6" s="5" t="inlineStr"/>
      <c r="D6" s="5" t="inlineStr">
        <is>
          <t>Senior Faculty — IQAC In-charge</t>
        </is>
      </c>
      <c r="E6" s="4" t="inlineStr">
        <is>
          <t>IQAC Coordinator</t>
        </is>
      </c>
      <c r="F6" s="6" t="inlineStr">
        <is>
          <t>Quality Assurance</t>
        </is>
      </c>
      <c r="G6" s="5" t="inlineStr"/>
      <c r="H6" s="6" t="inlineStr"/>
      <c r="I6" s="6" t="inlineStr"/>
    </row>
    <row r="7" ht="22" customHeight="1">
      <c r="B7" s="13" t="n">
        <v>3</v>
      </c>
      <c r="C7" s="14" t="inlineStr"/>
      <c r="D7" s="14" t="inlineStr">
        <is>
          <t>Registrar / Admin Head</t>
        </is>
      </c>
      <c r="E7" s="13" t="inlineStr">
        <is>
          <t>Senior Administrative Officer</t>
        </is>
      </c>
      <c r="F7" s="15" t="inlineStr">
        <is>
          <t>Administration</t>
        </is>
      </c>
      <c r="G7" s="14" t="inlineStr"/>
      <c r="H7" s="15" t="inlineStr"/>
      <c r="I7" s="15" t="inlineStr"/>
    </row>
    <row r="8" ht="22" customHeight="1">
      <c r="B8" s="4" t="n">
        <v>4</v>
      </c>
      <c r="C8" s="5" t="inlineStr"/>
      <c r="D8" s="5" t="inlineStr">
        <is>
          <t>Internal — Science / Engineering Faculty</t>
        </is>
      </c>
      <c r="E8" s="4" t="inlineStr">
        <is>
          <t>Faculty Member — Sciences</t>
        </is>
      </c>
      <c r="F8" s="6" t="inlineStr">
        <is>
          <t>STEM / Research</t>
        </is>
      </c>
      <c r="G8" s="5" t="inlineStr"/>
      <c r="H8" s="6" t="inlineStr"/>
      <c r="I8" s="6" t="inlineStr"/>
    </row>
    <row r="9" ht="22" customHeight="1">
      <c r="B9" s="13" t="n">
        <v>5</v>
      </c>
      <c r="C9" s="14" t="inlineStr"/>
      <c r="D9" s="14" t="inlineStr">
        <is>
          <t>Internal — Humanities / Social Sciences</t>
        </is>
      </c>
      <c r="E9" s="13" t="inlineStr">
        <is>
          <t>Faculty Member — Humanities</t>
        </is>
      </c>
      <c r="F9" s="15" t="inlineStr">
        <is>
          <t>Liberal Education</t>
        </is>
      </c>
      <c r="G9" s="14" t="inlineStr"/>
      <c r="H9" s="15" t="inlineStr"/>
      <c r="I9" s="15" t="inlineStr"/>
    </row>
    <row r="10" ht="22" customHeight="1">
      <c r="B10" s="4" t="n">
        <v>6</v>
      </c>
      <c r="C10" s="5" t="inlineStr"/>
      <c r="D10" s="5" t="inlineStr">
        <is>
          <t>Internal — Management / Commerce Faculty</t>
        </is>
      </c>
      <c r="E10" s="4" t="inlineStr">
        <is>
          <t>Faculty Member — Management</t>
        </is>
      </c>
      <c r="F10" s="6" t="inlineStr">
        <is>
          <t>Industry Linkage</t>
        </is>
      </c>
      <c r="G10" s="5" t="inlineStr"/>
      <c r="H10" s="6" t="inlineStr"/>
      <c r="I10" s="6" t="inlineStr"/>
    </row>
    <row r="11" ht="22" customHeight="1">
      <c r="B11" s="13" t="n">
        <v>7</v>
      </c>
      <c r="C11" s="14" t="inlineStr"/>
      <c r="D11" s="14" t="inlineStr">
        <is>
          <t>Senior Industry Professional / CXO</t>
        </is>
      </c>
      <c r="E11" s="13" t="inlineStr">
        <is>
          <t>Industry Expert — 1</t>
        </is>
      </c>
      <c r="F11" s="15" t="inlineStr">
        <is>
          <t>Industry Perspective</t>
        </is>
      </c>
      <c r="G11" s="14" t="inlineStr"/>
      <c r="H11" s="15" t="inlineStr"/>
      <c r="I11" s="15" t="inlineStr"/>
    </row>
    <row r="12" ht="22" customHeight="1">
      <c r="B12" s="4" t="n">
        <v>8</v>
      </c>
      <c r="C12" s="5" t="inlineStr"/>
      <c r="D12" s="5" t="inlineStr">
        <is>
          <t>Industry / Corporate Representative</t>
        </is>
      </c>
      <c r="E12" s="4" t="inlineStr">
        <is>
          <t>Industry Expert — 2</t>
        </is>
      </c>
      <c r="F12" s="6" t="inlineStr">
        <is>
          <t>Employability</t>
        </is>
      </c>
      <c r="G12" s="5" t="inlineStr"/>
      <c r="H12" s="6" t="inlineStr"/>
      <c r="I12" s="6" t="inlineStr"/>
    </row>
    <row r="13" ht="22" customHeight="1">
      <c r="B13" s="13" t="n">
        <v>9</v>
      </c>
      <c r="C13" s="14" t="inlineStr"/>
      <c r="D13" s="14" t="inlineStr">
        <is>
          <t>Distinguished Alumnus / Alumna</t>
        </is>
      </c>
      <c r="E13" s="13" t="inlineStr">
        <is>
          <t>Alumni Representative</t>
        </is>
      </c>
      <c r="F13" s="15" t="inlineStr">
        <is>
          <t>Alumni Engagement</t>
        </is>
      </c>
      <c r="G13" s="14" t="inlineStr"/>
      <c r="H13" s="15" t="inlineStr"/>
      <c r="I13" s="15" t="inlineStr"/>
    </row>
    <row r="14" ht="22" customHeight="1">
      <c r="B14" s="4" t="n">
        <v>10</v>
      </c>
      <c r="C14" s="5" t="inlineStr"/>
      <c r="D14" s="5" t="inlineStr">
        <is>
          <t>Final Year UG Student Leader</t>
        </is>
      </c>
      <c r="E14" s="4" t="inlineStr">
        <is>
          <t>Student Representative — UG</t>
        </is>
      </c>
      <c r="F14" s="6" t="inlineStr">
        <is>
          <t>Student Voice</t>
        </is>
      </c>
      <c r="G14" s="5" t="inlineStr"/>
      <c r="H14" s="6" t="inlineStr"/>
      <c r="I14" s="6" t="inlineStr"/>
    </row>
    <row r="15" ht="22" customHeight="1">
      <c r="B15" s="13" t="n">
        <v>11</v>
      </c>
      <c r="C15" s="14" t="inlineStr"/>
      <c r="D15" s="14" t="inlineStr">
        <is>
          <t>PG Student / Research Scholar</t>
        </is>
      </c>
      <c r="E15" s="13" t="inlineStr">
        <is>
          <t>Student Representative — PG</t>
        </is>
      </c>
      <c r="F15" s="15" t="inlineStr">
        <is>
          <t>Research Perspective</t>
        </is>
      </c>
      <c r="G15" s="14" t="inlineStr"/>
      <c r="H15" s="15" t="inlineStr"/>
      <c r="I15" s="15" t="inlineStr"/>
    </row>
    <row r="16" ht="22" customHeight="1">
      <c r="B16" s="4" t="n">
        <v>12</v>
      </c>
      <c r="C16" s="5" t="inlineStr"/>
      <c r="D16" s="5" t="inlineStr">
        <is>
          <t>NGO / Community / Panchayat Representative</t>
        </is>
      </c>
      <c r="E16" s="4" t="inlineStr">
        <is>
          <t>Local Society Representative</t>
        </is>
      </c>
      <c r="F16" s="6" t="inlineStr">
        <is>
          <t>Social Outreach</t>
        </is>
      </c>
      <c r="G16" s="5" t="inlineStr"/>
      <c r="H16" s="6" t="inlineStr"/>
      <c r="I16" s="6" t="inlineStr"/>
    </row>
    <row r="17" ht="22" customHeight="1">
      <c r="B17" s="13" t="n">
        <v>13</v>
      </c>
      <c r="C17" s="14" t="inlineStr"/>
      <c r="D17" s="14" t="inlineStr">
        <is>
          <t>Recruiter / Placement Partner</t>
        </is>
      </c>
      <c r="E17" s="13" t="inlineStr">
        <is>
          <t>Employer / HR Representative</t>
        </is>
      </c>
      <c r="F17" s="15" t="inlineStr">
        <is>
          <t>Employability</t>
        </is>
      </c>
      <c r="G17" s="14" t="inlineStr"/>
      <c r="H17" s="15" t="inlineStr"/>
      <c r="I17" s="15" t="inlineStr"/>
    </row>
    <row r="18" ht="22" customHeight="1">
      <c r="B18" s="4" t="n">
        <v>14</v>
      </c>
      <c r="C18" s="5" t="inlineStr"/>
      <c r="D18" s="5" t="inlineStr">
        <is>
          <t>Academic Quality / Accreditation Expert</t>
        </is>
      </c>
      <c r="E18" s="4" t="inlineStr">
        <is>
          <t>External Quality Expert</t>
        </is>
      </c>
      <c r="F18" s="6" t="inlineStr">
        <is>
          <t>Quality Standards</t>
        </is>
      </c>
      <c r="G18" s="5" t="inlineStr"/>
      <c r="H18" s="6" t="inlineStr"/>
      <c r="I18" s="6" t="inlineStr"/>
    </row>
    <row r="19" ht="22" customHeight="1"/>
    <row r="20" ht="22" customHeight="1">
      <c r="B20" s="16" t="inlineStr">
        <is>
          <t>NAAC Requirement: IQAC must include external experts from industry, alumni &amp; civil society. Reconstitute every 2 years or as per NAAC guidelines.</t>
        </is>
      </c>
    </row>
    <row r="21" ht="22" customHeight="1"/>
    <row r="22" ht="22" customHeight="1"/>
    <row r="23" ht="22" customHeight="1"/>
  </sheetData>
  <mergeCells count="3">
    <mergeCell ref="B3:I3"/>
    <mergeCell ref="B2:I2"/>
    <mergeCell ref="B20:I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4" customWidth="1" min="3" max="3"/>
    <col width="22" customWidth="1" min="4" max="4"/>
    <col width="18" customWidth="1" min="5" max="5"/>
    <col width="3" customWidth="1" min="6" max="6"/>
  </cols>
  <sheetData>
    <row r="1" ht="10" customHeight="1"/>
    <row r="2" ht="48" customHeight="1">
      <c r="B2" s="11" t="inlineStr">
        <is>
          <t>IQ-02: IQAC MEETING NOTICE, AGENDA &amp; MINUTES</t>
        </is>
      </c>
    </row>
    <row r="3" ht="22" customHeight="1">
      <c r="B3" s="17" t="inlineStr">
        <is>
          <t>IQAC Meeting No.:</t>
        </is>
      </c>
      <c r="C3" s="5" t="n"/>
    </row>
    <row r="4" ht="22" customHeight="1">
      <c r="B4" s="17" t="inlineStr">
        <is>
          <t>Academic Year:</t>
        </is>
      </c>
      <c r="C4" s="5" t="n"/>
    </row>
    <row r="5" ht="22" customHeight="1">
      <c r="B5" s="17" t="inlineStr">
        <is>
          <t>Date of Meeting:</t>
        </is>
      </c>
      <c r="C5" s="5" t="n"/>
    </row>
    <row r="6" ht="22" customHeight="1">
      <c r="B6" s="17" t="inlineStr">
        <is>
          <t>Time:</t>
        </is>
      </c>
      <c r="C6" s="5" t="n"/>
    </row>
    <row r="7" ht="22" customHeight="1">
      <c r="B7" s="17" t="inlineStr">
        <is>
          <t>Venue:</t>
        </is>
      </c>
      <c r="C7" s="5" t="n"/>
    </row>
    <row r="8" ht="22" customHeight="1">
      <c r="B8" s="17" t="inlineStr">
        <is>
          <t>Mode:</t>
        </is>
      </c>
      <c r="C8" s="5" t="n"/>
    </row>
    <row r="9" ht="22" customHeight="1">
      <c r="B9" s="17" t="inlineStr">
        <is>
          <t>Notice Date:</t>
        </is>
      </c>
      <c r="C9" s="5" t="n"/>
    </row>
    <row r="10" ht="22" customHeight="1">
      <c r="B10" s="17" t="inlineStr">
        <is>
          <t>Chaired by:</t>
        </is>
      </c>
      <c r="C10" s="5" t="n"/>
    </row>
    <row r="11" ht="24" customHeight="1">
      <c r="B11" s="18" t="inlineStr">
        <is>
          <t>AGENDA ITEMS</t>
        </is>
      </c>
    </row>
    <row r="12" ht="24" customHeight="1">
      <c r="B12" s="12" t="inlineStr">
        <is>
          <t>Item
No.</t>
        </is>
      </c>
      <c r="C12" s="12" t="inlineStr">
        <is>
          <t>Agenda Item / Discussion Topic</t>
        </is>
      </c>
      <c r="D12" s="12" t="inlineStr">
        <is>
          <t>Presenter / Responsible</t>
        </is>
      </c>
      <c r="E12" s="12" t="inlineStr">
        <is>
          <t>Duration (Min)</t>
        </is>
      </c>
    </row>
    <row r="13" ht="24" customHeight="1">
      <c r="B13" s="13" t="n">
        <v>1</v>
      </c>
      <c r="C13" s="14" t="inlineStr">
        <is>
          <t>Confirmation of minutes of previous IQAC meeting</t>
        </is>
      </c>
      <c r="D13" s="15" t="inlineStr"/>
      <c r="E13" s="15" t="inlineStr"/>
    </row>
    <row r="14" ht="24" customHeight="1">
      <c r="B14" s="4" t="n">
        <v>2</v>
      </c>
      <c r="C14" s="5" t="inlineStr">
        <is>
          <t>Action Taken Report on previous IQAC resolutions</t>
        </is>
      </c>
      <c r="D14" s="6" t="inlineStr"/>
      <c r="E14" s="6" t="inlineStr"/>
    </row>
    <row r="15" ht="24" customHeight="1">
      <c r="B15" s="13" t="n">
        <v>3</v>
      </c>
      <c r="C15" s="14" t="inlineStr">
        <is>
          <t>Academic audit — department-wise findings and action plans</t>
        </is>
      </c>
      <c r="D15" s="15" t="inlineStr"/>
      <c r="E15" s="15" t="inlineStr"/>
    </row>
    <row r="16" ht="24" customHeight="1">
      <c r="B16" s="4" t="n">
        <v>4</v>
      </c>
      <c r="C16" s="5" t="inlineStr">
        <is>
          <t>Student satisfaction survey — analysis and corrective actions</t>
        </is>
      </c>
      <c r="D16" s="6" t="inlineStr"/>
      <c r="E16" s="6" t="inlineStr"/>
    </row>
    <row r="17" ht="24" customHeight="1">
      <c r="B17" s="13" t="n">
        <v>5</v>
      </c>
      <c r="C17" s="14" t="inlineStr">
        <is>
          <t>Faculty feedback on institution — review and recommendations</t>
        </is>
      </c>
      <c r="D17" s="15" t="inlineStr"/>
      <c r="E17" s="15" t="inlineStr"/>
    </row>
    <row r="18" ht="24" customHeight="1">
      <c r="B18" s="4" t="n">
        <v>6</v>
      </c>
      <c r="C18" s="5" t="inlineStr">
        <is>
          <t>Research, publications &amp; innovation — quarterly update</t>
        </is>
      </c>
      <c r="D18" s="6" t="inlineStr"/>
      <c r="E18" s="6" t="inlineStr"/>
    </row>
    <row r="19" ht="24" customHeight="1">
      <c r="B19" s="13" t="n">
        <v>7</v>
      </c>
      <c r="C19" s="14" t="inlineStr">
        <is>
          <t>Best practices — identification, documentation &amp; dissemination</t>
        </is>
      </c>
      <c r="D19" s="15" t="inlineStr"/>
      <c r="E19" s="15" t="inlineStr"/>
    </row>
    <row r="20" ht="24" customHeight="1">
      <c r="B20" s="4" t="n">
        <v>8</v>
      </c>
      <c r="C20" s="5" t="inlineStr">
        <is>
          <t>Industry-institute interaction — MoUs, internships &amp; collaborations</t>
        </is>
      </c>
      <c r="D20" s="6" t="inlineStr"/>
      <c r="E20" s="6" t="inlineStr"/>
    </row>
    <row r="21" ht="24" customHeight="1">
      <c r="B21" s="13" t="n">
        <v>9</v>
      </c>
      <c r="C21" s="14" t="inlineStr">
        <is>
          <t>Extension &amp; outreach activities — NSS, NCC, community engagement</t>
        </is>
      </c>
      <c r="D21" s="15" t="inlineStr"/>
      <c r="E21" s="15" t="inlineStr"/>
    </row>
    <row r="22" ht="24" customHeight="1">
      <c r="B22" s="4" t="n">
        <v>10</v>
      </c>
      <c r="C22" s="5" t="inlineStr">
        <is>
          <t>Infrastructure development &amp; green campus initiatives</t>
        </is>
      </c>
      <c r="D22" s="6" t="inlineStr"/>
      <c r="E22" s="6" t="inlineStr"/>
    </row>
    <row r="23" ht="24" customHeight="1">
      <c r="B23" s="13" t="n">
        <v>11</v>
      </c>
      <c r="C23" s="14" t="inlineStr">
        <is>
          <t>NBA / NAAC / NIRF preparation — milestone review</t>
        </is>
      </c>
      <c r="D23" s="15" t="inlineStr"/>
      <c r="E23" s="15" t="inlineStr"/>
    </row>
    <row r="24" ht="24" customHeight="1">
      <c r="B24" s="4" t="n">
        <v>12</v>
      </c>
      <c r="C24" s="5" t="inlineStr">
        <is>
          <t>AQAR drafting &amp; data verification progress</t>
        </is>
      </c>
      <c r="D24" s="6" t="inlineStr"/>
      <c r="E24" s="6" t="inlineStr"/>
    </row>
    <row r="25" ht="24" customHeight="1">
      <c r="B25" s="13" t="n">
        <v>13</v>
      </c>
      <c r="C25" s="14" t="inlineStr">
        <is>
          <t>Faculty development programme (FDP) calendar review</t>
        </is>
      </c>
      <c r="D25" s="15" t="inlineStr"/>
      <c r="E25" s="15" t="inlineStr"/>
    </row>
    <row r="26" ht="24" customHeight="1">
      <c r="B26" s="4" t="n">
        <v>14</v>
      </c>
      <c r="C26" s="5" t="inlineStr">
        <is>
          <t>Alumni engagement &amp; contributions update</t>
        </is>
      </c>
      <c r="D26" s="6" t="inlineStr"/>
      <c r="E26" s="6" t="inlineStr"/>
    </row>
    <row r="27" ht="24" customHeight="1">
      <c r="B27" s="13" t="n">
        <v>15</v>
      </c>
      <c r="C27" s="14" t="inlineStr">
        <is>
          <t>Quality improvement initiatives — new proposals</t>
        </is>
      </c>
      <c r="D27" s="15" t="inlineStr"/>
      <c r="E27" s="15" t="inlineStr"/>
    </row>
    <row r="28" ht="24" customHeight="1">
      <c r="B28" s="4" t="n">
        <v>16</v>
      </c>
      <c r="C28" s="5" t="inlineStr">
        <is>
          <t>Any Other Matter with the Permission of Chair (AOMPC)</t>
        </is>
      </c>
      <c r="D28" s="6" t="inlineStr"/>
      <c r="E28" s="6" t="inlineStr"/>
    </row>
    <row r="29" ht="24" customHeight="1"/>
    <row r="30" ht="24" customHeight="1">
      <c r="B30" s="19" t="inlineStr">
        <is>
          <t>RESOLUTIONS &amp; DECISIONS</t>
        </is>
      </c>
    </row>
    <row r="31" ht="24" customHeight="1">
      <c r="B31" s="20" t="inlineStr">
        <is>
          <t>Res.
No.</t>
        </is>
      </c>
      <c r="C31" s="20" t="inlineStr">
        <is>
          <t>Resolution / Decision</t>
        </is>
      </c>
      <c r="D31" s="20" t="inlineStr">
        <is>
          <t>Responsible Person / Dept.</t>
        </is>
      </c>
      <c r="E31" s="20" t="inlineStr">
        <is>
          <t>Target Date</t>
        </is>
      </c>
    </row>
    <row r="32" ht="28" customHeight="1">
      <c r="B32" s="21" t="n"/>
      <c r="C32" s="21" t="n"/>
      <c r="D32" s="21" t="n"/>
      <c r="E32" s="21" t="n"/>
    </row>
    <row r="33" ht="28" customHeight="1">
      <c r="B33" s="6" t="n"/>
      <c r="C33" s="6" t="n"/>
      <c r="D33" s="6" t="n"/>
      <c r="E33" s="6" t="n"/>
    </row>
    <row r="34" ht="28" customHeight="1">
      <c r="B34" s="21" t="n"/>
      <c r="C34" s="21" t="n"/>
      <c r="D34" s="21" t="n"/>
      <c r="E34" s="21" t="n"/>
    </row>
    <row r="35" ht="28" customHeight="1">
      <c r="B35" s="6" t="n"/>
      <c r="C35" s="6" t="n"/>
      <c r="D35" s="6" t="n"/>
      <c r="E35" s="6" t="n"/>
    </row>
    <row r="36" ht="28" customHeight="1">
      <c r="B36" s="21" t="n"/>
      <c r="C36" s="21" t="n"/>
      <c r="D36" s="21" t="n"/>
      <c r="E36" s="21" t="n"/>
    </row>
    <row r="37" ht="28" customHeight="1">
      <c r="B37" s="6" t="n"/>
      <c r="C37" s="6" t="n"/>
      <c r="D37" s="6" t="n"/>
      <c r="E37" s="6" t="n"/>
    </row>
    <row r="38" ht="28" customHeight="1">
      <c r="B38" s="21" t="n"/>
      <c r="C38" s="21" t="n"/>
      <c r="D38" s="21" t="n"/>
      <c r="E38" s="21" t="n"/>
    </row>
    <row r="39" ht="28" customHeight="1">
      <c r="B39" s="6" t="n"/>
      <c r="C39" s="6" t="n"/>
      <c r="D39" s="6" t="n"/>
      <c r="E39" s="6" t="n"/>
    </row>
    <row r="40" ht="28" customHeight="1">
      <c r="B40" s="21" t="n"/>
      <c r="C40" s="21" t="n"/>
      <c r="D40" s="21" t="n"/>
      <c r="E40" s="21" t="n"/>
    </row>
    <row r="41" ht="28" customHeight="1">
      <c r="B41" s="6" t="n"/>
      <c r="C41" s="6" t="n"/>
      <c r="D41" s="6" t="n"/>
      <c r="E41" s="6" t="n"/>
    </row>
    <row r="42" ht="28" customHeight="1">
      <c r="B42" s="21" t="n"/>
      <c r="C42" s="21" t="n"/>
      <c r="D42" s="21" t="n"/>
      <c r="E42" s="21" t="n"/>
    </row>
    <row r="43" ht="24" customHeight="1"/>
    <row r="44" ht="24" customHeight="1">
      <c r="B44" s="16" t="inlineStr">
        <is>
          <t>Meeting closed at: _______    Next meeting tentatively on: _______</t>
        </is>
      </c>
    </row>
    <row r="45" ht="24" customHeight="1">
      <c r="B45" s="22" t="inlineStr">
        <is>
          <t>IQAC Coordinator: ___________________    Head of Institution: ___________________    Date: _______</t>
        </is>
      </c>
    </row>
    <row r="46" ht="24" customHeight="1"/>
    <row r="47" ht="24" customHeight="1"/>
    <row r="48" ht="24" customHeight="1"/>
    <row r="49" ht="24" customHeight="1"/>
  </sheetData>
  <mergeCells count="13">
    <mergeCell ref="B45:E45"/>
    <mergeCell ref="C5:E5"/>
    <mergeCell ref="B30:E30"/>
    <mergeCell ref="C8:E8"/>
    <mergeCell ref="C9:E9"/>
    <mergeCell ref="C4:E4"/>
    <mergeCell ref="B44:E44"/>
    <mergeCell ref="C3:E3"/>
    <mergeCell ref="B11:E11"/>
    <mergeCell ref="B2:E2"/>
    <mergeCell ref="C7:E7"/>
    <mergeCell ref="C6:E6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16" customWidth="1" min="5" max="5"/>
    <col width="13" customWidth="1" min="6" max="6"/>
    <col width="13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IQ-03: ACTION TAKEN REPORT (ATR) ON IQAC RESOLUTIONS</t>
        </is>
      </c>
    </row>
    <row r="3" ht="25" customHeight="1">
      <c r="B3" s="2" t="inlineStr">
        <is>
          <t>Current IQAC Meeting No.: _______  Date: _______  Previous Meeting Ref.: _______  Date: _______</t>
        </is>
      </c>
    </row>
    <row r="4" ht="25" customHeight="1">
      <c r="B4" s="23" t="inlineStr">
        <is>
          <t>Resolution
No.</t>
        </is>
      </c>
      <c r="C4" s="23" t="inlineStr">
        <is>
          <t>Resolution / Decision (Previous Meeting)</t>
        </is>
      </c>
      <c r="D4" s="23" t="inlineStr">
        <is>
          <t>Action Required</t>
        </is>
      </c>
      <c r="E4" s="23" t="inlineStr">
        <is>
          <t>Responsible
Person / Dept.</t>
        </is>
      </c>
      <c r="F4" s="23" t="inlineStr">
        <is>
          <t>Target
Date</t>
        </is>
      </c>
      <c r="G4" s="23" t="inlineStr">
        <is>
          <t>Completion
Date</t>
        </is>
      </c>
      <c r="H4" s="23" t="inlineStr">
        <is>
          <t>Status &amp; Evidence</t>
        </is>
      </c>
    </row>
    <row r="5" ht="28" customHeight="1">
      <c r="B5" s="13" t="inlineStr">
        <is>
          <t>IQ/RES/2024/01</t>
        </is>
      </c>
      <c r="C5" s="14" t="inlineStr"/>
      <c r="D5" s="14" t="inlineStr"/>
      <c r="E5" s="15" t="inlineStr"/>
      <c r="F5" s="15" t="inlineStr"/>
      <c r="G5" s="15" t="inlineStr"/>
      <c r="H5" s="14" t="inlineStr">
        <is>
          <t>Implemented</t>
        </is>
      </c>
    </row>
    <row r="6" ht="28" customHeight="1">
      <c r="B6" s="4" t="inlineStr">
        <is>
          <t>IQ/RES/2024/02</t>
        </is>
      </c>
      <c r="C6" s="5" t="inlineStr"/>
      <c r="D6" s="5" t="inlineStr"/>
      <c r="E6" s="6" t="inlineStr"/>
      <c r="F6" s="6" t="inlineStr"/>
      <c r="G6" s="6" t="inlineStr"/>
      <c r="H6" s="5" t="inlineStr">
        <is>
          <t>In Progress</t>
        </is>
      </c>
    </row>
    <row r="7" ht="28" customHeight="1">
      <c r="B7" s="13" t="inlineStr">
        <is>
          <t>IQ/RES/2024/03</t>
        </is>
      </c>
      <c r="C7" s="14" t="inlineStr"/>
      <c r="D7" s="14" t="inlineStr"/>
      <c r="E7" s="15" t="inlineStr"/>
      <c r="F7" s="15" t="inlineStr"/>
      <c r="G7" s="15" t="inlineStr"/>
      <c r="H7" s="14" t="inlineStr">
        <is>
          <t>Pending</t>
        </is>
      </c>
    </row>
    <row r="8" ht="28" customHeight="1">
      <c r="B8" s="4" t="inlineStr">
        <is>
          <t>IQ/RES/2024/04</t>
        </is>
      </c>
      <c r="C8" s="5" t="inlineStr"/>
      <c r="D8" s="5" t="inlineStr"/>
      <c r="E8" s="6" t="inlineStr"/>
      <c r="F8" s="6" t="inlineStr"/>
      <c r="G8" s="6" t="inlineStr"/>
      <c r="H8" s="5" t="inlineStr">
        <is>
          <t>Deferred</t>
        </is>
      </c>
    </row>
    <row r="9" ht="28" customHeight="1">
      <c r="B9" s="13" t="inlineStr">
        <is>
          <t>IQ/RES/2024/05</t>
        </is>
      </c>
      <c r="C9" s="14" t="inlineStr"/>
      <c r="D9" s="14" t="inlineStr"/>
      <c r="E9" s="15" t="inlineStr"/>
      <c r="F9" s="15" t="inlineStr"/>
      <c r="G9" s="15" t="inlineStr"/>
      <c r="H9" s="14" t="inlineStr">
        <is>
          <t>Referred</t>
        </is>
      </c>
    </row>
    <row r="10" ht="28" customHeight="1">
      <c r="B10" s="4" t="inlineStr">
        <is>
          <t>IQ/RES/2024/06</t>
        </is>
      </c>
      <c r="C10" s="5" t="inlineStr"/>
      <c r="D10" s="5" t="inlineStr"/>
      <c r="E10" s="6" t="inlineStr"/>
      <c r="F10" s="6" t="inlineStr"/>
      <c r="G10" s="6" t="inlineStr"/>
      <c r="H10" s="5" t="inlineStr">
        <is>
          <t>Implemented</t>
        </is>
      </c>
    </row>
    <row r="11" ht="28" customHeight="1">
      <c r="B11" s="13" t="inlineStr">
        <is>
          <t>IQ/RES/2024/07</t>
        </is>
      </c>
      <c r="C11" s="14" t="inlineStr"/>
      <c r="D11" s="14" t="inlineStr"/>
      <c r="E11" s="15" t="inlineStr"/>
      <c r="F11" s="15" t="inlineStr"/>
      <c r="G11" s="15" t="inlineStr"/>
      <c r="H11" s="14" t="inlineStr">
        <is>
          <t>In Progress</t>
        </is>
      </c>
    </row>
    <row r="12" ht="28" customHeight="1">
      <c r="B12" s="4" t="inlineStr">
        <is>
          <t>IQ/RES/2024/08</t>
        </is>
      </c>
      <c r="C12" s="5" t="inlineStr"/>
      <c r="D12" s="5" t="inlineStr"/>
      <c r="E12" s="6" t="inlineStr"/>
      <c r="F12" s="6" t="inlineStr"/>
      <c r="G12" s="6" t="inlineStr"/>
      <c r="H12" s="5" t="inlineStr">
        <is>
          <t>Pending</t>
        </is>
      </c>
    </row>
    <row r="13" ht="28" customHeight="1">
      <c r="B13" s="13" t="inlineStr">
        <is>
          <t>IQ/RES/2024/09</t>
        </is>
      </c>
      <c r="C13" s="14" t="inlineStr"/>
      <c r="D13" s="14" t="inlineStr"/>
      <c r="E13" s="15" t="inlineStr"/>
      <c r="F13" s="15" t="inlineStr"/>
      <c r="G13" s="15" t="inlineStr"/>
      <c r="H13" s="14" t="inlineStr">
        <is>
          <t>Deferred</t>
        </is>
      </c>
    </row>
    <row r="14" ht="28" customHeight="1">
      <c r="B14" s="4" t="inlineStr">
        <is>
          <t>IQ/RES/2025/10</t>
        </is>
      </c>
      <c r="C14" s="5" t="inlineStr"/>
      <c r="D14" s="5" t="inlineStr"/>
      <c r="E14" s="6" t="inlineStr"/>
      <c r="F14" s="6" t="inlineStr"/>
      <c r="G14" s="6" t="inlineStr"/>
      <c r="H14" s="5" t="inlineStr">
        <is>
          <t>Referred</t>
        </is>
      </c>
    </row>
    <row r="15" ht="28" customHeight="1">
      <c r="B15" s="13" t="inlineStr">
        <is>
          <t>IQ/RES/2025/11</t>
        </is>
      </c>
      <c r="C15" s="14" t="inlineStr"/>
      <c r="D15" s="14" t="inlineStr"/>
      <c r="E15" s="15" t="inlineStr"/>
      <c r="F15" s="15" t="inlineStr"/>
      <c r="G15" s="15" t="inlineStr"/>
      <c r="H15" s="14" t="inlineStr">
        <is>
          <t>Implemented</t>
        </is>
      </c>
    </row>
    <row r="16" ht="28" customHeight="1">
      <c r="B16" s="4" t="inlineStr">
        <is>
          <t>IQ/RES/2025/12</t>
        </is>
      </c>
      <c r="C16" s="5" t="inlineStr"/>
      <c r="D16" s="5" t="inlineStr"/>
      <c r="E16" s="6" t="inlineStr"/>
      <c r="F16" s="6" t="inlineStr"/>
      <c r="G16" s="6" t="inlineStr"/>
      <c r="H16" s="5" t="inlineStr">
        <is>
          <t>In Progress</t>
        </is>
      </c>
    </row>
    <row r="17" ht="28" customHeight="1">
      <c r="B17" s="13" t="inlineStr">
        <is>
          <t>IQ/RES/2025/13</t>
        </is>
      </c>
      <c r="C17" s="14" t="inlineStr"/>
      <c r="D17" s="14" t="inlineStr"/>
      <c r="E17" s="15" t="inlineStr"/>
      <c r="F17" s="15" t="inlineStr"/>
      <c r="G17" s="15" t="inlineStr"/>
      <c r="H17" s="14" t="inlineStr">
        <is>
          <t>Pending</t>
        </is>
      </c>
    </row>
    <row r="18" ht="28" customHeight="1">
      <c r="B18" s="4" t="inlineStr">
        <is>
          <t>IQ/RES/2025/14</t>
        </is>
      </c>
      <c r="C18" s="5" t="inlineStr"/>
      <c r="D18" s="5" t="inlineStr"/>
      <c r="E18" s="6" t="inlineStr"/>
      <c r="F18" s="6" t="inlineStr"/>
      <c r="G18" s="6" t="inlineStr"/>
      <c r="H18" s="5" t="inlineStr">
        <is>
          <t>Deferred</t>
        </is>
      </c>
    </row>
    <row r="19" ht="28" customHeight="1">
      <c r="B19" s="13" t="inlineStr">
        <is>
          <t>IQ/RES/2025/15</t>
        </is>
      </c>
      <c r="C19" s="14" t="inlineStr"/>
      <c r="D19" s="14" t="inlineStr"/>
      <c r="E19" s="15" t="inlineStr"/>
      <c r="F19" s="15" t="inlineStr"/>
      <c r="G19" s="15" t="inlineStr"/>
      <c r="H19" s="14" t="inlineStr">
        <is>
          <t>Referred</t>
        </is>
      </c>
    </row>
    <row r="20" ht="28" customHeight="1">
      <c r="B20" s="4" t="inlineStr">
        <is>
          <t>IQ/RES/2025/16</t>
        </is>
      </c>
      <c r="C20" s="5" t="inlineStr"/>
      <c r="D20" s="5" t="inlineStr"/>
      <c r="E20" s="6" t="inlineStr"/>
      <c r="F20" s="6" t="inlineStr"/>
      <c r="G20" s="6" t="inlineStr"/>
      <c r="H20" s="5" t="inlineStr">
        <is>
          <t>Implemented</t>
        </is>
      </c>
    </row>
    <row r="21" ht="28" customHeight="1">
      <c r="B21" s="13" t="inlineStr">
        <is>
          <t>IQ/RES/2025/17</t>
        </is>
      </c>
      <c r="C21" s="14" t="inlineStr"/>
      <c r="D21" s="14" t="inlineStr"/>
      <c r="E21" s="15" t="inlineStr"/>
      <c r="F21" s="15" t="inlineStr"/>
      <c r="G21" s="15" t="inlineStr"/>
      <c r="H21" s="14" t="inlineStr">
        <is>
          <t>In Progress</t>
        </is>
      </c>
    </row>
    <row r="22" ht="28" customHeight="1">
      <c r="B22" s="4" t="inlineStr">
        <is>
          <t>IQ/RES/2025/18</t>
        </is>
      </c>
      <c r="C22" s="5" t="inlineStr"/>
      <c r="D22" s="5" t="inlineStr"/>
      <c r="E22" s="6" t="inlineStr"/>
      <c r="F22" s="6" t="inlineStr"/>
      <c r="G22" s="6" t="inlineStr"/>
      <c r="H22" s="5" t="inlineStr">
        <is>
          <t>Pending</t>
        </is>
      </c>
    </row>
    <row r="23" ht="28" customHeight="1"/>
    <row r="24" ht="24" customHeight="1">
      <c r="B24" s="18" t="inlineStr">
        <is>
          <t>ATR SUMMARY</t>
        </is>
      </c>
    </row>
    <row r="25" ht="28" customHeight="1">
      <c r="B25" s="24" t="inlineStr">
        <is>
          <t>Total Resolutions Under Review</t>
        </is>
      </c>
      <c r="F25" s="25">
        <f>COUNTA(B5:B22)</f>
        <v/>
      </c>
    </row>
    <row r="26" ht="28" customHeight="1">
      <c r="B26" s="26" t="inlineStr">
        <is>
          <t>Fully Implemented</t>
        </is>
      </c>
      <c r="F26" s="27">
        <f>COUNTIF(H5:H22,"Implemented")</f>
        <v/>
      </c>
    </row>
    <row r="27" ht="28" customHeight="1">
      <c r="B27" s="24" t="inlineStr">
        <is>
          <t>In Progress</t>
        </is>
      </c>
      <c r="F27" s="25">
        <f>COUNTIF(H5:H22,"In Progress")</f>
        <v/>
      </c>
    </row>
    <row r="28" ht="28" customHeight="1">
      <c r="B28" s="26" t="inlineStr">
        <is>
          <t>Pending / Not Started</t>
        </is>
      </c>
      <c r="F28" s="27">
        <f>COUNTIF(H5:H22,"Pending")</f>
        <v/>
      </c>
    </row>
    <row r="29" ht="28" customHeight="1">
      <c r="B29" s="24" t="inlineStr">
        <is>
          <t>Deferred</t>
        </is>
      </c>
      <c r="F29" s="25">
        <f>COUNTIF(H5:H22,"Deferred")</f>
        <v/>
      </c>
    </row>
    <row r="30" ht="28" customHeight="1">
      <c r="B30" s="26" t="inlineStr">
        <is>
          <t>Implementation Rate (%)</t>
        </is>
      </c>
      <c r="F30" s="27">
        <f>IFERROR(ROUND(C26/C25*100,1),"")</f>
        <v/>
      </c>
    </row>
    <row r="31" ht="28" customHeight="1"/>
  </sheetData>
  <mergeCells count="15">
    <mergeCell ref="B26:E26"/>
    <mergeCell ref="B27:E27"/>
    <mergeCell ref="F28:H28"/>
    <mergeCell ref="F27:H27"/>
    <mergeCell ref="B30:E30"/>
    <mergeCell ref="F29:H29"/>
    <mergeCell ref="B29:E29"/>
    <mergeCell ref="B24:H24"/>
    <mergeCell ref="B2:H2"/>
    <mergeCell ref="B25:E25"/>
    <mergeCell ref="F26:H26"/>
    <mergeCell ref="F30:H30"/>
    <mergeCell ref="B3:H3"/>
    <mergeCell ref="B28:E28"/>
    <mergeCell ref="F25:H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9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IQ-04: ANNUAL QUALITY ASSURANCE REPORT (AQAR) — DATA COLLECTION FORM</t>
        </is>
      </c>
    </row>
    <row r="3" ht="25" customHeight="1">
      <c r="B3" s="2" t="inlineStr">
        <is>
          <t>A.Y.: _______  NAAC Cycle: _______  IQAC Coordinator: ___________________  Submission Deadline: July 31</t>
        </is>
      </c>
    </row>
    <row r="4" ht="24" customHeight="1">
      <c r="B4" s="19" t="inlineStr">
        <is>
          <t>CRITERION I — CURRICULAR ASPECTS</t>
        </is>
      </c>
    </row>
    <row r="5" ht="22" customHeight="1">
      <c r="B5" s="20" t="inlineStr">
        <is>
          <t>NAAC
Ref.</t>
        </is>
      </c>
      <c r="C5" s="20" t="inlineStr">
        <is>
          <t>Quality Indicator / Metric</t>
        </is>
      </c>
      <c r="D5" s="20" t="inlineStr">
        <is>
          <t>Unit / Format</t>
        </is>
      </c>
      <c r="E5" s="20" t="inlineStr">
        <is>
          <t>Current A.Y.
Data</t>
        </is>
      </c>
      <c r="F5" s="20" t="inlineStr">
        <is>
          <t>Previous A.Y.</t>
        </is>
      </c>
      <c r="G5" s="20" t="inlineStr">
        <is>
          <t>Target</t>
        </is>
      </c>
      <c r="H5" s="20" t="inlineStr">
        <is>
          <t>Data Source / Dept.</t>
        </is>
      </c>
    </row>
    <row r="6" ht="22" customHeight="1">
      <c r="B6" s="28" t="inlineStr">
        <is>
          <t>1.1.1</t>
        </is>
      </c>
      <c r="C6" s="29" t="inlineStr">
        <is>
          <t>Programmes offered at UG / PG / Ph.D. level</t>
        </is>
      </c>
      <c r="D6" s="21" t="inlineStr">
        <is>
          <t>No.</t>
        </is>
      </c>
      <c r="E6" s="21" t="inlineStr"/>
      <c r="F6" s="21" t="inlineStr"/>
      <c r="G6" s="21" t="inlineStr"/>
      <c r="H6" s="29" t="inlineStr"/>
    </row>
    <row r="7" ht="22" customHeight="1">
      <c r="B7" s="4" t="inlineStr">
        <is>
          <t>1.1.2</t>
        </is>
      </c>
      <c r="C7" s="5" t="inlineStr">
        <is>
          <t>Programmes with Choice Based Credit System (CBCS)</t>
        </is>
      </c>
      <c r="D7" s="6" t="inlineStr">
        <is>
          <t>No. &amp; %</t>
        </is>
      </c>
      <c r="E7" s="6" t="inlineStr"/>
      <c r="F7" s="6" t="inlineStr"/>
      <c r="G7" s="6" t="inlineStr"/>
      <c r="H7" s="5" t="inlineStr"/>
    </row>
    <row r="8" ht="22" customHeight="1">
      <c r="B8" s="28" t="inlineStr">
        <is>
          <t>1.1.3</t>
        </is>
      </c>
      <c r="C8" s="29" t="inlineStr">
        <is>
          <t>Courses with explicit focus on employability / entrepreneurship</t>
        </is>
      </c>
      <c r="D8" s="21" t="inlineStr">
        <is>
          <t>No.</t>
        </is>
      </c>
      <c r="E8" s="21" t="inlineStr"/>
      <c r="F8" s="21" t="inlineStr"/>
      <c r="G8" s="21" t="inlineStr"/>
      <c r="H8" s="29" t="inlineStr"/>
    </row>
    <row r="9" ht="22" customHeight="1">
      <c r="B9" s="4" t="inlineStr">
        <is>
          <t>1.2.1</t>
        </is>
      </c>
      <c r="C9" s="5" t="inlineStr">
        <is>
          <t>New Courses introduced during the year</t>
        </is>
      </c>
      <c r="D9" s="6" t="inlineStr">
        <is>
          <t>No.</t>
        </is>
      </c>
      <c r="E9" s="6" t="inlineStr"/>
      <c r="F9" s="6" t="inlineStr"/>
      <c r="G9" s="6" t="inlineStr"/>
      <c r="H9" s="5" t="inlineStr"/>
    </row>
    <row r="10" ht="22" customHeight="1">
      <c r="B10" s="28" t="inlineStr">
        <is>
          <t>1.2.2</t>
        </is>
      </c>
      <c r="C10" s="29" t="inlineStr">
        <is>
          <t>Programmes in which CBCS / elective implemented</t>
        </is>
      </c>
      <c r="D10" s="21" t="inlineStr">
        <is>
          <t>No.</t>
        </is>
      </c>
      <c r="E10" s="21" t="inlineStr"/>
      <c r="F10" s="21" t="inlineStr"/>
      <c r="G10" s="21" t="inlineStr"/>
      <c r="H10" s="29" t="inlineStr"/>
    </row>
    <row r="11" ht="22" customHeight="1">
      <c r="B11" s="4" t="inlineStr">
        <is>
          <t>1.3.1</t>
        </is>
      </c>
      <c r="C11" s="5" t="inlineStr">
        <is>
          <t>Courses addressing crosscutting issues (environment, gender, etc.)</t>
        </is>
      </c>
      <c r="D11" s="6" t="inlineStr">
        <is>
          <t>No.</t>
        </is>
      </c>
      <c r="E11" s="6" t="inlineStr"/>
      <c r="F11" s="6" t="inlineStr"/>
      <c r="G11" s="6" t="inlineStr"/>
      <c r="H11" s="5" t="inlineStr"/>
    </row>
    <row r="12" ht="22" customHeight="1">
      <c r="B12" s="28" t="inlineStr">
        <is>
          <t>1.3.2</t>
        </is>
      </c>
      <c r="C12" s="29" t="inlineStr">
        <is>
          <t>Students undertaking field projects / internships</t>
        </is>
      </c>
      <c r="D12" s="21" t="inlineStr">
        <is>
          <t>No. &amp; %</t>
        </is>
      </c>
      <c r="E12" s="21" t="inlineStr"/>
      <c r="F12" s="21" t="inlineStr"/>
      <c r="G12" s="21" t="inlineStr"/>
      <c r="H12" s="29" t="inlineStr"/>
    </row>
    <row r="13" ht="22" customHeight="1">
      <c r="B13" s="4" t="inlineStr">
        <is>
          <t>1.4.1</t>
        </is>
      </c>
      <c r="C13" s="5" t="inlineStr">
        <is>
          <t>Stakeholder feedback on curriculum — obtained &amp; acted upon</t>
        </is>
      </c>
      <c r="D13" s="6" t="inlineStr">
        <is>
          <t>Y/N + Detail</t>
        </is>
      </c>
      <c r="E13" s="6" t="inlineStr"/>
      <c r="F13" s="6" t="inlineStr"/>
      <c r="G13" s="6" t="inlineStr"/>
      <c r="H13" s="5" t="inlineStr"/>
    </row>
    <row r="14" ht="22" customHeight="1">
      <c r="B14" s="28" t="inlineStr">
        <is>
          <t>1.4.2</t>
        </is>
      </c>
      <c r="C14" s="29" t="inlineStr">
        <is>
          <t>Feedback process — structured &amp; analysed</t>
        </is>
      </c>
      <c r="D14" s="21" t="inlineStr">
        <is>
          <t>Y/N</t>
        </is>
      </c>
      <c r="E14" s="21" t="inlineStr"/>
      <c r="F14" s="21" t="inlineStr"/>
      <c r="G14" s="21" t="inlineStr"/>
      <c r="H14" s="29" t="inlineStr"/>
    </row>
    <row r="15" ht="22" customHeight="1"/>
    <row r="16" ht="24" customHeight="1">
      <c r="B16" s="18" t="inlineStr">
        <is>
          <t>CRITERION II — TEACHING-LEARNING &amp; EVALUATION</t>
        </is>
      </c>
    </row>
    <row r="17" ht="22" customHeight="1">
      <c r="B17" s="12" t="inlineStr">
        <is>
          <t>NAAC
Ref.</t>
        </is>
      </c>
      <c r="C17" s="12" t="inlineStr">
        <is>
          <t>Quality Indicator / Metric</t>
        </is>
      </c>
      <c r="D17" s="12" t="inlineStr">
        <is>
          <t>Unit / Format</t>
        </is>
      </c>
      <c r="E17" s="12" t="inlineStr">
        <is>
          <t>Current A.Y.
Data</t>
        </is>
      </c>
      <c r="F17" s="12" t="inlineStr">
        <is>
          <t>Previous A.Y.</t>
        </is>
      </c>
      <c r="G17" s="12" t="inlineStr">
        <is>
          <t>Target</t>
        </is>
      </c>
      <c r="H17" s="12" t="inlineStr">
        <is>
          <t>Data Source / Dept.</t>
        </is>
      </c>
    </row>
    <row r="18" ht="22" customHeight="1">
      <c r="B18" s="13" t="inlineStr">
        <is>
          <t>2.1.1</t>
        </is>
      </c>
      <c r="C18" s="14" t="inlineStr">
        <is>
          <t>Student enrolment (UG, PG, Ph.D.)</t>
        </is>
      </c>
      <c r="D18" s="15" t="inlineStr">
        <is>
          <t>No.</t>
        </is>
      </c>
      <c r="E18" s="15" t="inlineStr"/>
      <c r="F18" s="15" t="inlineStr"/>
      <c r="G18" s="15" t="inlineStr"/>
      <c r="H18" s="14" t="inlineStr"/>
    </row>
    <row r="19" ht="22" customHeight="1">
      <c r="B19" s="4" t="inlineStr">
        <is>
          <t>2.1.2</t>
        </is>
      </c>
      <c r="C19" s="5" t="inlineStr">
        <is>
          <t>Students from OBC / SC / ST / Women / Differently abled</t>
        </is>
      </c>
      <c r="D19" s="6" t="inlineStr">
        <is>
          <t>No. &amp; %</t>
        </is>
      </c>
      <c r="E19" s="6" t="inlineStr"/>
      <c r="F19" s="6" t="inlineStr"/>
      <c r="G19" s="6" t="inlineStr"/>
      <c r="H19" s="5" t="inlineStr"/>
    </row>
    <row r="20" ht="22" customHeight="1">
      <c r="B20" s="13" t="inlineStr">
        <is>
          <t>2.2.1</t>
        </is>
      </c>
      <c r="C20" s="14" t="inlineStr">
        <is>
          <t>Full-time teachers (Teaching days / year)</t>
        </is>
      </c>
      <c r="D20" s="15" t="inlineStr">
        <is>
          <t>No. &amp; Days</t>
        </is>
      </c>
      <c r="E20" s="15" t="inlineStr"/>
      <c r="F20" s="15" t="inlineStr"/>
      <c r="G20" s="15" t="inlineStr"/>
      <c r="H20" s="14" t="inlineStr"/>
    </row>
    <row r="21" ht="22" customHeight="1">
      <c r="B21" s="4" t="inlineStr">
        <is>
          <t>2.2.2</t>
        </is>
      </c>
      <c r="C21" s="5" t="inlineStr">
        <is>
          <t>Student-teacher ratio (UG, PG)</t>
        </is>
      </c>
      <c r="D21" s="6" t="inlineStr">
        <is>
          <t>Ratio</t>
        </is>
      </c>
      <c r="E21" s="6" t="inlineStr"/>
      <c r="F21" s="6" t="inlineStr"/>
      <c r="G21" s="6" t="inlineStr"/>
      <c r="H21" s="5" t="inlineStr"/>
    </row>
    <row r="22" ht="22" customHeight="1">
      <c r="B22" s="13" t="inlineStr">
        <is>
          <t>2.3.1</t>
        </is>
      </c>
      <c r="C22" s="14" t="inlineStr">
        <is>
          <t>ICT-enabled learning — courses, LMS usage</t>
        </is>
      </c>
      <c r="D22" s="15" t="inlineStr">
        <is>
          <t>No. &amp; %</t>
        </is>
      </c>
      <c r="E22" s="15" t="inlineStr"/>
      <c r="F22" s="15" t="inlineStr"/>
      <c r="G22" s="15" t="inlineStr"/>
      <c r="H22" s="14" t="inlineStr"/>
    </row>
    <row r="23" ht="22" customHeight="1">
      <c r="B23" s="4" t="inlineStr">
        <is>
          <t>2.3.2</t>
        </is>
      </c>
      <c r="C23" s="5" t="inlineStr">
        <is>
          <t>Mentor-mentee ratio; mentoring activities</t>
        </is>
      </c>
      <c r="D23" s="6" t="inlineStr">
        <is>
          <t>Ratio &amp; No.</t>
        </is>
      </c>
      <c r="E23" s="6" t="inlineStr"/>
      <c r="F23" s="6" t="inlineStr"/>
      <c r="G23" s="6" t="inlineStr"/>
      <c r="H23" s="5" t="inlineStr"/>
    </row>
    <row r="24" ht="22" customHeight="1">
      <c r="B24" s="13" t="inlineStr">
        <is>
          <t>2.4.1</t>
        </is>
      </c>
      <c r="C24" s="14" t="inlineStr">
        <is>
          <t>Full-time teachers with Ph.D.</t>
        </is>
      </c>
      <c r="D24" s="15" t="inlineStr">
        <is>
          <t>No. &amp; %</t>
        </is>
      </c>
      <c r="E24" s="15" t="inlineStr"/>
      <c r="F24" s="15" t="inlineStr"/>
      <c r="G24" s="15" t="inlineStr"/>
      <c r="H24" s="14" t="inlineStr"/>
    </row>
    <row r="25" ht="22" customHeight="1">
      <c r="B25" s="4" t="inlineStr">
        <is>
          <t>2.4.2</t>
        </is>
      </c>
      <c r="C25" s="5" t="inlineStr">
        <is>
          <t>Average teaching experience of full-time faculty</t>
        </is>
      </c>
      <c r="D25" s="6" t="inlineStr">
        <is>
          <t>Years</t>
        </is>
      </c>
      <c r="E25" s="6" t="inlineStr"/>
      <c r="F25" s="6" t="inlineStr"/>
      <c r="G25" s="6" t="inlineStr"/>
      <c r="H25" s="5" t="inlineStr"/>
    </row>
    <row r="26" ht="22" customHeight="1">
      <c r="B26" s="13" t="inlineStr">
        <is>
          <t>2.5.1</t>
        </is>
      </c>
      <c r="C26" s="14" t="inlineStr">
        <is>
          <t>Internal examination system (reforms, transparency)</t>
        </is>
      </c>
      <c r="D26" s="15" t="inlineStr">
        <is>
          <t>Detail</t>
        </is>
      </c>
      <c r="E26" s="15" t="inlineStr"/>
      <c r="F26" s="15" t="inlineStr"/>
      <c r="G26" s="15" t="inlineStr"/>
      <c r="H26" s="14" t="inlineStr"/>
    </row>
    <row r="27" ht="22" customHeight="1">
      <c r="B27" s="4" t="inlineStr">
        <is>
          <t>2.6.1</t>
        </is>
      </c>
      <c r="C27" s="5" t="inlineStr">
        <is>
          <t>COs defined for all programmes &amp; communicated</t>
        </is>
      </c>
      <c r="D27" s="6" t="inlineStr">
        <is>
          <t>Y/N</t>
        </is>
      </c>
      <c r="E27" s="6" t="inlineStr"/>
      <c r="F27" s="6" t="inlineStr"/>
      <c r="G27" s="6" t="inlineStr"/>
      <c r="H27" s="5" t="inlineStr"/>
    </row>
    <row r="28" ht="22" customHeight="1">
      <c r="B28" s="13" t="inlineStr">
        <is>
          <t>2.6.2</t>
        </is>
      </c>
      <c r="C28" s="14" t="inlineStr">
        <is>
          <t>CO attainment — methods &amp; analysis</t>
        </is>
      </c>
      <c r="D28" s="15" t="inlineStr">
        <is>
          <t>% attained</t>
        </is>
      </c>
      <c r="E28" s="15" t="inlineStr"/>
      <c r="F28" s="15" t="inlineStr"/>
      <c r="G28" s="15" t="inlineStr"/>
      <c r="H28" s="14" t="inlineStr"/>
    </row>
    <row r="29" ht="22" customHeight="1">
      <c r="B29" s="4" t="inlineStr">
        <is>
          <t>2.6.3</t>
        </is>
      </c>
      <c r="C29" s="5" t="inlineStr">
        <is>
          <t>Pass percentage (UG, PG)</t>
        </is>
      </c>
      <c r="D29" s="6" t="inlineStr">
        <is>
          <t>% pass</t>
        </is>
      </c>
      <c r="E29" s="6" t="inlineStr"/>
      <c r="F29" s="6" t="inlineStr"/>
      <c r="G29" s="6" t="inlineStr"/>
      <c r="H29" s="5" t="inlineStr"/>
    </row>
    <row r="30" ht="22" customHeight="1">
      <c r="B30" s="13" t="inlineStr">
        <is>
          <t>2.7.1</t>
        </is>
      </c>
      <c r="C30" s="14" t="inlineStr">
        <is>
          <t>Student Satisfaction Survey score</t>
        </is>
      </c>
      <c r="D30" s="15" t="inlineStr">
        <is>
          <t>Score / 5</t>
        </is>
      </c>
      <c r="E30" s="15" t="inlineStr"/>
      <c r="F30" s="15" t="inlineStr"/>
      <c r="G30" s="15" t="inlineStr"/>
      <c r="H30" s="14" t="inlineStr"/>
    </row>
    <row r="31" ht="22" customHeight="1"/>
    <row r="32" ht="24" customHeight="1">
      <c r="B32" s="30" t="inlineStr">
        <is>
          <t>CRITERION III — RESEARCH, INNOVATIONS &amp; EXTENSION</t>
        </is>
      </c>
    </row>
    <row r="33" ht="22" customHeight="1">
      <c r="B33" s="31" t="inlineStr">
        <is>
          <t>NAAC
Ref.</t>
        </is>
      </c>
      <c r="C33" s="31" t="inlineStr">
        <is>
          <t>Quality Indicator / Metric</t>
        </is>
      </c>
      <c r="D33" s="31" t="inlineStr">
        <is>
          <t>Unit / Format</t>
        </is>
      </c>
      <c r="E33" s="31" t="inlineStr">
        <is>
          <t>Current A.Y.
Data</t>
        </is>
      </c>
      <c r="F33" s="31" t="inlineStr">
        <is>
          <t>Previous A.Y.</t>
        </is>
      </c>
      <c r="G33" s="31" t="inlineStr">
        <is>
          <t>Target</t>
        </is>
      </c>
      <c r="H33" s="31" t="inlineStr">
        <is>
          <t>Data Source / Dept.</t>
        </is>
      </c>
    </row>
    <row r="34" ht="22" customHeight="1">
      <c r="B34" s="32" t="inlineStr">
        <is>
          <t>3.1.1</t>
        </is>
      </c>
      <c r="C34" s="33" t="inlineStr">
        <is>
          <t>Grants received for research (₹ Lakhs)</t>
        </is>
      </c>
      <c r="D34" s="34" t="inlineStr">
        <is>
          <t>₹L</t>
        </is>
      </c>
      <c r="E34" s="34" t="inlineStr"/>
      <c r="F34" s="34" t="inlineStr"/>
      <c r="G34" s="34" t="inlineStr"/>
      <c r="H34" s="33" t="inlineStr"/>
    </row>
    <row r="35" ht="22" customHeight="1">
      <c r="B35" s="4" t="inlineStr">
        <is>
          <t>3.1.2</t>
        </is>
      </c>
      <c r="C35" s="5" t="inlineStr">
        <is>
          <t>Teachers with research projects (funded)</t>
        </is>
      </c>
      <c r="D35" s="6" t="inlineStr">
        <is>
          <t>No.</t>
        </is>
      </c>
      <c r="E35" s="6" t="inlineStr"/>
      <c r="F35" s="6" t="inlineStr"/>
      <c r="G35" s="6" t="inlineStr"/>
      <c r="H35" s="5" t="inlineStr"/>
    </row>
    <row r="36" ht="22" customHeight="1">
      <c r="B36" s="32" t="inlineStr">
        <is>
          <t>3.2.1</t>
        </is>
      </c>
      <c r="C36" s="33" t="inlineStr">
        <is>
          <t>Ecosystem for innovations — incubation centre, IPR cell</t>
        </is>
      </c>
      <c r="D36" s="34" t="inlineStr">
        <is>
          <t>Y/N + Detail</t>
        </is>
      </c>
      <c r="E36" s="34" t="inlineStr"/>
      <c r="F36" s="34" t="inlineStr"/>
      <c r="G36" s="34" t="inlineStr"/>
      <c r="H36" s="33" t="inlineStr"/>
    </row>
    <row r="37" ht="22" customHeight="1">
      <c r="B37" s="4" t="inlineStr">
        <is>
          <t>3.2.2</t>
        </is>
      </c>
      <c r="C37" s="5" t="inlineStr">
        <is>
          <t>Workshops / seminars on research methodology</t>
        </is>
      </c>
      <c r="D37" s="6" t="inlineStr">
        <is>
          <t>No.</t>
        </is>
      </c>
      <c r="E37" s="6" t="inlineStr"/>
      <c r="F37" s="6" t="inlineStr"/>
      <c r="G37" s="6" t="inlineStr"/>
      <c r="H37" s="5" t="inlineStr"/>
    </row>
    <row r="38" ht="22" customHeight="1">
      <c r="B38" s="32" t="inlineStr">
        <is>
          <t>3.3.1</t>
        </is>
      </c>
      <c r="C38" s="33" t="inlineStr">
        <is>
          <t>Ph.D. / D.Sc. / D.Litt. awarded</t>
        </is>
      </c>
      <c r="D38" s="34" t="inlineStr">
        <is>
          <t>No.</t>
        </is>
      </c>
      <c r="E38" s="34" t="inlineStr"/>
      <c r="F38" s="34" t="inlineStr"/>
      <c r="G38" s="34" t="inlineStr"/>
      <c r="H38" s="33" t="inlineStr"/>
    </row>
    <row r="39" ht="22" customHeight="1">
      <c r="B39" s="4" t="inlineStr">
        <is>
          <t>3.3.2</t>
        </is>
      </c>
      <c r="C39" s="5" t="inlineStr">
        <is>
          <t>Research papers published in UGC-listed journals</t>
        </is>
      </c>
      <c r="D39" s="6" t="inlineStr">
        <is>
          <t>No.</t>
        </is>
      </c>
      <c r="E39" s="6" t="inlineStr"/>
      <c r="F39" s="6" t="inlineStr"/>
      <c r="G39" s="6" t="inlineStr"/>
      <c r="H39" s="5" t="inlineStr"/>
    </row>
    <row r="40" ht="22" customHeight="1">
      <c r="B40" s="32" t="inlineStr">
        <is>
          <t>3.3.3</t>
        </is>
      </c>
      <c r="C40" s="33" t="inlineStr">
        <is>
          <t>Books / book chapters published</t>
        </is>
      </c>
      <c r="D40" s="34" t="inlineStr">
        <is>
          <t>No.</t>
        </is>
      </c>
      <c r="E40" s="34" t="inlineStr"/>
      <c r="F40" s="34" t="inlineStr"/>
      <c r="G40" s="34" t="inlineStr"/>
      <c r="H40" s="33" t="inlineStr"/>
    </row>
    <row r="41" ht="22" customHeight="1">
      <c r="B41" s="4" t="inlineStr">
        <is>
          <t>3.4.1</t>
        </is>
      </c>
      <c r="C41" s="5" t="inlineStr">
        <is>
          <t>Patents published / filed / granted</t>
        </is>
      </c>
      <c r="D41" s="6" t="inlineStr">
        <is>
          <t>No.</t>
        </is>
      </c>
      <c r="E41" s="6" t="inlineStr"/>
      <c r="F41" s="6" t="inlineStr"/>
      <c r="G41" s="6" t="inlineStr"/>
      <c r="H41" s="5" t="inlineStr"/>
    </row>
    <row r="42" ht="22" customHeight="1">
      <c r="B42" s="32" t="inlineStr">
        <is>
          <t>3.4.2</t>
        </is>
      </c>
      <c r="C42" s="33" t="inlineStr">
        <is>
          <t>Consultancy — revenue generated (₹L)</t>
        </is>
      </c>
      <c r="D42" s="34" t="inlineStr">
        <is>
          <t>₹L</t>
        </is>
      </c>
      <c r="E42" s="34" t="inlineStr"/>
      <c r="F42" s="34" t="inlineStr"/>
      <c r="G42" s="34" t="inlineStr"/>
      <c r="H42" s="33" t="inlineStr"/>
    </row>
    <row r="43" ht="22" customHeight="1">
      <c r="B43" s="4" t="inlineStr">
        <is>
          <t>3.4.3</t>
        </is>
      </c>
      <c r="C43" s="5" t="inlineStr">
        <is>
          <t>Extension &amp; outreach programmes</t>
        </is>
      </c>
      <c r="D43" s="6" t="inlineStr">
        <is>
          <t>No.</t>
        </is>
      </c>
      <c r="E43" s="6" t="inlineStr"/>
      <c r="F43" s="6" t="inlineStr"/>
      <c r="G43" s="6" t="inlineStr"/>
      <c r="H43" s="5" t="inlineStr"/>
    </row>
    <row r="44" ht="22" customHeight="1">
      <c r="B44" s="32" t="inlineStr">
        <is>
          <t>3.5.1</t>
        </is>
      </c>
      <c r="C44" s="33" t="inlineStr">
        <is>
          <t>MoUs / collaborative activities with institutions</t>
        </is>
      </c>
      <c r="D44" s="34" t="inlineStr">
        <is>
          <t>No.</t>
        </is>
      </c>
      <c r="E44" s="34" t="inlineStr"/>
      <c r="F44" s="34" t="inlineStr"/>
      <c r="G44" s="34" t="inlineStr"/>
      <c r="H44" s="33" t="inlineStr"/>
    </row>
    <row r="45" ht="22" customHeight="1"/>
    <row r="46" ht="24" customHeight="1">
      <c r="B46" s="35" t="inlineStr">
        <is>
          <t>CRITERION IV — INFRASTRUCTURE &amp; LEARNING RESOURCES</t>
        </is>
      </c>
    </row>
    <row r="47" ht="22" customHeight="1">
      <c r="B47" s="36" t="inlineStr">
        <is>
          <t>NAAC
Ref.</t>
        </is>
      </c>
      <c r="C47" s="36" t="inlineStr">
        <is>
          <t>Quality Indicator / Metric</t>
        </is>
      </c>
      <c r="D47" s="36" t="inlineStr">
        <is>
          <t>Unit / Format</t>
        </is>
      </c>
      <c r="E47" s="36" t="inlineStr">
        <is>
          <t>Current A.Y.
Data</t>
        </is>
      </c>
      <c r="F47" s="36" t="inlineStr">
        <is>
          <t>Previous A.Y.</t>
        </is>
      </c>
      <c r="G47" s="36" t="inlineStr">
        <is>
          <t>Target</t>
        </is>
      </c>
      <c r="H47" s="36" t="inlineStr">
        <is>
          <t>Data Source / Dept.</t>
        </is>
      </c>
    </row>
    <row r="48" ht="22" customHeight="1">
      <c r="B48" s="37" t="inlineStr">
        <is>
          <t>4.1.1</t>
        </is>
      </c>
      <c r="C48" s="38" t="inlineStr">
        <is>
          <t>Physical infrastructure (classrooms, labs, sports)</t>
        </is>
      </c>
      <c r="D48" s="39" t="inlineStr">
        <is>
          <t>Adequate / Needs Work</t>
        </is>
      </c>
      <c r="E48" s="39" t="inlineStr"/>
      <c r="F48" s="39" t="inlineStr"/>
      <c r="G48" s="39" t="inlineStr"/>
      <c r="H48" s="38" t="inlineStr"/>
    </row>
    <row r="49" ht="22" customHeight="1">
      <c r="B49" s="4" t="inlineStr">
        <is>
          <t>4.1.2</t>
        </is>
      </c>
      <c r="C49" s="5" t="inlineStr">
        <is>
          <t>Budget allocated for infrastructure (%)</t>
        </is>
      </c>
      <c r="D49" s="6" t="inlineStr">
        <is>
          <t>% of Total Budget</t>
        </is>
      </c>
      <c r="E49" s="6" t="inlineStr"/>
      <c r="F49" s="6" t="inlineStr"/>
      <c r="G49" s="6" t="inlineStr"/>
      <c r="H49" s="5" t="inlineStr"/>
    </row>
    <row r="50" ht="22" customHeight="1">
      <c r="B50" s="37" t="inlineStr">
        <is>
          <t>4.2.1</t>
        </is>
      </c>
      <c r="C50" s="38" t="inlineStr">
        <is>
          <t>Library — volumes, journals, e-resources, INFLIBNET</t>
        </is>
      </c>
      <c r="D50" s="39" t="inlineStr">
        <is>
          <t>No. &amp; ₹L</t>
        </is>
      </c>
      <c r="E50" s="39" t="inlineStr"/>
      <c r="F50" s="39" t="inlineStr"/>
      <c r="G50" s="39" t="inlineStr"/>
      <c r="H50" s="38" t="inlineStr"/>
    </row>
    <row r="51" ht="22" customHeight="1">
      <c r="B51" s="4" t="inlineStr">
        <is>
          <t>4.3.1</t>
        </is>
      </c>
      <c r="C51" s="5" t="inlineStr">
        <is>
          <t>IT infrastructure — computers, internet bandwidth</t>
        </is>
      </c>
      <c r="D51" s="6" t="inlineStr">
        <is>
          <t>No. &amp; Mbps</t>
        </is>
      </c>
      <c r="E51" s="6" t="inlineStr"/>
      <c r="F51" s="6" t="inlineStr"/>
      <c r="G51" s="6" t="inlineStr"/>
      <c r="H51" s="5" t="inlineStr"/>
    </row>
    <row r="52" ht="22" customHeight="1">
      <c r="B52" s="37" t="inlineStr">
        <is>
          <t>4.3.2</t>
        </is>
      </c>
      <c r="C52" s="38" t="inlineStr">
        <is>
          <t>Student / computer ratio</t>
        </is>
      </c>
      <c r="D52" s="39" t="inlineStr">
        <is>
          <t>Ratio</t>
        </is>
      </c>
      <c r="E52" s="39" t="inlineStr"/>
      <c r="F52" s="39" t="inlineStr"/>
      <c r="G52" s="39" t="inlineStr"/>
      <c r="H52" s="38" t="inlineStr"/>
    </row>
    <row r="53" ht="22" customHeight="1">
      <c r="B53" s="4" t="inlineStr">
        <is>
          <t>4.4.1</t>
        </is>
      </c>
      <c r="C53" s="5" t="inlineStr">
        <is>
          <t>Budget for infrastructure maintenance (% of total)</t>
        </is>
      </c>
      <c r="D53" s="6" t="inlineStr">
        <is>
          <t>% of Total Budget</t>
        </is>
      </c>
      <c r="E53" s="6" t="inlineStr"/>
      <c r="F53" s="6" t="inlineStr"/>
      <c r="G53" s="6" t="inlineStr"/>
      <c r="H53" s="5" t="inlineStr"/>
    </row>
    <row r="54" ht="22" customHeight="1">
      <c r="B54" s="37" t="inlineStr">
        <is>
          <t>4.4.2</t>
        </is>
      </c>
      <c r="C54" s="38" t="inlineStr">
        <is>
          <t>Established systems for maintenance (AMC, logs)</t>
        </is>
      </c>
      <c r="D54" s="39" t="inlineStr">
        <is>
          <t>Y/N</t>
        </is>
      </c>
      <c r="E54" s="39" t="inlineStr"/>
      <c r="F54" s="39" t="inlineStr"/>
      <c r="G54" s="39" t="inlineStr"/>
      <c r="H54" s="38" t="inlineStr"/>
    </row>
    <row r="55" ht="22" customHeight="1"/>
    <row r="56" ht="24" customHeight="1">
      <c r="B56" s="40" t="inlineStr">
        <is>
          <t>CRITERION V — STUDENT SUPPORT &amp; PROGRESSION</t>
        </is>
      </c>
    </row>
    <row r="57" ht="22" customHeight="1">
      <c r="B57" s="41" t="inlineStr">
        <is>
          <t>NAAC
Ref.</t>
        </is>
      </c>
      <c r="C57" s="41" t="inlineStr">
        <is>
          <t>Quality Indicator / Metric</t>
        </is>
      </c>
      <c r="D57" s="41" t="inlineStr">
        <is>
          <t>Unit / Format</t>
        </is>
      </c>
      <c r="E57" s="41" t="inlineStr">
        <is>
          <t>Current A.Y.
Data</t>
        </is>
      </c>
      <c r="F57" s="41" t="inlineStr">
        <is>
          <t>Previous A.Y.</t>
        </is>
      </c>
      <c r="G57" s="41" t="inlineStr">
        <is>
          <t>Target</t>
        </is>
      </c>
      <c r="H57" s="41" t="inlineStr">
        <is>
          <t>Data Source / Dept.</t>
        </is>
      </c>
    </row>
    <row r="58" ht="22" customHeight="1">
      <c r="B58" s="42" t="inlineStr">
        <is>
          <t>5.1.1</t>
        </is>
      </c>
      <c r="C58" s="43" t="inlineStr">
        <is>
          <t>Students benefiting from scholarships / freeships</t>
        </is>
      </c>
      <c r="D58" s="44" t="inlineStr">
        <is>
          <t>No. &amp; ₹L</t>
        </is>
      </c>
      <c r="E58" s="44" t="inlineStr"/>
      <c r="F58" s="44" t="inlineStr"/>
      <c r="G58" s="44" t="inlineStr"/>
      <c r="H58" s="43" t="inlineStr"/>
    </row>
    <row r="59" ht="22" customHeight="1">
      <c r="B59" s="4" t="inlineStr">
        <is>
          <t>5.1.2</t>
        </is>
      </c>
      <c r="C59" s="5" t="inlineStr">
        <is>
          <t>Students benefiting from career counselling &amp; guidance</t>
        </is>
      </c>
      <c r="D59" s="6" t="inlineStr">
        <is>
          <t>No.</t>
        </is>
      </c>
      <c r="E59" s="6" t="inlineStr"/>
      <c r="F59" s="6" t="inlineStr"/>
      <c r="G59" s="6" t="inlineStr"/>
      <c r="H59" s="5" t="inlineStr"/>
    </row>
    <row r="60" ht="22" customHeight="1">
      <c r="B60" s="42" t="inlineStr">
        <is>
          <t>5.1.3</t>
        </is>
      </c>
      <c r="C60" s="43" t="inlineStr">
        <is>
          <t>Students benefiting from placement / higher studies</t>
        </is>
      </c>
      <c r="D60" s="44" t="inlineStr">
        <is>
          <t>No. &amp; %</t>
        </is>
      </c>
      <c r="E60" s="44" t="inlineStr"/>
      <c r="F60" s="44" t="inlineStr"/>
      <c r="G60" s="44" t="inlineStr"/>
      <c r="H60" s="43" t="inlineStr"/>
    </row>
    <row r="61" ht="22" customHeight="1">
      <c r="B61" s="4" t="inlineStr">
        <is>
          <t>5.1.4</t>
        </is>
      </c>
      <c r="C61" s="5" t="inlineStr">
        <is>
          <t>Grievance Redressal, Anti-ragging, ICC — active</t>
        </is>
      </c>
      <c r="D61" s="6" t="inlineStr">
        <is>
          <t>Y/N</t>
        </is>
      </c>
      <c r="E61" s="6" t="inlineStr"/>
      <c r="F61" s="6" t="inlineStr"/>
      <c r="G61" s="6" t="inlineStr"/>
      <c r="H61" s="5" t="inlineStr"/>
    </row>
    <row r="62" ht="22" customHeight="1">
      <c r="B62" s="42" t="inlineStr">
        <is>
          <t>5.2.1</t>
        </is>
      </c>
      <c r="C62" s="43" t="inlineStr">
        <is>
          <t>Students passing competitive examinations (UPSC, GATE, etc.)</t>
        </is>
      </c>
      <c r="D62" s="44" t="inlineStr">
        <is>
          <t>No.</t>
        </is>
      </c>
      <c r="E62" s="44" t="inlineStr"/>
      <c r="F62" s="44" t="inlineStr"/>
      <c r="G62" s="44" t="inlineStr"/>
      <c r="H62" s="43" t="inlineStr"/>
    </row>
    <row r="63" ht="22" customHeight="1">
      <c r="B63" s="4" t="inlineStr">
        <is>
          <t>5.2.2</t>
        </is>
      </c>
      <c r="C63" s="5" t="inlineStr">
        <is>
          <t>Students progressing to higher education</t>
        </is>
      </c>
      <c r="D63" s="6" t="inlineStr">
        <is>
          <t>No. &amp; %</t>
        </is>
      </c>
      <c r="E63" s="6" t="inlineStr"/>
      <c r="F63" s="6" t="inlineStr"/>
      <c r="G63" s="6" t="inlineStr"/>
      <c r="H63" s="5" t="inlineStr"/>
    </row>
    <row r="64" ht="22" customHeight="1">
      <c r="B64" s="42" t="inlineStr">
        <is>
          <t>5.2.3</t>
        </is>
      </c>
      <c r="C64" s="43" t="inlineStr">
        <is>
          <t>Students placed through campus recruitment</t>
        </is>
      </c>
      <c r="D64" s="44" t="inlineStr">
        <is>
          <t>No. &amp; %</t>
        </is>
      </c>
      <c r="E64" s="44" t="inlineStr"/>
      <c r="F64" s="44" t="inlineStr"/>
      <c r="G64" s="44" t="inlineStr"/>
      <c r="H64" s="43" t="inlineStr"/>
    </row>
    <row r="65" ht="22" customHeight="1">
      <c r="B65" s="4" t="inlineStr">
        <is>
          <t>5.3.1</t>
        </is>
      </c>
      <c r="C65" s="5" t="inlineStr">
        <is>
          <t>Awards / medals won by students</t>
        </is>
      </c>
      <c r="D65" s="6" t="inlineStr">
        <is>
          <t>No.</t>
        </is>
      </c>
      <c r="E65" s="6" t="inlineStr"/>
      <c r="F65" s="6" t="inlineStr"/>
      <c r="G65" s="6" t="inlineStr"/>
      <c r="H65" s="5" t="inlineStr"/>
    </row>
    <row r="66" ht="22" customHeight="1">
      <c r="B66" s="42" t="inlineStr">
        <is>
          <t>5.3.2</t>
        </is>
      </c>
      <c r="C66" s="43" t="inlineStr">
        <is>
          <t>Sports &amp; cultural events organised / participated</t>
        </is>
      </c>
      <c r="D66" s="44" t="inlineStr">
        <is>
          <t>No.</t>
        </is>
      </c>
      <c r="E66" s="44" t="inlineStr"/>
      <c r="F66" s="44" t="inlineStr"/>
      <c r="G66" s="44" t="inlineStr"/>
      <c r="H66" s="43" t="inlineStr"/>
    </row>
    <row r="67" ht="22" customHeight="1">
      <c r="B67" s="4" t="inlineStr">
        <is>
          <t>5.4.1</t>
        </is>
      </c>
      <c r="C67" s="5" t="inlineStr">
        <is>
          <t>Alumni Association — registered &amp; active</t>
        </is>
      </c>
      <c r="D67" s="6" t="inlineStr">
        <is>
          <t>Y/N + No. of members</t>
        </is>
      </c>
      <c r="E67" s="6" t="inlineStr"/>
      <c r="F67" s="6" t="inlineStr"/>
      <c r="G67" s="6" t="inlineStr"/>
      <c r="H67" s="5" t="inlineStr"/>
    </row>
    <row r="68" ht="22" customHeight="1">
      <c r="B68" s="42" t="inlineStr">
        <is>
          <t>5.4.2</t>
        </is>
      </c>
      <c r="C68" s="43" t="inlineStr">
        <is>
          <t>Alumni contribution to institution (₹L or in-kind)</t>
        </is>
      </c>
      <c r="D68" s="44" t="inlineStr">
        <is>
          <t>₹L</t>
        </is>
      </c>
      <c r="E68" s="44" t="inlineStr"/>
      <c r="F68" s="44" t="inlineStr"/>
      <c r="G68" s="44" t="inlineStr"/>
      <c r="H68" s="43" t="inlineStr"/>
    </row>
    <row r="69" ht="22" customHeight="1"/>
    <row r="70" ht="24" customHeight="1">
      <c r="B70" s="45" t="inlineStr">
        <is>
          <t>CRITERION VI — GOVERNANCE, LEADERSHIP &amp; MANAGEMENT</t>
        </is>
      </c>
    </row>
    <row r="71" ht="22" customHeight="1">
      <c r="B71" s="46" t="inlineStr">
        <is>
          <t>NAAC
Ref.</t>
        </is>
      </c>
      <c r="C71" s="46" t="inlineStr">
        <is>
          <t>Quality Indicator / Metric</t>
        </is>
      </c>
      <c r="D71" s="46" t="inlineStr">
        <is>
          <t>Unit / Format</t>
        </is>
      </c>
      <c r="E71" s="46" t="inlineStr">
        <is>
          <t>Current A.Y.
Data</t>
        </is>
      </c>
      <c r="F71" s="46" t="inlineStr">
        <is>
          <t>Previous A.Y.</t>
        </is>
      </c>
      <c r="G71" s="46" t="inlineStr">
        <is>
          <t>Target</t>
        </is>
      </c>
      <c r="H71" s="46" t="inlineStr">
        <is>
          <t>Data Source / Dept.</t>
        </is>
      </c>
    </row>
    <row r="72" ht="22" customHeight="1">
      <c r="B72" s="47" t="inlineStr">
        <is>
          <t>6.1.1</t>
        </is>
      </c>
      <c r="C72" s="48" t="inlineStr">
        <is>
          <t>Institutional Vision, Mission &amp; Values — communicated</t>
        </is>
      </c>
      <c r="D72" s="49" t="inlineStr">
        <is>
          <t>Y/N</t>
        </is>
      </c>
      <c r="E72" s="49" t="inlineStr"/>
      <c r="F72" s="49" t="inlineStr"/>
      <c r="G72" s="49" t="inlineStr"/>
      <c r="H72" s="48" t="inlineStr"/>
    </row>
    <row r="73" ht="22" customHeight="1">
      <c r="B73" s="4" t="inlineStr">
        <is>
          <t>6.1.2</t>
        </is>
      </c>
      <c r="C73" s="5" t="inlineStr">
        <is>
          <t>Decentralisation — participative management evidence</t>
        </is>
      </c>
      <c r="D73" s="6" t="inlineStr">
        <is>
          <t>Detail</t>
        </is>
      </c>
      <c r="E73" s="6" t="inlineStr"/>
      <c r="F73" s="6" t="inlineStr"/>
      <c r="G73" s="6" t="inlineStr"/>
      <c r="H73" s="5" t="inlineStr"/>
    </row>
    <row r="74" ht="22" customHeight="1">
      <c r="B74" s="47" t="inlineStr">
        <is>
          <t>6.2.1</t>
        </is>
      </c>
      <c r="C74" s="48" t="inlineStr">
        <is>
          <t>Perspective plan &amp; strategic planning — documented</t>
        </is>
      </c>
      <c r="D74" s="49" t="inlineStr">
        <is>
          <t>Y/N</t>
        </is>
      </c>
      <c r="E74" s="49" t="inlineStr"/>
      <c r="F74" s="49" t="inlineStr"/>
      <c r="G74" s="49" t="inlineStr"/>
      <c r="H74" s="48" t="inlineStr"/>
    </row>
    <row r="75" ht="22" customHeight="1">
      <c r="B75" s="4" t="inlineStr">
        <is>
          <t>6.2.2</t>
        </is>
      </c>
      <c r="C75" s="5" t="inlineStr">
        <is>
          <t>ERP / MIS / e-governance system implemented</t>
        </is>
      </c>
      <c r="D75" s="6" t="inlineStr">
        <is>
          <t>Y/N + Modules</t>
        </is>
      </c>
      <c r="E75" s="6" t="inlineStr"/>
      <c r="F75" s="6" t="inlineStr"/>
      <c r="G75" s="6" t="inlineStr"/>
      <c r="H75" s="5" t="inlineStr"/>
    </row>
    <row r="76" ht="22" customHeight="1">
      <c r="B76" s="47" t="inlineStr">
        <is>
          <t>6.3.1</t>
        </is>
      </c>
      <c r="C76" s="48" t="inlineStr">
        <is>
          <t>Faculty empowerment strategies adopted</t>
        </is>
      </c>
      <c r="D76" s="49" t="inlineStr">
        <is>
          <t>Detail</t>
        </is>
      </c>
      <c r="E76" s="49" t="inlineStr"/>
      <c r="F76" s="49" t="inlineStr"/>
      <c r="G76" s="49" t="inlineStr"/>
      <c r="H76" s="48" t="inlineStr"/>
    </row>
    <row r="77" ht="22" customHeight="1">
      <c r="B77" s="4" t="inlineStr">
        <is>
          <t>6.3.2</t>
        </is>
      </c>
      <c r="C77" s="5" t="inlineStr">
        <is>
          <t>Teachers provided financial support for FDP / conferences</t>
        </is>
      </c>
      <c r="D77" s="6" t="inlineStr">
        <is>
          <t>No. &amp; ₹L</t>
        </is>
      </c>
      <c r="E77" s="6" t="inlineStr"/>
      <c r="F77" s="6" t="inlineStr"/>
      <c r="G77" s="6" t="inlineStr"/>
      <c r="H77" s="5" t="inlineStr"/>
    </row>
    <row r="78" ht="22" customHeight="1">
      <c r="B78" s="47" t="inlineStr">
        <is>
          <t>6.3.3</t>
        </is>
      </c>
      <c r="C78" s="48" t="inlineStr">
        <is>
          <t>Teachers undergoing professional development (FDP, STTP)</t>
        </is>
      </c>
      <c r="D78" s="49" t="inlineStr">
        <is>
          <t>No.</t>
        </is>
      </c>
      <c r="E78" s="49" t="inlineStr"/>
      <c r="F78" s="49" t="inlineStr"/>
      <c r="G78" s="49" t="inlineStr"/>
      <c r="H78" s="48" t="inlineStr"/>
    </row>
    <row r="79" ht="22" customHeight="1">
      <c r="B79" s="4" t="inlineStr">
        <is>
          <t>6.4.1</t>
        </is>
      </c>
      <c r="C79" s="5" t="inlineStr">
        <is>
          <t>Resource mobilisation — strategies &amp; funds generated</t>
        </is>
      </c>
      <c r="D79" s="6" t="inlineStr">
        <is>
          <t>₹L</t>
        </is>
      </c>
      <c r="E79" s="6" t="inlineStr"/>
      <c r="F79" s="6" t="inlineStr"/>
      <c r="G79" s="6" t="inlineStr"/>
      <c r="H79" s="5" t="inlineStr"/>
    </row>
    <row r="80" ht="22" customHeight="1">
      <c r="B80" s="47" t="inlineStr">
        <is>
          <t>6.4.2</t>
        </is>
      </c>
      <c r="C80" s="48" t="inlineStr">
        <is>
          <t>Fund generated through grants — Research / projects</t>
        </is>
      </c>
      <c r="D80" s="49" t="inlineStr">
        <is>
          <t>₹L</t>
        </is>
      </c>
      <c r="E80" s="49" t="inlineStr"/>
      <c r="F80" s="49" t="inlineStr"/>
      <c r="G80" s="49" t="inlineStr"/>
      <c r="H80" s="48" t="inlineStr"/>
    </row>
    <row r="81" ht="22" customHeight="1">
      <c r="B81" s="4" t="inlineStr">
        <is>
          <t>6.5.1</t>
        </is>
      </c>
      <c r="C81" s="5" t="inlineStr">
        <is>
          <t>IQAC activities — meetings, AQAR, e-proceedings</t>
        </is>
      </c>
      <c r="D81" s="6" t="inlineStr">
        <is>
          <t>No. &amp; Detail</t>
        </is>
      </c>
      <c r="E81" s="6" t="inlineStr"/>
      <c r="F81" s="6" t="inlineStr"/>
      <c r="G81" s="6" t="inlineStr"/>
      <c r="H81" s="5" t="inlineStr"/>
    </row>
    <row r="82" ht="22" customHeight="1">
      <c r="B82" s="47" t="inlineStr">
        <is>
          <t>6.5.2</t>
        </is>
      </c>
      <c r="C82" s="48" t="inlineStr">
        <is>
          <t>Quality assurance initiatives — academic audits, feedback</t>
        </is>
      </c>
      <c r="D82" s="49" t="inlineStr">
        <is>
          <t>No.</t>
        </is>
      </c>
      <c r="E82" s="49" t="inlineStr"/>
      <c r="F82" s="49" t="inlineStr"/>
      <c r="G82" s="49" t="inlineStr"/>
      <c r="H82" s="48" t="inlineStr"/>
    </row>
    <row r="83" ht="22" customHeight="1"/>
    <row r="84" ht="24" customHeight="1">
      <c r="B84" s="50" t="inlineStr">
        <is>
          <t>CRITERION VII — INSTITUTIONAL VALUES &amp; BEST PRACTICES</t>
        </is>
      </c>
    </row>
    <row r="85">
      <c r="B85" s="51" t="inlineStr">
        <is>
          <t>NAAC
Ref.</t>
        </is>
      </c>
      <c r="C85" s="51" t="inlineStr">
        <is>
          <t>Quality Indicator / Metric</t>
        </is>
      </c>
      <c r="D85" s="51" t="inlineStr">
        <is>
          <t>Unit / Format</t>
        </is>
      </c>
      <c r="E85" s="51" t="inlineStr">
        <is>
          <t>Current A.Y.
Data</t>
        </is>
      </c>
      <c r="F85" s="51" t="inlineStr">
        <is>
          <t>Previous A.Y.</t>
        </is>
      </c>
      <c r="G85" s="51" t="inlineStr">
        <is>
          <t>Target</t>
        </is>
      </c>
      <c r="H85" s="51" t="inlineStr">
        <is>
          <t>Data Source / Dept.</t>
        </is>
      </c>
    </row>
    <row r="86">
      <c r="B86" s="52" t="inlineStr">
        <is>
          <t>7.1.1</t>
        </is>
      </c>
      <c r="C86" s="53" t="inlineStr">
        <is>
          <t>Gender equity — women's cell, facilities, programmes</t>
        </is>
      </c>
      <c r="D86" s="54" t="inlineStr">
        <is>
          <t>Y/N + Detail</t>
        </is>
      </c>
      <c r="E86" s="54" t="inlineStr"/>
      <c r="F86" s="54" t="inlineStr"/>
      <c r="G86" s="54" t="inlineStr"/>
      <c r="H86" s="53" t="inlineStr"/>
    </row>
    <row r="87">
      <c r="B87" s="4" t="inlineStr">
        <is>
          <t>7.1.2</t>
        </is>
      </c>
      <c r="C87" s="5" t="inlineStr">
        <is>
          <t>Measures for differently abled (Divyangjan)</t>
        </is>
      </c>
      <c r="D87" s="6" t="inlineStr">
        <is>
          <t>Y/N + Detail</t>
        </is>
      </c>
      <c r="E87" s="6" t="inlineStr"/>
      <c r="F87" s="6" t="inlineStr"/>
      <c r="G87" s="6" t="inlineStr"/>
      <c r="H87" s="5" t="inlineStr"/>
    </row>
    <row r="88">
      <c r="B88" s="52" t="inlineStr">
        <is>
          <t>7.1.3</t>
        </is>
      </c>
      <c r="C88" s="53" t="inlineStr">
        <is>
          <t>Green campus — energy, water, waste management</t>
        </is>
      </c>
      <c r="D88" s="54" t="inlineStr">
        <is>
          <t>Detail + Metrics</t>
        </is>
      </c>
      <c r="E88" s="54" t="inlineStr"/>
      <c r="F88" s="54" t="inlineStr"/>
      <c r="G88" s="54" t="inlineStr"/>
      <c r="H88" s="53" t="inlineStr"/>
    </row>
    <row r="89">
      <c r="B89" s="4" t="inlineStr">
        <is>
          <t>7.1.4</t>
        </is>
      </c>
      <c r="C89" s="5" t="inlineStr">
        <is>
          <t>ICT-enabled campus operations</t>
        </is>
      </c>
      <c r="D89" s="6" t="inlineStr">
        <is>
          <t>% of Admin processes</t>
        </is>
      </c>
      <c r="E89" s="6" t="inlineStr"/>
      <c r="F89" s="6" t="inlineStr"/>
      <c r="G89" s="6" t="inlineStr"/>
      <c r="H89" s="5" t="inlineStr"/>
    </row>
    <row r="90">
      <c r="B90" s="52" t="inlineStr">
        <is>
          <t>7.1.5</t>
        </is>
      </c>
      <c r="C90" s="53" t="inlineStr">
        <is>
          <t>Institutional social responsibility activities</t>
        </is>
      </c>
      <c r="D90" s="54" t="inlineStr">
        <is>
          <t>No. of activities</t>
        </is>
      </c>
      <c r="E90" s="54" t="inlineStr"/>
      <c r="F90" s="54" t="inlineStr"/>
      <c r="G90" s="54" t="inlineStr"/>
      <c r="H90" s="53" t="inlineStr"/>
    </row>
    <row r="91">
      <c r="B91" s="4" t="inlineStr">
        <is>
          <t>7.1.6</t>
        </is>
      </c>
      <c r="C91" s="5" t="inlineStr">
        <is>
          <t>Inclusion &amp; diversity programmes</t>
        </is>
      </c>
      <c r="D91" s="6" t="inlineStr">
        <is>
          <t>No. &amp; %</t>
        </is>
      </c>
      <c r="E91" s="6" t="inlineStr"/>
      <c r="F91" s="6" t="inlineStr"/>
      <c r="G91" s="6" t="inlineStr"/>
      <c r="H91" s="5" t="inlineStr"/>
    </row>
    <row r="92">
      <c r="B92" s="52" t="inlineStr">
        <is>
          <t>7.2.1</t>
        </is>
      </c>
      <c r="C92" s="53" t="inlineStr">
        <is>
          <t>Best practices — documented (Minimum 2)</t>
        </is>
      </c>
      <c r="D92" s="54" t="inlineStr">
        <is>
          <t>No. with description</t>
        </is>
      </c>
      <c r="E92" s="54" t="inlineStr"/>
      <c r="F92" s="54" t="inlineStr"/>
      <c r="G92" s="54" t="inlineStr"/>
      <c r="H92" s="53" t="inlineStr"/>
    </row>
    <row r="93">
      <c r="B93" s="4" t="inlineStr">
        <is>
          <t>7.3.1</t>
        </is>
      </c>
      <c r="C93" s="5" t="inlineStr">
        <is>
          <t>Institutional Distinctiveness — documented</t>
        </is>
      </c>
      <c r="D93" s="6" t="inlineStr">
        <is>
          <t>1-2 distinctive features</t>
        </is>
      </c>
      <c r="E93" s="6" t="inlineStr"/>
      <c r="F93" s="6" t="inlineStr"/>
      <c r="G93" s="6" t="inlineStr"/>
      <c r="H93" s="5" t="inlineStr"/>
    </row>
    <row r="95">
      <c r="B95" s="22" t="inlineStr">
        <is>
          <t>Data verified by IQAC Coordinator: ___________________    Head of Institution: ___________________    Date: _______</t>
        </is>
      </c>
    </row>
  </sheetData>
  <mergeCells count="10">
    <mergeCell ref="B32:H32"/>
    <mergeCell ref="B84:H84"/>
    <mergeCell ref="B56:H56"/>
    <mergeCell ref="B4:H4"/>
    <mergeCell ref="B70:H70"/>
    <mergeCell ref="B16:H16"/>
    <mergeCell ref="B2:H2"/>
    <mergeCell ref="B95:H95"/>
    <mergeCell ref="B3:H3"/>
    <mergeCell ref="B46:H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IQ-05: ACADEMIC AUDIT — DEPARTMENT-WISE ASSESSMENT FORM</t>
        </is>
      </c>
    </row>
    <row r="3" ht="25" customHeight="1">
      <c r="B3" s="2" t="inlineStr">
        <is>
          <t>Department: ___________________  Semester: _______  A.Y.: _______  Auditor: ___________________  Date: _______</t>
        </is>
      </c>
    </row>
    <row r="4" ht="24" customHeight="1">
      <c r="B4" s="19" t="inlineStr">
        <is>
          <t>A. CURRICULUM &amp; COURSE DELIVERY</t>
        </is>
      </c>
    </row>
    <row r="5" ht="22" customHeight="1">
      <c r="B5" s="20" t="inlineStr">
        <is>
          <t>Sl.</t>
        </is>
      </c>
      <c r="C5" s="20" t="inlineStr">
        <is>
          <t>Audit Parameter</t>
        </is>
      </c>
      <c r="D5" s="20" t="inlineStr">
        <is>
          <t>Unit / Evidence</t>
        </is>
      </c>
      <c r="E5" s="20" t="inlineStr">
        <is>
          <t>Score
(1–5)</t>
        </is>
      </c>
      <c r="F5" s="20" t="inlineStr">
        <is>
          <t>Target
Score</t>
        </is>
      </c>
      <c r="G5" s="20" t="inlineStr">
        <is>
          <t>Gap
(Tgt–Act)</t>
        </is>
      </c>
      <c r="H5" s="20" t="inlineStr">
        <is>
          <t>Corrective Action</t>
        </is>
      </c>
      <c r="I5" s="20" t="inlineStr">
        <is>
          <t>Deadline</t>
        </is>
      </c>
    </row>
    <row r="6" ht="22" customHeight="1">
      <c r="B6" s="28" t="n">
        <v>1</v>
      </c>
      <c r="C6" s="29" t="inlineStr">
        <is>
          <t>Syllabi coverage as per academic calendar (%)</t>
        </is>
      </c>
      <c r="D6" s="21" t="inlineStr">
        <is>
          <t>% completed</t>
        </is>
      </c>
      <c r="E6" s="21" t="inlineStr"/>
      <c r="F6" s="21" t="n">
        <v>4</v>
      </c>
      <c r="G6" s="21">
        <f>IFERROR(F6-E6,"")</f>
        <v/>
      </c>
      <c r="H6" s="29" t="inlineStr"/>
      <c r="I6" s="21" t="inlineStr"/>
    </row>
    <row r="7" ht="22" customHeight="1">
      <c r="B7" s="4" t="n">
        <v>2</v>
      </c>
      <c r="C7" s="5" t="inlineStr">
        <is>
          <t>Course files maintained (lesson plan, CO mapping, test papers)</t>
        </is>
      </c>
      <c r="D7" s="6" t="inlineStr">
        <is>
          <t>Y/N / % courses</t>
        </is>
      </c>
      <c r="E7" s="6" t="inlineStr"/>
      <c r="F7" s="6" t="n">
        <v>4</v>
      </c>
      <c r="G7" s="6">
        <f>IFERROR(F7-E7,"")</f>
        <v/>
      </c>
      <c r="H7" s="5" t="inlineStr"/>
      <c r="I7" s="6" t="inlineStr"/>
    </row>
    <row r="8" ht="22" customHeight="1">
      <c r="B8" s="28" t="n">
        <v>3</v>
      </c>
      <c r="C8" s="29" t="inlineStr">
        <is>
          <t>CO-PO mapping completed &amp; attainment computed</t>
        </is>
      </c>
      <c r="D8" s="21" t="inlineStr">
        <is>
          <t>Y/N + Score</t>
        </is>
      </c>
      <c r="E8" s="21" t="inlineStr"/>
      <c r="F8" s="21" t="n">
        <v>4</v>
      </c>
      <c r="G8" s="21">
        <f>IFERROR(F8-E8,"")</f>
        <v/>
      </c>
      <c r="H8" s="29" t="inlineStr"/>
      <c r="I8" s="21" t="inlineStr"/>
    </row>
    <row r="9" ht="22" customHeight="1">
      <c r="B9" s="4" t="n">
        <v>4</v>
      </c>
      <c r="C9" s="5" t="inlineStr">
        <is>
          <t>Use of ICT / smart classroom / LMS in teaching</t>
        </is>
      </c>
      <c r="D9" s="6" t="inlineStr">
        <is>
          <t>No. of courses / %</t>
        </is>
      </c>
      <c r="E9" s="6" t="inlineStr"/>
      <c r="F9" s="6" t="n">
        <v>4</v>
      </c>
      <c r="G9" s="6">
        <f>IFERROR(F9-E9,"")</f>
        <v/>
      </c>
      <c r="H9" s="5" t="inlineStr"/>
      <c r="I9" s="6" t="inlineStr"/>
    </row>
    <row r="10" ht="22" customHeight="1">
      <c r="B10" s="28" t="n">
        <v>5</v>
      </c>
      <c r="C10" s="29" t="inlineStr">
        <is>
          <t>Innovative teaching-learning methods employed</t>
        </is>
      </c>
      <c r="D10" s="21" t="inlineStr">
        <is>
          <t>List / Examples</t>
        </is>
      </c>
      <c r="E10" s="21" t="inlineStr"/>
      <c r="F10" s="21" t="n">
        <v>4</v>
      </c>
      <c r="G10" s="21">
        <f>IFERROR(F10-E10,"")</f>
        <v/>
      </c>
      <c r="H10" s="29" t="inlineStr"/>
      <c r="I10" s="21" t="inlineStr"/>
    </row>
    <row r="11" ht="22" customHeight="1">
      <c r="B11" s="4" t="n">
        <v>6</v>
      </c>
      <c r="C11" s="5" t="inlineStr">
        <is>
          <t>Bridge courses / remedial classes conducted</t>
        </is>
      </c>
      <c r="D11" s="6" t="inlineStr">
        <is>
          <t>Y/N + No.</t>
        </is>
      </c>
      <c r="E11" s="6" t="inlineStr"/>
      <c r="F11" s="6" t="n">
        <v>4</v>
      </c>
      <c r="G11" s="6">
        <f>IFERROR(F11-E11,"")</f>
        <v/>
      </c>
      <c r="H11" s="5" t="inlineStr"/>
      <c r="I11" s="6" t="inlineStr"/>
    </row>
    <row r="12" ht="22" customHeight="1"/>
    <row r="13" ht="24" customHeight="1">
      <c r="B13" s="18" t="inlineStr">
        <is>
          <t>B. STUDENT PERFORMANCE &amp; ASSESSMENT</t>
        </is>
      </c>
    </row>
    <row r="14" ht="22" customHeight="1">
      <c r="B14" s="12" t="inlineStr">
        <is>
          <t>Sl.</t>
        </is>
      </c>
      <c r="C14" s="12" t="inlineStr">
        <is>
          <t>Audit Parameter</t>
        </is>
      </c>
      <c r="D14" s="12" t="inlineStr">
        <is>
          <t>Unit / Evidence</t>
        </is>
      </c>
      <c r="E14" s="12" t="inlineStr">
        <is>
          <t>Score
(1–5)</t>
        </is>
      </c>
      <c r="F14" s="12" t="inlineStr">
        <is>
          <t>Target
Score</t>
        </is>
      </c>
      <c r="G14" s="12" t="inlineStr">
        <is>
          <t>Gap
(Tgt–Act)</t>
        </is>
      </c>
      <c r="H14" s="12" t="inlineStr">
        <is>
          <t>Corrective Action</t>
        </is>
      </c>
      <c r="I14" s="12" t="inlineStr">
        <is>
          <t>Deadline</t>
        </is>
      </c>
    </row>
    <row r="15" ht="22" customHeight="1">
      <c r="B15" s="13" t="n">
        <v>1</v>
      </c>
      <c r="C15" s="14" t="inlineStr">
        <is>
          <t>CIE (Internal) marks submitted on time (%)</t>
        </is>
      </c>
      <c r="D15" s="15" t="inlineStr">
        <is>
          <t>% on time</t>
        </is>
      </c>
      <c r="E15" s="15" t="inlineStr"/>
      <c r="F15" s="15" t="n">
        <v>4</v>
      </c>
      <c r="G15" s="15">
        <f>IFERROR(F15-E15,"")</f>
        <v/>
      </c>
      <c r="H15" s="14" t="inlineStr"/>
      <c r="I15" s="15" t="inlineStr"/>
    </row>
    <row r="16" ht="22" customHeight="1">
      <c r="B16" s="4" t="n">
        <v>2</v>
      </c>
      <c r="C16" s="5" t="inlineStr">
        <is>
          <t>Pass percentage (CIE vs. SEE comparison)</t>
        </is>
      </c>
      <c r="D16" s="6" t="inlineStr">
        <is>
          <t>% pass</t>
        </is>
      </c>
      <c r="E16" s="6" t="inlineStr"/>
      <c r="F16" s="6" t="n">
        <v>4</v>
      </c>
      <c r="G16" s="6">
        <f>IFERROR(F16-E16,"")</f>
        <v/>
      </c>
      <c r="H16" s="5" t="inlineStr"/>
      <c r="I16" s="6" t="inlineStr"/>
    </row>
    <row r="17" ht="22" customHeight="1">
      <c r="B17" s="13" t="n">
        <v>3</v>
      </c>
      <c r="C17" s="14" t="inlineStr">
        <is>
          <t>Students scoring above 60% in CIE (%)</t>
        </is>
      </c>
      <c r="D17" s="15" t="inlineStr">
        <is>
          <t>% students</t>
        </is>
      </c>
      <c r="E17" s="15" t="inlineStr"/>
      <c r="F17" s="15" t="n">
        <v>4</v>
      </c>
      <c r="G17" s="15">
        <f>IFERROR(F17-E17,"")</f>
        <v/>
      </c>
      <c r="H17" s="14" t="inlineStr"/>
      <c r="I17" s="15" t="inlineStr"/>
    </row>
    <row r="18" ht="22" customHeight="1">
      <c r="B18" s="4" t="n">
        <v>4</v>
      </c>
      <c r="C18" s="5" t="inlineStr">
        <is>
          <t>Grievances on assessment — no. &amp; redressal time</t>
        </is>
      </c>
      <c r="D18" s="6" t="inlineStr">
        <is>
          <t>No. &amp; Days</t>
        </is>
      </c>
      <c r="E18" s="6" t="inlineStr"/>
      <c r="F18" s="6" t="n">
        <v>4</v>
      </c>
      <c r="G18" s="6">
        <f>IFERROR(F18-E18,"")</f>
        <v/>
      </c>
      <c r="H18" s="5" t="inlineStr"/>
      <c r="I18" s="6" t="inlineStr"/>
    </row>
    <row r="19" ht="22" customHeight="1">
      <c r="B19" s="13" t="n">
        <v>5</v>
      </c>
      <c r="C19" s="14" t="inlineStr">
        <is>
          <t>Result analysis completed &amp; shared with HOD</t>
        </is>
      </c>
      <c r="D19" s="15" t="inlineStr">
        <is>
          <t>Y/N + Date</t>
        </is>
      </c>
      <c r="E19" s="15" t="inlineStr"/>
      <c r="F19" s="15" t="n">
        <v>4</v>
      </c>
      <c r="G19" s="15">
        <f>IFERROR(F19-E19,"")</f>
        <v/>
      </c>
      <c r="H19" s="14" t="inlineStr"/>
      <c r="I19" s="15" t="inlineStr"/>
    </row>
    <row r="20" ht="22" customHeight="1">
      <c r="B20" s="4" t="n">
        <v>6</v>
      </c>
      <c r="C20" s="5" t="inlineStr">
        <is>
          <t>CO attainment level (programme average)</t>
        </is>
      </c>
      <c r="D20" s="6" t="inlineStr">
        <is>
          <t>Level (0–3)</t>
        </is>
      </c>
      <c r="E20" s="6" t="inlineStr"/>
      <c r="F20" s="6" t="n">
        <v>4</v>
      </c>
      <c r="G20" s="6">
        <f>IFERROR(F20-E20,"")</f>
        <v/>
      </c>
      <c r="H20" s="5" t="inlineStr"/>
      <c r="I20" s="6" t="inlineStr"/>
    </row>
    <row r="21" ht="22" customHeight="1"/>
    <row r="22" ht="24" customHeight="1">
      <c r="B22" s="30" t="inlineStr">
        <is>
          <t>C. FACULTY PERFORMANCE &amp; DEVELOPMENT</t>
        </is>
      </c>
    </row>
    <row r="23" ht="22" customHeight="1">
      <c r="B23" s="31" t="inlineStr">
        <is>
          <t>Sl.</t>
        </is>
      </c>
      <c r="C23" s="31" t="inlineStr">
        <is>
          <t>Audit Parameter</t>
        </is>
      </c>
      <c r="D23" s="31" t="inlineStr">
        <is>
          <t>Unit / Evidence</t>
        </is>
      </c>
      <c r="E23" s="31" t="inlineStr">
        <is>
          <t>Score
(1–5)</t>
        </is>
      </c>
      <c r="F23" s="31" t="inlineStr">
        <is>
          <t>Target
Score</t>
        </is>
      </c>
      <c r="G23" s="31" t="inlineStr">
        <is>
          <t>Gap
(Tgt–Act)</t>
        </is>
      </c>
      <c r="H23" s="31" t="inlineStr">
        <is>
          <t>Corrective Action</t>
        </is>
      </c>
      <c r="I23" s="31" t="inlineStr">
        <is>
          <t>Deadline</t>
        </is>
      </c>
    </row>
    <row r="24" ht="22" customHeight="1">
      <c r="B24" s="32" t="n">
        <v>1</v>
      </c>
      <c r="C24" s="33" t="inlineStr">
        <is>
          <t>Faculty workload (L-T-P hours per week)</t>
        </is>
      </c>
      <c r="D24" s="34" t="inlineStr">
        <is>
          <t>Hrs / week</t>
        </is>
      </c>
      <c r="E24" s="34" t="inlineStr"/>
      <c r="F24" s="34" t="n">
        <v>4</v>
      </c>
      <c r="G24" s="34">
        <f>IFERROR(F24-E24,"")</f>
        <v/>
      </c>
      <c r="H24" s="33" t="inlineStr"/>
      <c r="I24" s="34" t="inlineStr"/>
    </row>
    <row r="25" ht="22" customHeight="1">
      <c r="B25" s="4" t="n">
        <v>2</v>
      </c>
      <c r="C25" s="5" t="inlineStr">
        <is>
          <t>Faculty attending FDP / STTP / workshops</t>
        </is>
      </c>
      <c r="D25" s="6" t="inlineStr">
        <is>
          <t>No. &amp; %</t>
        </is>
      </c>
      <c r="E25" s="6" t="inlineStr"/>
      <c r="F25" s="6" t="n">
        <v>4</v>
      </c>
      <c r="G25" s="6">
        <f>IFERROR(F25-E25,"")</f>
        <v/>
      </c>
      <c r="H25" s="5" t="inlineStr"/>
      <c r="I25" s="6" t="inlineStr"/>
    </row>
    <row r="26" ht="22" customHeight="1">
      <c r="B26" s="32" t="n">
        <v>3</v>
      </c>
      <c r="C26" s="33" t="inlineStr">
        <is>
          <t>Faculty with Ph.D. (%)</t>
        </is>
      </c>
      <c r="D26" s="34" t="inlineStr">
        <is>
          <t>% of total</t>
        </is>
      </c>
      <c r="E26" s="34" t="inlineStr"/>
      <c r="F26" s="34" t="n">
        <v>4</v>
      </c>
      <c r="G26" s="34">
        <f>IFERROR(F26-E26,"")</f>
        <v/>
      </c>
      <c r="H26" s="33" t="inlineStr"/>
      <c r="I26" s="34" t="inlineStr"/>
    </row>
    <row r="27" ht="22" customHeight="1">
      <c r="B27" s="4" t="n">
        <v>4</v>
      </c>
      <c r="C27" s="5" t="inlineStr">
        <is>
          <t>Publications in current A.Y. (per faculty)</t>
        </is>
      </c>
      <c r="D27" s="6" t="inlineStr">
        <is>
          <t>No.</t>
        </is>
      </c>
      <c r="E27" s="6" t="inlineStr"/>
      <c r="F27" s="6" t="n">
        <v>4</v>
      </c>
      <c r="G27" s="6">
        <f>IFERROR(F27-E27,"")</f>
        <v/>
      </c>
      <c r="H27" s="5" t="inlineStr"/>
      <c r="I27" s="6" t="inlineStr"/>
    </row>
    <row r="28" ht="22" customHeight="1">
      <c r="B28" s="32" t="n">
        <v>5</v>
      </c>
      <c r="C28" s="33" t="inlineStr">
        <is>
          <t>Faculty on leave without arrangement (instances)</t>
        </is>
      </c>
      <c r="D28" s="34" t="inlineStr">
        <is>
          <t>No.</t>
        </is>
      </c>
      <c r="E28" s="34" t="inlineStr"/>
      <c r="F28" s="34" t="n">
        <v>4</v>
      </c>
      <c r="G28" s="34">
        <f>IFERROR(F28-E28,"")</f>
        <v/>
      </c>
      <c r="H28" s="33" t="inlineStr"/>
      <c r="I28" s="34" t="inlineStr"/>
    </row>
    <row r="29" ht="22" customHeight="1">
      <c r="B29" s="4" t="n">
        <v>6</v>
      </c>
      <c r="C29" s="5" t="inlineStr">
        <is>
          <t>Self-appraisal submitted on time (%)</t>
        </is>
      </c>
      <c r="D29" s="6" t="inlineStr">
        <is>
          <t>% submitted</t>
        </is>
      </c>
      <c r="E29" s="6" t="inlineStr"/>
      <c r="F29" s="6" t="n">
        <v>4</v>
      </c>
      <c r="G29" s="6">
        <f>IFERROR(F29-E29,"")</f>
        <v/>
      </c>
      <c r="H29" s="5" t="inlineStr"/>
      <c r="I29" s="6" t="inlineStr"/>
    </row>
    <row r="30" ht="22" customHeight="1"/>
    <row r="31" ht="24" customHeight="1">
      <c r="B31" s="40" t="inlineStr">
        <is>
          <t>D. STUDENT SUPPORT &amp; PROGRESSION</t>
        </is>
      </c>
    </row>
    <row r="32" ht="22" customHeight="1">
      <c r="B32" s="41" t="inlineStr">
        <is>
          <t>Sl.</t>
        </is>
      </c>
      <c r="C32" s="41" t="inlineStr">
        <is>
          <t>Audit Parameter</t>
        </is>
      </c>
      <c r="D32" s="41" t="inlineStr">
        <is>
          <t>Unit / Evidence</t>
        </is>
      </c>
      <c r="E32" s="41" t="inlineStr">
        <is>
          <t>Score
(1–5)</t>
        </is>
      </c>
      <c r="F32" s="41" t="inlineStr">
        <is>
          <t>Target
Score</t>
        </is>
      </c>
      <c r="G32" s="41" t="inlineStr">
        <is>
          <t>Gap
(Tgt–Act)</t>
        </is>
      </c>
      <c r="H32" s="41" t="inlineStr">
        <is>
          <t>Corrective Action</t>
        </is>
      </c>
      <c r="I32" s="41" t="inlineStr">
        <is>
          <t>Deadline</t>
        </is>
      </c>
    </row>
    <row r="33" ht="22" customHeight="1">
      <c r="B33" s="42" t="n">
        <v>1</v>
      </c>
      <c r="C33" s="43" t="inlineStr">
        <is>
          <t>Mentor-mentee meetings conducted (per semester)</t>
        </is>
      </c>
      <c r="D33" s="44" t="inlineStr">
        <is>
          <t>No. of meetings</t>
        </is>
      </c>
      <c r="E33" s="44" t="inlineStr"/>
      <c r="F33" s="44" t="n">
        <v>4</v>
      </c>
      <c r="G33" s="44">
        <f>IFERROR(F33-E33,"")</f>
        <v/>
      </c>
      <c r="H33" s="43" t="inlineStr"/>
      <c r="I33" s="44" t="inlineStr"/>
    </row>
    <row r="34" ht="22" customHeight="1">
      <c r="B34" s="4" t="n">
        <v>2</v>
      </c>
      <c r="C34" s="5" t="inlineStr">
        <is>
          <t>Students below 75% attendance — counselled</t>
        </is>
      </c>
      <c r="D34" s="6" t="inlineStr">
        <is>
          <t>No. &amp; %</t>
        </is>
      </c>
      <c r="E34" s="6" t="inlineStr"/>
      <c r="F34" s="6" t="n">
        <v>4</v>
      </c>
      <c r="G34" s="6">
        <f>IFERROR(F34-E34,"")</f>
        <v/>
      </c>
      <c r="H34" s="5" t="inlineStr"/>
      <c r="I34" s="6" t="inlineStr"/>
    </row>
    <row r="35" ht="22" customHeight="1">
      <c r="B35" s="42" t="n">
        <v>3</v>
      </c>
      <c r="C35" s="43" t="inlineStr">
        <is>
          <t>Students availing institutional scholarships</t>
        </is>
      </c>
      <c r="D35" s="44" t="inlineStr">
        <is>
          <t>No.</t>
        </is>
      </c>
      <c r="E35" s="44" t="inlineStr"/>
      <c r="F35" s="44" t="n">
        <v>4</v>
      </c>
      <c r="G35" s="44">
        <f>IFERROR(F35-E35,"")</f>
        <v/>
      </c>
      <c r="H35" s="43" t="inlineStr"/>
      <c r="I35" s="44" t="inlineStr"/>
    </row>
    <row r="36" ht="22" customHeight="1">
      <c r="B36" s="4" t="n">
        <v>4</v>
      </c>
      <c r="C36" s="5" t="inlineStr">
        <is>
          <t>Placement / higher studies — final year students</t>
        </is>
      </c>
      <c r="D36" s="6" t="inlineStr">
        <is>
          <t>No. &amp; %</t>
        </is>
      </c>
      <c r="E36" s="6" t="inlineStr"/>
      <c r="F36" s="6" t="n">
        <v>4</v>
      </c>
      <c r="G36" s="6">
        <f>IFERROR(F36-E36,"")</f>
        <v/>
      </c>
      <c r="H36" s="5" t="inlineStr"/>
      <c r="I36" s="6" t="inlineStr"/>
    </row>
    <row r="37" ht="22" customHeight="1">
      <c r="B37" s="42" t="n">
        <v>5</v>
      </c>
      <c r="C37" s="43" t="inlineStr">
        <is>
          <t>Student participation in competitions / events</t>
        </is>
      </c>
      <c r="D37" s="44" t="inlineStr">
        <is>
          <t>No.</t>
        </is>
      </c>
      <c r="E37" s="44" t="inlineStr"/>
      <c r="F37" s="44" t="n">
        <v>4</v>
      </c>
      <c r="G37" s="44">
        <f>IFERROR(F37-E37,"")</f>
        <v/>
      </c>
      <c r="H37" s="43" t="inlineStr"/>
      <c r="I37" s="44" t="inlineStr"/>
    </row>
    <row r="38" ht="22" customHeight="1">
      <c r="B38" s="4" t="n">
        <v>6</v>
      </c>
      <c r="C38" s="5" t="inlineStr">
        <is>
          <t>Student clubs / societies active</t>
        </is>
      </c>
      <c r="D38" s="6" t="inlineStr">
        <is>
          <t>No.</t>
        </is>
      </c>
      <c r="E38" s="6" t="inlineStr"/>
      <c r="F38" s="6" t="n">
        <v>4</v>
      </c>
      <c r="G38" s="6">
        <f>IFERROR(F38-E38,"")</f>
        <v/>
      </c>
      <c r="H38" s="5" t="inlineStr"/>
      <c r="I38" s="6" t="inlineStr"/>
    </row>
    <row r="39" ht="22" customHeight="1"/>
    <row r="40" ht="24" customHeight="1">
      <c r="B40" s="35" t="inlineStr">
        <is>
          <t>E. RESEARCH &amp; CONSULTANCY</t>
        </is>
      </c>
    </row>
    <row r="41" ht="22" customHeight="1">
      <c r="B41" s="36" t="inlineStr">
        <is>
          <t>Sl.</t>
        </is>
      </c>
      <c r="C41" s="36" t="inlineStr">
        <is>
          <t>Audit Parameter</t>
        </is>
      </c>
      <c r="D41" s="36" t="inlineStr">
        <is>
          <t>Unit / Evidence</t>
        </is>
      </c>
      <c r="E41" s="36" t="inlineStr">
        <is>
          <t>Score
(1–5)</t>
        </is>
      </c>
      <c r="F41" s="36" t="inlineStr">
        <is>
          <t>Target
Score</t>
        </is>
      </c>
      <c r="G41" s="36" t="inlineStr">
        <is>
          <t>Gap
(Tgt–Act)</t>
        </is>
      </c>
      <c r="H41" s="36" t="inlineStr">
        <is>
          <t>Corrective Action</t>
        </is>
      </c>
      <c r="I41" s="36" t="inlineStr">
        <is>
          <t>Deadline</t>
        </is>
      </c>
    </row>
    <row r="42" ht="22" customHeight="1">
      <c r="B42" s="37" t="n">
        <v>1</v>
      </c>
      <c r="C42" s="38" t="inlineStr">
        <is>
          <t>Research papers published (SCI/Scopus/UGC)</t>
        </is>
      </c>
      <c r="D42" s="39" t="inlineStr">
        <is>
          <t>No.</t>
        </is>
      </c>
      <c r="E42" s="39" t="inlineStr"/>
      <c r="F42" s="39" t="n">
        <v>4</v>
      </c>
      <c r="G42" s="39">
        <f>IFERROR(F42-E42,"")</f>
        <v/>
      </c>
      <c r="H42" s="38" t="inlineStr"/>
      <c r="I42" s="39" t="inlineStr"/>
    </row>
    <row r="43" ht="22" customHeight="1">
      <c r="B43" s="4" t="n">
        <v>2</v>
      </c>
      <c r="C43" s="5" t="inlineStr">
        <is>
          <t>Funded research projects (ongoing)</t>
        </is>
      </c>
      <c r="D43" s="6" t="inlineStr">
        <is>
          <t>No. &amp; ₹L</t>
        </is>
      </c>
      <c r="E43" s="6" t="inlineStr"/>
      <c r="F43" s="6" t="n">
        <v>4</v>
      </c>
      <c r="G43" s="6">
        <f>IFERROR(F43-E43,"")</f>
        <v/>
      </c>
      <c r="H43" s="5" t="inlineStr"/>
      <c r="I43" s="6" t="inlineStr"/>
    </row>
    <row r="44" ht="22" customHeight="1">
      <c r="B44" s="37" t="n">
        <v>3</v>
      </c>
      <c r="C44" s="38" t="inlineStr">
        <is>
          <t>Patents filed / granted</t>
        </is>
      </c>
      <c r="D44" s="39" t="inlineStr">
        <is>
          <t>No.</t>
        </is>
      </c>
      <c r="E44" s="39" t="inlineStr"/>
      <c r="F44" s="39" t="n">
        <v>4</v>
      </c>
      <c r="G44" s="39">
        <f>IFERROR(F44-E44,"")</f>
        <v/>
      </c>
      <c r="H44" s="38" t="inlineStr"/>
      <c r="I44" s="39" t="inlineStr"/>
    </row>
    <row r="45" ht="22" customHeight="1">
      <c r="B45" s="4" t="n">
        <v>4</v>
      </c>
      <c r="C45" s="5" t="inlineStr">
        <is>
          <t>Consultancy projects undertaken</t>
        </is>
      </c>
      <c r="D45" s="6" t="inlineStr">
        <is>
          <t>No. &amp; ₹L</t>
        </is>
      </c>
      <c r="E45" s="6" t="inlineStr"/>
      <c r="F45" s="6" t="n">
        <v>4</v>
      </c>
      <c r="G45" s="6">
        <f>IFERROR(F45-E45,"")</f>
        <v/>
      </c>
      <c r="H45" s="5" t="inlineStr"/>
      <c r="I45" s="6" t="inlineStr"/>
    </row>
    <row r="46" ht="22" customHeight="1">
      <c r="B46" s="37" t="n">
        <v>5</v>
      </c>
      <c r="C46" s="38" t="inlineStr">
        <is>
          <t>Students involved in research / mini-projects</t>
        </is>
      </c>
      <c r="D46" s="39" t="inlineStr">
        <is>
          <t>No.</t>
        </is>
      </c>
      <c r="E46" s="39" t="inlineStr"/>
      <c r="F46" s="39" t="n">
        <v>4</v>
      </c>
      <c r="G46" s="39">
        <f>IFERROR(F46-E46,"")</f>
        <v/>
      </c>
      <c r="H46" s="38" t="inlineStr"/>
      <c r="I46" s="39" t="inlineStr"/>
    </row>
    <row r="47" ht="22" customHeight="1">
      <c r="B47" s="4" t="n">
        <v>6</v>
      </c>
      <c r="C47" s="5" t="inlineStr">
        <is>
          <t>Industry visits / expert lectures conducted</t>
        </is>
      </c>
      <c r="D47" s="6" t="inlineStr">
        <is>
          <t>No.</t>
        </is>
      </c>
      <c r="E47" s="6" t="inlineStr"/>
      <c r="F47" s="6" t="n">
        <v>4</v>
      </c>
      <c r="G47" s="6">
        <f>IFERROR(F47-E47,"")</f>
        <v/>
      </c>
      <c r="H47" s="5" t="inlineStr"/>
      <c r="I47" s="6" t="inlineStr"/>
    </row>
    <row r="48" ht="22" customHeight="1"/>
    <row r="49" ht="22" customHeight="1">
      <c r="B49" s="16" t="inlineStr">
        <is>
          <t>Overall Department Quality Score (avg of all parameters): _____ / 5.0    Grade: _____    Audit Signed by: ___________________</t>
        </is>
      </c>
    </row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8">
    <mergeCell ref="B13:I13"/>
    <mergeCell ref="B2:I2"/>
    <mergeCell ref="B3:I3"/>
    <mergeCell ref="B22:I22"/>
    <mergeCell ref="B31:I31"/>
    <mergeCell ref="B49:I49"/>
    <mergeCell ref="B4:I4"/>
    <mergeCell ref="B40:I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3" customWidth="1" min="10" max="10"/>
  </cols>
  <sheetData>
    <row r="1" ht="10" customHeight="1"/>
    <row r="2" ht="48" customHeight="1">
      <c r="B2" s="11" t="inlineStr">
        <is>
          <t>IQ-06: STUDENT SATISFACTION SURVEY — CONSOLIDATED ANALYSIS</t>
        </is>
      </c>
    </row>
    <row r="3" ht="25" customHeight="1">
      <c r="B3" s="2" t="inlineStr">
        <is>
          <t>A.Y.: _______  Semester: _______  Total Respondents: _______  Programme(s): _______  Date: _______</t>
        </is>
      </c>
    </row>
    <row r="4" ht="22" customHeight="1">
      <c r="B4" s="16" t="inlineStr">
        <is>
          <t>Scale: 1 = Strongly Disagree  |  2 = Disagree  |  3 = Neutral  |  4 = Agree  |  5 = Strongly Agree</t>
        </is>
      </c>
    </row>
    <row r="5" ht="24" customHeight="1">
      <c r="B5" s="19" t="inlineStr">
        <is>
          <t>SECTION A: TEACHING-LEARNING QUALITY</t>
        </is>
      </c>
    </row>
    <row r="6" ht="22" customHeight="1">
      <c r="B6" s="20" t="inlineStr">
        <is>
          <t>Q.</t>
        </is>
      </c>
      <c r="C6" s="20" t="inlineStr">
        <is>
          <t>Survey Statement</t>
        </is>
      </c>
      <c r="D6" s="20" t="inlineStr">
        <is>
          <t>Strongly
Agree (5)</t>
        </is>
      </c>
      <c r="E6" s="20" t="inlineStr">
        <is>
          <t>Agree
(4)</t>
        </is>
      </c>
      <c r="F6" s="20" t="inlineStr">
        <is>
          <t>Neutral
(3)</t>
        </is>
      </c>
      <c r="G6" s="20" t="inlineStr">
        <is>
          <t>Disagree
(2)</t>
        </is>
      </c>
      <c r="H6" s="20" t="inlineStr">
        <is>
          <t>Strongly
Disagree (1)</t>
        </is>
      </c>
      <c r="I6" s="20" t="inlineStr">
        <is>
          <t>Avg
Score</t>
        </is>
      </c>
    </row>
    <row r="7" ht="22" customHeight="1">
      <c r="B7" s="28" t="inlineStr">
        <is>
          <t>Q1</t>
        </is>
      </c>
      <c r="C7" s="29" t="inlineStr">
        <is>
          <t>Teachers explain concepts clearly and at appropriate pace</t>
        </is>
      </c>
      <c r="D7" s="21" t="inlineStr"/>
      <c r="E7" s="21" t="inlineStr"/>
      <c r="F7" s="21" t="inlineStr"/>
      <c r="G7" s="21" t="inlineStr"/>
      <c r="H7" s="21" t="inlineStr"/>
      <c r="I7" s="55">
        <f>IFERROR(ROUND((D7*5+E7*4+F7*3+G7*2+H7*1)/SUM(D7:H7),2),"")</f>
        <v/>
      </c>
    </row>
    <row r="8" ht="22" customHeight="1">
      <c r="B8" s="4" t="inlineStr">
        <is>
          <t>Q2</t>
        </is>
      </c>
      <c r="C8" s="5" t="inlineStr">
        <is>
          <t>Teachers use innovative teaching methods (ICT, case studies, etc.)</t>
        </is>
      </c>
      <c r="D8" s="6" t="inlineStr"/>
      <c r="E8" s="6" t="inlineStr"/>
      <c r="F8" s="6" t="inlineStr"/>
      <c r="G8" s="6" t="inlineStr"/>
      <c r="H8" s="6" t="inlineStr"/>
      <c r="I8" s="27">
        <f>IFERROR(ROUND((D8*5+E8*4+F8*3+G8*2+H8*1)/SUM(D8:H8),2),"")</f>
        <v/>
      </c>
    </row>
    <row r="9" ht="22" customHeight="1">
      <c r="B9" s="28" t="inlineStr">
        <is>
          <t>Q3</t>
        </is>
      </c>
      <c r="C9" s="29" t="inlineStr">
        <is>
          <t>Course content is relevant to my career / industry</t>
        </is>
      </c>
      <c r="D9" s="21" t="inlineStr"/>
      <c r="E9" s="21" t="inlineStr"/>
      <c r="F9" s="21" t="inlineStr"/>
      <c r="G9" s="21" t="inlineStr"/>
      <c r="H9" s="21" t="inlineStr"/>
      <c r="I9" s="55">
        <f>IFERROR(ROUND((D9*5+E9*4+F9*3+G9*2+H9*1)/SUM(D9:H9),2),"")</f>
        <v/>
      </c>
    </row>
    <row r="10" ht="22" customHeight="1">
      <c r="B10" s="4" t="inlineStr">
        <is>
          <t>Q4</t>
        </is>
      </c>
      <c r="C10" s="5" t="inlineStr">
        <is>
          <t>Sufficient time is given for doubt clarification</t>
        </is>
      </c>
      <c r="D10" s="6" t="inlineStr"/>
      <c r="E10" s="6" t="inlineStr"/>
      <c r="F10" s="6" t="inlineStr"/>
      <c r="G10" s="6" t="inlineStr"/>
      <c r="H10" s="6" t="inlineStr"/>
      <c r="I10" s="27">
        <f>IFERROR(ROUND((D10*5+E10*4+F10*3+G10*2+H10*1)/SUM(D10:H10),2),"")</f>
        <v/>
      </c>
    </row>
    <row r="11" ht="22" customHeight="1">
      <c r="B11" s="28" t="inlineStr">
        <is>
          <t>Q5</t>
        </is>
      </c>
      <c r="C11" s="29" t="inlineStr">
        <is>
          <t>Course outcomes (COs) are clearly communicated at the start</t>
        </is>
      </c>
      <c r="D11" s="21" t="inlineStr"/>
      <c r="E11" s="21" t="inlineStr"/>
      <c r="F11" s="21" t="inlineStr"/>
      <c r="G11" s="21" t="inlineStr"/>
      <c r="H11" s="21" t="inlineStr"/>
      <c r="I11" s="55">
        <f>IFERROR(ROUND((D11*5+E11*4+F11*3+G11*2+H11*1)/SUM(D11:H11),2),"")</f>
        <v/>
      </c>
    </row>
    <row r="12" ht="22" customHeight="1">
      <c r="B12" s="4" t="inlineStr">
        <is>
          <t>Q6</t>
        </is>
      </c>
      <c r="C12" s="5" t="inlineStr">
        <is>
          <t>Teaching pace and depth are well balanced</t>
        </is>
      </c>
      <c r="D12" s="6" t="inlineStr"/>
      <c r="E12" s="6" t="inlineStr"/>
      <c r="F12" s="6" t="inlineStr"/>
      <c r="G12" s="6" t="inlineStr"/>
      <c r="H12" s="6" t="inlineStr"/>
      <c r="I12" s="27">
        <f>IFERROR(ROUND((D12*5+E12*4+F12*3+G12*2+H12*1)/SUM(D12:H12),2),"")</f>
        <v/>
      </c>
    </row>
    <row r="13" ht="22" customHeight="1"/>
    <row r="14" ht="24" customHeight="1">
      <c r="B14" s="18" t="inlineStr">
        <is>
          <t>SECTION B: ASSESSMENT &amp; EVALUATION</t>
        </is>
      </c>
    </row>
    <row r="15" ht="22" customHeight="1">
      <c r="B15" s="12" t="inlineStr">
        <is>
          <t>Q.</t>
        </is>
      </c>
      <c r="C15" s="12" t="inlineStr">
        <is>
          <t>Survey Statement</t>
        </is>
      </c>
      <c r="D15" s="12" t="inlineStr">
        <is>
          <t>Strongly
Agree (5)</t>
        </is>
      </c>
      <c r="E15" s="12" t="inlineStr">
        <is>
          <t>Agree
(4)</t>
        </is>
      </c>
      <c r="F15" s="12" t="inlineStr">
        <is>
          <t>Neutral
(3)</t>
        </is>
      </c>
      <c r="G15" s="12" t="inlineStr">
        <is>
          <t>Disagree
(2)</t>
        </is>
      </c>
      <c r="H15" s="12" t="inlineStr">
        <is>
          <t>Strongly
Disagree (1)</t>
        </is>
      </c>
      <c r="I15" s="12" t="inlineStr">
        <is>
          <t>Avg
Score</t>
        </is>
      </c>
    </row>
    <row r="16" ht="22" customHeight="1">
      <c r="B16" s="13" t="inlineStr">
        <is>
          <t>Q7</t>
        </is>
      </c>
      <c r="C16" s="14" t="inlineStr">
        <is>
          <t>Internal assessment (CIE) is conducted fairly and transparently</t>
        </is>
      </c>
      <c r="D16" s="15" t="inlineStr"/>
      <c r="E16" s="15" t="inlineStr"/>
      <c r="F16" s="15" t="inlineStr"/>
      <c r="G16" s="15" t="inlineStr"/>
      <c r="H16" s="15" t="inlineStr"/>
      <c r="I16" s="56">
        <f>IFERROR(ROUND((D16*5+E16*4+F16*3+G16*2+H16*1)/SUM(D16:H16),2),"")</f>
        <v/>
      </c>
    </row>
    <row r="17" ht="22" customHeight="1">
      <c r="B17" s="4" t="inlineStr">
        <is>
          <t>Q8</t>
        </is>
      </c>
      <c r="C17" s="5" t="inlineStr">
        <is>
          <t>Evaluated answer scripts are returned with feedback</t>
        </is>
      </c>
      <c r="D17" s="6" t="inlineStr"/>
      <c r="E17" s="6" t="inlineStr"/>
      <c r="F17" s="6" t="inlineStr"/>
      <c r="G17" s="6" t="inlineStr"/>
      <c r="H17" s="6" t="inlineStr"/>
      <c r="I17" s="27">
        <f>IFERROR(ROUND((D17*5+E17*4+F17*3+G17*2+H17*1)/SUM(D17:H17),2),"")</f>
        <v/>
      </c>
    </row>
    <row r="18" ht="22" customHeight="1">
      <c r="B18" s="13" t="inlineStr">
        <is>
          <t>Q9</t>
        </is>
      </c>
      <c r="C18" s="14" t="inlineStr">
        <is>
          <t>Exam schedule is communicated well in advance</t>
        </is>
      </c>
      <c r="D18" s="15" t="inlineStr"/>
      <c r="E18" s="15" t="inlineStr"/>
      <c r="F18" s="15" t="inlineStr"/>
      <c r="G18" s="15" t="inlineStr"/>
      <c r="H18" s="15" t="inlineStr"/>
      <c r="I18" s="56">
        <f>IFERROR(ROUND((D18*5+E18*4+F18*3+G18*2+H18*1)/SUM(D18:H18),2),"")</f>
        <v/>
      </c>
    </row>
    <row r="19" ht="22" customHeight="1">
      <c r="B19" s="4" t="inlineStr">
        <is>
          <t>Q10</t>
        </is>
      </c>
      <c r="C19" s="5" t="inlineStr">
        <is>
          <t>Grievances related to assessment are addressed promptly</t>
        </is>
      </c>
      <c r="D19" s="6" t="inlineStr"/>
      <c r="E19" s="6" t="inlineStr"/>
      <c r="F19" s="6" t="inlineStr"/>
      <c r="G19" s="6" t="inlineStr"/>
      <c r="H19" s="6" t="inlineStr"/>
      <c r="I19" s="27">
        <f>IFERROR(ROUND((D19*5+E19*4+F19*3+G19*2+H19*1)/SUM(D19:H19),2),"")</f>
        <v/>
      </c>
    </row>
    <row r="20" ht="22" customHeight="1">
      <c r="B20" s="13" t="inlineStr">
        <is>
          <t>Q11</t>
        </is>
      </c>
      <c r="C20" s="14" t="inlineStr">
        <is>
          <t>The assessment methods align well with learning objectives</t>
        </is>
      </c>
      <c r="D20" s="15" t="inlineStr"/>
      <c r="E20" s="15" t="inlineStr"/>
      <c r="F20" s="15" t="inlineStr"/>
      <c r="G20" s="15" t="inlineStr"/>
      <c r="H20" s="15" t="inlineStr"/>
      <c r="I20" s="56">
        <f>IFERROR(ROUND((D20*5+E20*4+F20*3+G20*2+H20*1)/SUM(D20:H20),2),"")</f>
        <v/>
      </c>
    </row>
    <row r="21" ht="22" customHeight="1"/>
    <row r="22" ht="24" customHeight="1">
      <c r="B22" s="30" t="inlineStr">
        <is>
          <t>SECTION C: INFRASTRUCTURE &amp; FACILITIES</t>
        </is>
      </c>
    </row>
    <row r="23" ht="22" customHeight="1">
      <c r="B23" s="31" t="inlineStr">
        <is>
          <t>Q.</t>
        </is>
      </c>
      <c r="C23" s="31" t="inlineStr">
        <is>
          <t>Survey Statement</t>
        </is>
      </c>
      <c r="D23" s="31" t="inlineStr">
        <is>
          <t>Strongly
Agree (5)</t>
        </is>
      </c>
      <c r="E23" s="31" t="inlineStr">
        <is>
          <t>Agree
(4)</t>
        </is>
      </c>
      <c r="F23" s="31" t="inlineStr">
        <is>
          <t>Neutral
(3)</t>
        </is>
      </c>
      <c r="G23" s="31" t="inlineStr">
        <is>
          <t>Disagree
(2)</t>
        </is>
      </c>
      <c r="H23" s="31" t="inlineStr">
        <is>
          <t>Strongly
Disagree (1)</t>
        </is>
      </c>
      <c r="I23" s="31" t="inlineStr">
        <is>
          <t>Avg
Score</t>
        </is>
      </c>
    </row>
    <row r="24" ht="22" customHeight="1">
      <c r="B24" s="32" t="inlineStr">
        <is>
          <t>Q12</t>
        </is>
      </c>
      <c r="C24" s="33" t="inlineStr">
        <is>
          <t>Classrooms are well-equipped, clean and comfortable</t>
        </is>
      </c>
      <c r="D24" s="34" t="inlineStr"/>
      <c r="E24" s="34" t="inlineStr"/>
      <c r="F24" s="34" t="inlineStr"/>
      <c r="G24" s="34" t="inlineStr"/>
      <c r="H24" s="34" t="inlineStr"/>
      <c r="I24" s="25">
        <f>IFERROR(ROUND((D24*5+E24*4+F24*3+G24*2+H24*1)/SUM(D24:H24),2),"")</f>
        <v/>
      </c>
    </row>
    <row r="25" ht="22" customHeight="1">
      <c r="B25" s="4" t="inlineStr">
        <is>
          <t>Q13</t>
        </is>
      </c>
      <c r="C25" s="5" t="inlineStr">
        <is>
          <t>Laboratories are adequately equipped and well-maintained</t>
        </is>
      </c>
      <c r="D25" s="6" t="inlineStr"/>
      <c r="E25" s="6" t="inlineStr"/>
      <c r="F25" s="6" t="inlineStr"/>
      <c r="G25" s="6" t="inlineStr"/>
      <c r="H25" s="6" t="inlineStr"/>
      <c r="I25" s="27">
        <f>IFERROR(ROUND((D25*5+E25*4+F25*3+G25*2+H25*1)/SUM(D25:H25),2),"")</f>
        <v/>
      </c>
    </row>
    <row r="26" ht="22" customHeight="1">
      <c r="B26" s="32" t="inlineStr">
        <is>
          <t>Q14</t>
        </is>
      </c>
      <c r="C26" s="33" t="inlineStr">
        <is>
          <t>Library has sufficient books, journals and e-resources</t>
        </is>
      </c>
      <c r="D26" s="34" t="inlineStr"/>
      <c r="E26" s="34" t="inlineStr"/>
      <c r="F26" s="34" t="inlineStr"/>
      <c r="G26" s="34" t="inlineStr"/>
      <c r="H26" s="34" t="inlineStr"/>
      <c r="I26" s="25">
        <f>IFERROR(ROUND((D26*5+E26*4+F26*3+G26*2+H26*1)/SUM(D26:H26),2),"")</f>
        <v/>
      </c>
    </row>
    <row r="27" ht="22" customHeight="1">
      <c r="B27" s="4" t="inlineStr">
        <is>
          <t>Q15</t>
        </is>
      </c>
      <c r="C27" s="5" t="inlineStr">
        <is>
          <t>Internet / Wi-Fi is available and reliable on campus</t>
        </is>
      </c>
      <c r="D27" s="6" t="inlineStr"/>
      <c r="E27" s="6" t="inlineStr"/>
      <c r="F27" s="6" t="inlineStr"/>
      <c r="G27" s="6" t="inlineStr"/>
      <c r="H27" s="6" t="inlineStr"/>
      <c r="I27" s="27">
        <f>IFERROR(ROUND((D27*5+E27*4+F27*3+G27*2+H27*1)/SUM(D27:H27),2),"")</f>
        <v/>
      </c>
    </row>
    <row r="28" ht="22" customHeight="1">
      <c r="B28" s="32" t="inlineStr">
        <is>
          <t>Q16</t>
        </is>
      </c>
      <c r="C28" s="33" t="inlineStr">
        <is>
          <t>Sports and recreational facilities are adequate</t>
        </is>
      </c>
      <c r="D28" s="34" t="inlineStr"/>
      <c r="E28" s="34" t="inlineStr"/>
      <c r="F28" s="34" t="inlineStr"/>
      <c r="G28" s="34" t="inlineStr"/>
      <c r="H28" s="34" t="inlineStr"/>
      <c r="I28" s="25">
        <f>IFERROR(ROUND((D28*5+E28*4+F28*3+G28*2+H28*1)/SUM(D28:H28),2),"")</f>
        <v/>
      </c>
    </row>
    <row r="29" ht="22" customHeight="1">
      <c r="B29" s="4" t="inlineStr">
        <is>
          <t>Q17</t>
        </is>
      </c>
      <c r="C29" s="5" t="inlineStr">
        <is>
          <t>Hostel facilities (if applicable) are satisfactory</t>
        </is>
      </c>
      <c r="D29" s="6" t="inlineStr"/>
      <c r="E29" s="6" t="inlineStr"/>
      <c r="F29" s="6" t="inlineStr"/>
      <c r="G29" s="6" t="inlineStr"/>
      <c r="H29" s="6" t="inlineStr"/>
      <c r="I29" s="27">
        <f>IFERROR(ROUND((D29*5+E29*4+F29*3+G29*2+H29*1)/SUM(D29:H29),2),"")</f>
        <v/>
      </c>
    </row>
    <row r="30" ht="22" customHeight="1"/>
    <row r="31" ht="24" customHeight="1">
      <c r="B31" s="40" t="inlineStr">
        <is>
          <t>SECTION D: STUDENT SUPPORT SERVICES</t>
        </is>
      </c>
    </row>
    <row r="32" ht="22" customHeight="1">
      <c r="B32" s="41" t="inlineStr">
        <is>
          <t>Q.</t>
        </is>
      </c>
      <c r="C32" s="41" t="inlineStr">
        <is>
          <t>Survey Statement</t>
        </is>
      </c>
      <c r="D32" s="41" t="inlineStr">
        <is>
          <t>Strongly
Agree (5)</t>
        </is>
      </c>
      <c r="E32" s="41" t="inlineStr">
        <is>
          <t>Agree
(4)</t>
        </is>
      </c>
      <c r="F32" s="41" t="inlineStr">
        <is>
          <t>Neutral
(3)</t>
        </is>
      </c>
      <c r="G32" s="41" t="inlineStr">
        <is>
          <t>Disagree
(2)</t>
        </is>
      </c>
      <c r="H32" s="41" t="inlineStr">
        <is>
          <t>Strongly
Disagree (1)</t>
        </is>
      </c>
      <c r="I32" s="41" t="inlineStr">
        <is>
          <t>Avg
Score</t>
        </is>
      </c>
    </row>
    <row r="33" ht="22" customHeight="1">
      <c r="B33" s="42" t="inlineStr">
        <is>
          <t>Q18</t>
        </is>
      </c>
      <c r="C33" s="43" t="inlineStr">
        <is>
          <t>Mentoring / counselling services are helpful and accessible</t>
        </is>
      </c>
      <c r="D33" s="44" t="inlineStr"/>
      <c r="E33" s="44" t="inlineStr"/>
      <c r="F33" s="44" t="inlineStr"/>
      <c r="G33" s="44" t="inlineStr"/>
      <c r="H33" s="44" t="inlineStr"/>
      <c r="I33" s="57">
        <f>IFERROR(ROUND((D33*5+E33*4+F33*3+G33*2+H33*1)/SUM(D33:H33),2),"")</f>
        <v/>
      </c>
    </row>
    <row r="34" ht="22" customHeight="1">
      <c r="B34" s="4" t="inlineStr">
        <is>
          <t>Q19</t>
        </is>
      </c>
      <c r="C34" s="5" t="inlineStr">
        <is>
          <t>Career guidance and placement support is effective</t>
        </is>
      </c>
      <c r="D34" s="6" t="inlineStr"/>
      <c r="E34" s="6" t="inlineStr"/>
      <c r="F34" s="6" t="inlineStr"/>
      <c r="G34" s="6" t="inlineStr"/>
      <c r="H34" s="6" t="inlineStr"/>
      <c r="I34" s="27">
        <f>IFERROR(ROUND((D34*5+E34*4+F34*3+G34*2+H34*1)/SUM(D34:H34),2),"")</f>
        <v/>
      </c>
    </row>
    <row r="35" ht="22" customHeight="1">
      <c r="B35" s="42" t="inlineStr">
        <is>
          <t>Q20</t>
        </is>
      </c>
      <c r="C35" s="43" t="inlineStr">
        <is>
          <t>Scholarships and financial aid information is communicated clearly</t>
        </is>
      </c>
      <c r="D35" s="44" t="inlineStr"/>
      <c r="E35" s="44" t="inlineStr"/>
      <c r="F35" s="44" t="inlineStr"/>
      <c r="G35" s="44" t="inlineStr"/>
      <c r="H35" s="44" t="inlineStr"/>
      <c r="I35" s="57">
        <f>IFERROR(ROUND((D35*5+E35*4+F35*3+G35*2+H35*1)/SUM(D35:H35),2),"")</f>
        <v/>
      </c>
    </row>
    <row r="36" ht="22" customHeight="1">
      <c r="B36" s="4" t="inlineStr">
        <is>
          <t>Q21</t>
        </is>
      </c>
      <c r="C36" s="5" t="inlineStr">
        <is>
          <t>Student grievances are addressed quickly and fairly</t>
        </is>
      </c>
      <c r="D36" s="6" t="inlineStr"/>
      <c r="E36" s="6" t="inlineStr"/>
      <c r="F36" s="6" t="inlineStr"/>
      <c r="G36" s="6" t="inlineStr"/>
      <c r="H36" s="6" t="inlineStr"/>
      <c r="I36" s="27">
        <f>IFERROR(ROUND((D36*5+E36*4+F36*3+G36*2+H36*1)/SUM(D36:H36),2),"")</f>
        <v/>
      </c>
    </row>
    <row r="37" ht="22" customHeight="1">
      <c r="B37" s="42" t="inlineStr">
        <is>
          <t>Q22</t>
        </is>
      </c>
      <c r="C37" s="43" t="inlineStr">
        <is>
          <t>Anti-ragging and safety measures are effective</t>
        </is>
      </c>
      <c r="D37" s="44" t="inlineStr"/>
      <c r="E37" s="44" t="inlineStr"/>
      <c r="F37" s="44" t="inlineStr"/>
      <c r="G37" s="44" t="inlineStr"/>
      <c r="H37" s="44" t="inlineStr"/>
      <c r="I37" s="57">
        <f>IFERROR(ROUND((D37*5+E37*4+F37*3+G37*2+H37*1)/SUM(D37:H37),2),"")</f>
        <v/>
      </c>
    </row>
    <row r="38" ht="22" customHeight="1">
      <c r="B38" s="4" t="inlineStr">
        <is>
          <t>Q23</t>
        </is>
      </c>
      <c r="C38" s="5" t="inlineStr">
        <is>
          <t>Extracurricular and co-curricular opportunities are adequate</t>
        </is>
      </c>
      <c r="D38" s="6" t="inlineStr"/>
      <c r="E38" s="6" t="inlineStr"/>
      <c r="F38" s="6" t="inlineStr"/>
      <c r="G38" s="6" t="inlineStr"/>
      <c r="H38" s="6" t="inlineStr"/>
      <c r="I38" s="27">
        <f>IFERROR(ROUND((D38*5+E38*4+F38*3+G38*2+H38*1)/SUM(D38:H38),2),"")</f>
        <v/>
      </c>
    </row>
    <row r="39" ht="22" customHeight="1"/>
    <row r="40" ht="24" customHeight="1">
      <c r="B40" s="45" t="inlineStr">
        <is>
          <t>SECTION E: OVERALL SATISFACTION</t>
        </is>
      </c>
    </row>
    <row r="41" ht="22" customHeight="1">
      <c r="B41" s="46" t="inlineStr">
        <is>
          <t>Q.</t>
        </is>
      </c>
      <c r="C41" s="46" t="inlineStr">
        <is>
          <t>Survey Statement</t>
        </is>
      </c>
      <c r="D41" s="46" t="inlineStr">
        <is>
          <t>Strongly
Agree (5)</t>
        </is>
      </c>
      <c r="E41" s="46" t="inlineStr">
        <is>
          <t>Agree
(4)</t>
        </is>
      </c>
      <c r="F41" s="46" t="inlineStr">
        <is>
          <t>Neutral
(3)</t>
        </is>
      </c>
      <c r="G41" s="46" t="inlineStr">
        <is>
          <t>Disagree
(2)</t>
        </is>
      </c>
      <c r="H41" s="46" t="inlineStr">
        <is>
          <t>Strongly
Disagree (1)</t>
        </is>
      </c>
      <c r="I41" s="46" t="inlineStr">
        <is>
          <t>Avg
Score</t>
        </is>
      </c>
    </row>
    <row r="42" ht="22" customHeight="1">
      <c r="B42" s="47" t="inlineStr">
        <is>
          <t>Q24</t>
        </is>
      </c>
      <c r="C42" s="48" t="inlineStr">
        <is>
          <t>I am satisfied with the overall academic environment</t>
        </is>
      </c>
      <c r="D42" s="49" t="inlineStr"/>
      <c r="E42" s="49" t="inlineStr"/>
      <c r="F42" s="49" t="inlineStr"/>
      <c r="G42" s="49" t="inlineStr"/>
      <c r="H42" s="49" t="inlineStr"/>
      <c r="I42" s="58">
        <f>IFERROR(ROUND((D42*5+E42*4+F42*3+G42*2+H42*1)/SUM(D42:H42),2),"")</f>
        <v/>
      </c>
    </row>
    <row r="43" ht="22" customHeight="1">
      <c r="B43" s="4" t="inlineStr">
        <is>
          <t>Q25</t>
        </is>
      </c>
      <c r="C43" s="5" t="inlineStr">
        <is>
          <t>The institution supports my holistic development</t>
        </is>
      </c>
      <c r="D43" s="6" t="inlineStr"/>
      <c r="E43" s="6" t="inlineStr"/>
      <c r="F43" s="6" t="inlineStr"/>
      <c r="G43" s="6" t="inlineStr"/>
      <c r="H43" s="6" t="inlineStr"/>
      <c r="I43" s="27">
        <f>IFERROR(ROUND((D43*5+E43*4+F43*3+G43*2+H43*1)/SUM(D43:H43),2),"")</f>
        <v/>
      </c>
    </row>
    <row r="44" ht="22" customHeight="1">
      <c r="B44" s="47" t="inlineStr">
        <is>
          <t>Q26</t>
        </is>
      </c>
      <c r="C44" s="48" t="inlineStr">
        <is>
          <t>I would recommend this institution to others</t>
        </is>
      </c>
      <c r="D44" s="49" t="inlineStr"/>
      <c r="E44" s="49" t="inlineStr"/>
      <c r="F44" s="49" t="inlineStr"/>
      <c r="G44" s="49" t="inlineStr"/>
      <c r="H44" s="49" t="inlineStr"/>
      <c r="I44" s="58">
        <f>IFERROR(ROUND((D44*5+E44*4+F44*3+G44*2+H44*1)/SUM(D44:H44),2),"")</f>
        <v/>
      </c>
    </row>
    <row r="45" ht="22" customHeight="1"/>
    <row r="46" ht="24" customHeight="1">
      <c r="B46" s="59" t="inlineStr">
        <is>
          <t>SURVEY SUMMARY &amp; CORRECTIVE ACTION</t>
        </is>
      </c>
    </row>
    <row r="47" ht="22" customHeight="1">
      <c r="B47" s="12" t="inlineStr">
        <is>
          <t>Section</t>
        </is>
      </c>
      <c r="C47" s="12" t="inlineStr">
        <is>
          <t>No. of Questions</t>
        </is>
      </c>
      <c r="D47" s="12" t="inlineStr">
        <is>
          <t>Overall Avg Score</t>
        </is>
      </c>
      <c r="E47" s="12" t="inlineStr">
        <is>
          <t>Satisfaction %</t>
        </is>
      </c>
      <c r="F47" s="12" t="inlineStr">
        <is>
          <t>Benchmark (≥3.5)</t>
        </is>
      </c>
      <c r="G47" s="12" t="inlineStr">
        <is>
          <t>Gap</t>
        </is>
      </c>
      <c r="H47" s="12" t="inlineStr">
        <is>
          <t>Status</t>
        </is>
      </c>
      <c r="I47" s="12" t="inlineStr">
        <is>
          <t>Priority Action</t>
        </is>
      </c>
    </row>
    <row r="48" ht="22" customHeight="1">
      <c r="B48" s="24" t="inlineStr">
        <is>
          <t>A: Teaching-Learning</t>
        </is>
      </c>
      <c r="C48" s="15" t="n">
        <v>6</v>
      </c>
      <c r="D48" s="15" t="inlineStr"/>
      <c r="E48" s="15">
        <f>IFERROR(ROUND(D48/5*100,1),"")</f>
        <v/>
      </c>
      <c r="F48" s="15" t="n">
        <v>3.5</v>
      </c>
      <c r="G48" s="15">
        <f>IFERROR(ROUND(D48-F48,2),"")</f>
        <v/>
      </c>
      <c r="H48" s="15">
        <f>IFERROR(IF(D48&gt;=3.5,"Satisfactory","Needs Improvement"),"")</f>
        <v/>
      </c>
      <c r="I48" s="14" t="inlineStr"/>
    </row>
    <row r="49" ht="22" customHeight="1">
      <c r="B49" s="26" t="inlineStr">
        <is>
          <t>B: Assessment</t>
        </is>
      </c>
      <c r="C49" s="6" t="n">
        <v>5</v>
      </c>
      <c r="D49" s="6" t="inlineStr"/>
      <c r="E49" s="6">
        <f>IFERROR(ROUND(D49/5*100,1),"")</f>
        <v/>
      </c>
      <c r="F49" s="6" t="n">
        <v>3.5</v>
      </c>
      <c r="G49" s="6">
        <f>IFERROR(ROUND(D49-F49,2),"")</f>
        <v/>
      </c>
      <c r="H49" s="6">
        <f>IFERROR(IF(D49&gt;=3.5,"Satisfactory","Needs Improvement"),"")</f>
        <v/>
      </c>
      <c r="I49" s="5" t="inlineStr"/>
    </row>
    <row r="50" ht="22" customHeight="1">
      <c r="B50" s="24" t="inlineStr">
        <is>
          <t>C: Infrastructure</t>
        </is>
      </c>
      <c r="C50" s="15" t="n">
        <v>6</v>
      </c>
      <c r="D50" s="15" t="inlineStr"/>
      <c r="E50" s="15">
        <f>IFERROR(ROUND(D50/5*100,1),"")</f>
        <v/>
      </c>
      <c r="F50" s="15" t="n">
        <v>3.5</v>
      </c>
      <c r="G50" s="15">
        <f>IFERROR(ROUND(D50-F50,2),"")</f>
        <v/>
      </c>
      <c r="H50" s="15">
        <f>IFERROR(IF(D50&gt;=3.5,"Satisfactory","Needs Improvement"),"")</f>
        <v/>
      </c>
      <c r="I50" s="14" t="inlineStr"/>
    </row>
    <row r="51" ht="22" customHeight="1">
      <c r="B51" s="26" t="inlineStr">
        <is>
          <t>D: Student Support</t>
        </is>
      </c>
      <c r="C51" s="6" t="n">
        <v>6</v>
      </c>
      <c r="D51" s="6" t="inlineStr"/>
      <c r="E51" s="6">
        <f>IFERROR(ROUND(D51/5*100,1),"")</f>
        <v/>
      </c>
      <c r="F51" s="6" t="n">
        <v>3.5</v>
      </c>
      <c r="G51" s="6">
        <f>IFERROR(ROUND(D51-F51,2),"")</f>
        <v/>
      </c>
      <c r="H51" s="6">
        <f>IFERROR(IF(D51&gt;=3.5,"Satisfactory","Needs Improvement"),"")</f>
        <v/>
      </c>
      <c r="I51" s="5" t="inlineStr"/>
    </row>
    <row r="52" ht="22" customHeight="1">
      <c r="B52" s="24" t="inlineStr">
        <is>
          <t>E: Overall</t>
        </is>
      </c>
      <c r="C52" s="15" t="n">
        <v>3</v>
      </c>
      <c r="D52" s="15" t="inlineStr"/>
      <c r="E52" s="15">
        <f>IFERROR(ROUND(D52/5*100,1),"")</f>
        <v/>
      </c>
      <c r="F52" s="15" t="n">
        <v>3.5</v>
      </c>
      <c r="G52" s="15">
        <f>IFERROR(ROUND(D52-F52,2),"")</f>
        <v/>
      </c>
      <c r="H52" s="15">
        <f>IFERROR(IF(D52&gt;=3.5,"Satisfactory","Needs Improvement"),"")</f>
        <v/>
      </c>
      <c r="I52" s="14" t="inlineStr"/>
    </row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B2:I2"/>
    <mergeCell ref="B3:I3"/>
    <mergeCell ref="B5:I5"/>
    <mergeCell ref="B14:I14"/>
    <mergeCell ref="B22:I22"/>
    <mergeCell ref="B31:I31"/>
    <mergeCell ref="B46:I46"/>
    <mergeCell ref="B4:I4"/>
    <mergeCell ref="B40:I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" customWidth="1" min="9" max="9"/>
  </cols>
  <sheetData>
    <row r="1" ht="10" customHeight="1"/>
    <row r="2" ht="48" customHeight="1">
      <c r="B2" s="11" t="inlineStr">
        <is>
          <t>IQ-07: FACULTY FEEDBACK ON INSTITUTIONAL PROCESSES</t>
        </is>
      </c>
    </row>
    <row r="3" ht="25" customHeight="1">
      <c r="B3" s="2" t="inlineStr">
        <is>
          <t>A.Y.: _______  Total Faculty Respondents: _______  Date of Survey: _______  Confidential</t>
        </is>
      </c>
    </row>
    <row r="4" ht="22" customHeight="1">
      <c r="B4" s="16" t="inlineStr">
        <is>
          <t>Scale: 1 = Very Poor  |  2 = Poor  |  3 = Average  |  4 = Good  |  5 = Excellent</t>
        </is>
      </c>
    </row>
    <row r="5" ht="24" customHeight="1">
      <c r="B5" s="19" t="inlineStr">
        <is>
          <t>A. ACADEMIC ADMINISTRATION</t>
        </is>
      </c>
    </row>
    <row r="6" ht="22" customHeight="1">
      <c r="B6" s="20" t="inlineStr">
        <is>
          <t>Q.</t>
        </is>
      </c>
      <c r="C6" s="20" t="inlineStr">
        <is>
          <t>Feedback Statement</t>
        </is>
      </c>
      <c r="D6" s="20" t="inlineStr">
        <is>
          <t>Avg
Rating</t>
        </is>
      </c>
      <c r="E6" s="20" t="inlineStr">
        <is>
          <t>Satisfaction
%</t>
        </is>
      </c>
      <c r="F6" s="20" t="inlineStr">
        <is>
          <t>Target
(≥3.5)</t>
        </is>
      </c>
      <c r="G6" s="20" t="inlineStr">
        <is>
          <t>Gap</t>
        </is>
      </c>
      <c r="H6" s="20" t="inlineStr">
        <is>
          <t>Priority
Action</t>
        </is>
      </c>
    </row>
    <row r="7" ht="22" customHeight="1">
      <c r="B7" s="28" t="inlineStr">
        <is>
          <t>F1</t>
        </is>
      </c>
      <c r="C7" s="29" t="inlineStr">
        <is>
          <t>Academic calendar is well-planned and communicated in advance</t>
        </is>
      </c>
      <c r="D7" s="21" t="inlineStr"/>
      <c r="E7" s="21">
        <f>IFERROR(ROUND(D7/5*100,1),"")</f>
        <v/>
      </c>
      <c r="F7" s="21" t="n">
        <v>3.5</v>
      </c>
      <c r="G7" s="21">
        <f>IFERROR(ROUND(D7-F7,2),"")</f>
        <v/>
      </c>
      <c r="H7" s="29" t="inlineStr"/>
    </row>
    <row r="8" ht="22" customHeight="1">
      <c r="B8" s="4" t="inlineStr">
        <is>
          <t>F2</t>
        </is>
      </c>
      <c r="C8" s="5" t="inlineStr">
        <is>
          <t>Workload allocation is fair and transparent</t>
        </is>
      </c>
      <c r="D8" s="6" t="inlineStr"/>
      <c r="E8" s="6">
        <f>IFERROR(ROUND(D8/5*100,1),"")</f>
        <v/>
      </c>
      <c r="F8" s="6" t="n">
        <v>3.5</v>
      </c>
      <c r="G8" s="6">
        <f>IFERROR(ROUND(D8-F8,2),"")</f>
        <v/>
      </c>
      <c r="H8" s="5" t="inlineStr"/>
    </row>
    <row r="9" ht="22" customHeight="1">
      <c r="B9" s="28" t="inlineStr">
        <is>
          <t>F3</t>
        </is>
      </c>
      <c r="C9" s="29" t="inlineStr">
        <is>
          <t>Administrative processes (leave, claims, etc.) are streamlined</t>
        </is>
      </c>
      <c r="D9" s="21" t="inlineStr"/>
      <c r="E9" s="21">
        <f>IFERROR(ROUND(D9/5*100,1),"")</f>
        <v/>
      </c>
      <c r="F9" s="21" t="n">
        <v>3.5</v>
      </c>
      <c r="G9" s="21">
        <f>IFERROR(ROUND(D9-F9,2),"")</f>
        <v/>
      </c>
      <c r="H9" s="29" t="inlineStr"/>
    </row>
    <row r="10" ht="22" customHeight="1">
      <c r="B10" s="4" t="inlineStr">
        <is>
          <t>F4</t>
        </is>
      </c>
      <c r="C10" s="5" t="inlineStr">
        <is>
          <t>Faculty input is sought in curriculum design / revision</t>
        </is>
      </c>
      <c r="D10" s="6" t="inlineStr"/>
      <c r="E10" s="6">
        <f>IFERROR(ROUND(D10/5*100,1),"")</f>
        <v/>
      </c>
      <c r="F10" s="6" t="n">
        <v>3.5</v>
      </c>
      <c r="G10" s="6">
        <f>IFERROR(ROUND(D10-F10,2),"")</f>
        <v/>
      </c>
      <c r="H10" s="5" t="inlineStr"/>
    </row>
    <row r="11" ht="22" customHeight="1">
      <c r="B11" s="28" t="inlineStr">
        <is>
          <t>F5</t>
        </is>
      </c>
      <c r="C11" s="29" t="inlineStr">
        <is>
          <t>Freedom for academic innovations is encouraged</t>
        </is>
      </c>
      <c r="D11" s="21" t="inlineStr"/>
      <c r="E11" s="21">
        <f>IFERROR(ROUND(D11/5*100,1),"")</f>
        <v/>
      </c>
      <c r="F11" s="21" t="n">
        <v>3.5</v>
      </c>
      <c r="G11" s="21">
        <f>IFERROR(ROUND(D11-F11,2),"")</f>
        <v/>
      </c>
      <c r="H11" s="29" t="inlineStr"/>
    </row>
    <row r="12" ht="22" customHeight="1"/>
    <row r="13" ht="24" customHeight="1">
      <c r="B13" s="30" t="inlineStr">
        <is>
          <t>B. RESEARCH &amp; DEVELOPMENT SUPPORT</t>
        </is>
      </c>
    </row>
    <row r="14" ht="22" customHeight="1">
      <c r="B14" s="31" t="inlineStr">
        <is>
          <t>Q.</t>
        </is>
      </c>
      <c r="C14" s="31" t="inlineStr">
        <is>
          <t>Feedback Statement</t>
        </is>
      </c>
      <c r="D14" s="31" t="inlineStr">
        <is>
          <t>Avg
Rating</t>
        </is>
      </c>
      <c r="E14" s="31" t="inlineStr">
        <is>
          <t>Satisfaction
%</t>
        </is>
      </c>
      <c r="F14" s="31" t="inlineStr">
        <is>
          <t>Target
(≥3.5)</t>
        </is>
      </c>
      <c r="G14" s="31" t="inlineStr">
        <is>
          <t>Gap</t>
        </is>
      </c>
      <c r="H14" s="31" t="inlineStr">
        <is>
          <t>Priority
Action</t>
        </is>
      </c>
    </row>
    <row r="15" ht="22" customHeight="1">
      <c r="B15" s="32" t="inlineStr">
        <is>
          <t>F6</t>
        </is>
      </c>
      <c r="C15" s="33" t="inlineStr">
        <is>
          <t>Institution supports research through grants / seed money</t>
        </is>
      </c>
      <c r="D15" s="34" t="inlineStr"/>
      <c r="E15" s="34">
        <f>IFERROR(ROUND(D15/5*100,1),"")</f>
        <v/>
      </c>
      <c r="F15" s="34" t="n">
        <v>3.5</v>
      </c>
      <c r="G15" s="34">
        <f>IFERROR(ROUND(D15-F15,2),"")</f>
        <v/>
      </c>
      <c r="H15" s="33" t="inlineStr"/>
    </row>
    <row r="16" ht="22" customHeight="1">
      <c r="B16" s="4" t="inlineStr">
        <is>
          <t>F7</t>
        </is>
      </c>
      <c r="C16" s="5" t="inlineStr">
        <is>
          <t>Research leave / duty leave for conferences is facilitated</t>
        </is>
      </c>
      <c r="D16" s="6" t="inlineStr"/>
      <c r="E16" s="6">
        <f>IFERROR(ROUND(D16/5*100,1),"")</f>
        <v/>
      </c>
      <c r="F16" s="6" t="n">
        <v>3.5</v>
      </c>
      <c r="G16" s="6">
        <f>IFERROR(ROUND(D16-F16,2),"")</f>
        <v/>
      </c>
      <c r="H16" s="5" t="inlineStr"/>
    </row>
    <row r="17" ht="22" customHeight="1">
      <c r="B17" s="32" t="inlineStr">
        <is>
          <t>F8</t>
        </is>
      </c>
      <c r="C17" s="33" t="inlineStr">
        <is>
          <t>Library and e-resources are adequate for research</t>
        </is>
      </c>
      <c r="D17" s="34" t="inlineStr"/>
      <c r="E17" s="34">
        <f>IFERROR(ROUND(D17/5*100,1),"")</f>
        <v/>
      </c>
      <c r="F17" s="34" t="n">
        <v>3.5</v>
      </c>
      <c r="G17" s="34">
        <f>IFERROR(ROUND(D17-F17,2),"")</f>
        <v/>
      </c>
      <c r="H17" s="33" t="inlineStr"/>
    </row>
    <row r="18" ht="22" customHeight="1">
      <c r="B18" s="4" t="inlineStr">
        <is>
          <t>F9</t>
        </is>
      </c>
      <c r="C18" s="5" t="inlineStr">
        <is>
          <t>Publication support (APCs, conference travel) is available</t>
        </is>
      </c>
      <c r="D18" s="6" t="inlineStr"/>
      <c r="E18" s="6">
        <f>IFERROR(ROUND(D18/5*100,1),"")</f>
        <v/>
      </c>
      <c r="F18" s="6" t="n">
        <v>3.5</v>
      </c>
      <c r="G18" s="6">
        <f>IFERROR(ROUND(D18-F18,2),"")</f>
        <v/>
      </c>
      <c r="H18" s="5" t="inlineStr"/>
    </row>
    <row r="19" ht="22" customHeight="1">
      <c r="B19" s="32" t="inlineStr">
        <is>
          <t>F10</t>
        </is>
      </c>
      <c r="C19" s="33" t="inlineStr">
        <is>
          <t>IPR / Patent filing support is provided</t>
        </is>
      </c>
      <c r="D19" s="34" t="inlineStr"/>
      <c r="E19" s="34">
        <f>IFERROR(ROUND(D19/5*100,1),"")</f>
        <v/>
      </c>
      <c r="F19" s="34" t="n">
        <v>3.5</v>
      </c>
      <c r="G19" s="34">
        <f>IFERROR(ROUND(D19-F19,2),"")</f>
        <v/>
      </c>
      <c r="H19" s="33" t="inlineStr"/>
    </row>
    <row r="20" ht="22" customHeight="1"/>
    <row r="21" ht="24" customHeight="1">
      <c r="B21" s="18" t="inlineStr">
        <is>
          <t>C. FACULTY DEVELOPMENT</t>
        </is>
      </c>
    </row>
    <row r="22" ht="22" customHeight="1">
      <c r="B22" s="12" t="inlineStr">
        <is>
          <t>Q.</t>
        </is>
      </c>
      <c r="C22" s="12" t="inlineStr">
        <is>
          <t>Feedback Statement</t>
        </is>
      </c>
      <c r="D22" s="12" t="inlineStr">
        <is>
          <t>Avg
Rating</t>
        </is>
      </c>
      <c r="E22" s="12" t="inlineStr">
        <is>
          <t>Satisfaction
%</t>
        </is>
      </c>
      <c r="F22" s="12" t="inlineStr">
        <is>
          <t>Target
(≥3.5)</t>
        </is>
      </c>
      <c r="G22" s="12" t="inlineStr">
        <is>
          <t>Gap</t>
        </is>
      </c>
      <c r="H22" s="12" t="inlineStr">
        <is>
          <t>Priority
Action</t>
        </is>
      </c>
    </row>
    <row r="23" ht="22" customHeight="1">
      <c r="B23" s="13" t="inlineStr">
        <is>
          <t>F11</t>
        </is>
      </c>
      <c r="C23" s="14" t="inlineStr">
        <is>
          <t>FDP / STTP / training programmes are organised regularly</t>
        </is>
      </c>
      <c r="D23" s="15" t="inlineStr"/>
      <c r="E23" s="15">
        <f>IFERROR(ROUND(D23/5*100,1),"")</f>
        <v/>
      </c>
      <c r="F23" s="15" t="n">
        <v>3.5</v>
      </c>
      <c r="G23" s="15">
        <f>IFERROR(ROUND(D23-F23,2),"")</f>
        <v/>
      </c>
      <c r="H23" s="14" t="inlineStr"/>
    </row>
    <row r="24" ht="22" customHeight="1">
      <c r="B24" s="4" t="inlineStr">
        <is>
          <t>F12</t>
        </is>
      </c>
      <c r="C24" s="5" t="inlineStr">
        <is>
          <t>Opportunities for attending national / international conferences</t>
        </is>
      </c>
      <c r="D24" s="6" t="inlineStr"/>
      <c r="E24" s="6">
        <f>IFERROR(ROUND(D24/5*100,1),"")</f>
        <v/>
      </c>
      <c r="F24" s="6" t="n">
        <v>3.5</v>
      </c>
      <c r="G24" s="6">
        <f>IFERROR(ROUND(D24-F24,2),"")</f>
        <v/>
      </c>
      <c r="H24" s="5" t="inlineStr"/>
    </row>
    <row r="25" ht="22" customHeight="1">
      <c r="B25" s="13" t="inlineStr">
        <is>
          <t>F13</t>
        </is>
      </c>
      <c r="C25" s="14" t="inlineStr">
        <is>
          <t>Support for higher education / Ph.D. is provided</t>
        </is>
      </c>
      <c r="D25" s="15" t="inlineStr"/>
      <c r="E25" s="15">
        <f>IFERROR(ROUND(D25/5*100,1),"")</f>
        <v/>
      </c>
      <c r="F25" s="15" t="n">
        <v>3.5</v>
      </c>
      <c r="G25" s="15">
        <f>IFERROR(ROUND(D25-F25,2),"")</f>
        <v/>
      </c>
      <c r="H25" s="14" t="inlineStr"/>
    </row>
    <row r="26" ht="22" customHeight="1">
      <c r="B26" s="4" t="inlineStr">
        <is>
          <t>F14</t>
        </is>
      </c>
      <c r="C26" s="5" t="inlineStr">
        <is>
          <t>Performance appraisal system is transparent and fair</t>
        </is>
      </c>
      <c r="D26" s="6" t="inlineStr"/>
      <c r="E26" s="6">
        <f>IFERROR(ROUND(D26/5*100,1),"")</f>
        <v/>
      </c>
      <c r="F26" s="6" t="n">
        <v>3.5</v>
      </c>
      <c r="G26" s="6">
        <f>IFERROR(ROUND(D26-F26,2),"")</f>
        <v/>
      </c>
      <c r="H26" s="5" t="inlineStr"/>
    </row>
    <row r="27" ht="22" customHeight="1">
      <c r="B27" s="13" t="inlineStr">
        <is>
          <t>F15</t>
        </is>
      </c>
      <c r="C27" s="14" t="inlineStr">
        <is>
          <t>Career advancement scheme (CAS) is implemented properly</t>
        </is>
      </c>
      <c r="D27" s="15" t="inlineStr"/>
      <c r="E27" s="15">
        <f>IFERROR(ROUND(D27/5*100,1),"")</f>
        <v/>
      </c>
      <c r="F27" s="15" t="n">
        <v>3.5</v>
      </c>
      <c r="G27" s="15">
        <f>IFERROR(ROUND(D27-F27,2),"")</f>
        <v/>
      </c>
      <c r="H27" s="14" t="inlineStr"/>
    </row>
    <row r="28" ht="22" customHeight="1"/>
    <row r="29" ht="24" customHeight="1">
      <c r="B29" s="45" t="inlineStr">
        <is>
          <t>D. INFRASTRUCTURE &amp; SUPPORT</t>
        </is>
      </c>
    </row>
    <row r="30" ht="22" customHeight="1">
      <c r="B30" s="46" t="inlineStr">
        <is>
          <t>Q.</t>
        </is>
      </c>
      <c r="C30" s="46" t="inlineStr">
        <is>
          <t>Feedback Statement</t>
        </is>
      </c>
      <c r="D30" s="46" t="inlineStr">
        <is>
          <t>Avg
Rating</t>
        </is>
      </c>
      <c r="E30" s="46" t="inlineStr">
        <is>
          <t>Satisfaction
%</t>
        </is>
      </c>
      <c r="F30" s="46" t="inlineStr">
        <is>
          <t>Target
(≥3.5)</t>
        </is>
      </c>
      <c r="G30" s="46" t="inlineStr">
        <is>
          <t>Gap</t>
        </is>
      </c>
      <c r="H30" s="46" t="inlineStr">
        <is>
          <t>Priority
Action</t>
        </is>
      </c>
    </row>
    <row r="31" ht="22" customHeight="1">
      <c r="B31" s="47" t="inlineStr">
        <is>
          <t>F16</t>
        </is>
      </c>
      <c r="C31" s="48" t="inlineStr">
        <is>
          <t>Teaching infrastructure (classrooms, boards, AV aids) is adequate</t>
        </is>
      </c>
      <c r="D31" s="49" t="inlineStr"/>
      <c r="E31" s="49">
        <f>IFERROR(ROUND(D31/5*100,1),"")</f>
        <v/>
      </c>
      <c r="F31" s="49" t="n">
        <v>3.5</v>
      </c>
      <c r="G31" s="49">
        <f>IFERROR(ROUND(D31-F31,2),"")</f>
        <v/>
      </c>
      <c r="H31" s="48" t="inlineStr"/>
    </row>
    <row r="32" ht="22" customHeight="1">
      <c r="B32" s="4" t="inlineStr">
        <is>
          <t>F17</t>
        </is>
      </c>
      <c r="C32" s="5" t="inlineStr">
        <is>
          <t>Faculty common room / staff room facilities are satisfactory</t>
        </is>
      </c>
      <c r="D32" s="6" t="inlineStr"/>
      <c r="E32" s="6">
        <f>IFERROR(ROUND(D32/5*100,1),"")</f>
        <v/>
      </c>
      <c r="F32" s="6" t="n">
        <v>3.5</v>
      </c>
      <c r="G32" s="6">
        <f>IFERROR(ROUND(D32-F32,2),"")</f>
        <v/>
      </c>
      <c r="H32" s="5" t="inlineStr"/>
    </row>
    <row r="33" ht="22" customHeight="1">
      <c r="B33" s="47" t="inlineStr">
        <is>
          <t>F18</t>
        </is>
      </c>
      <c r="C33" s="48" t="inlineStr">
        <is>
          <t>IT support and internet connectivity is reliable</t>
        </is>
      </c>
      <c r="D33" s="49" t="inlineStr"/>
      <c r="E33" s="49">
        <f>IFERROR(ROUND(D33/5*100,1),"")</f>
        <v/>
      </c>
      <c r="F33" s="49" t="n">
        <v>3.5</v>
      </c>
      <c r="G33" s="49">
        <f>IFERROR(ROUND(D33-F33,2),"")</f>
        <v/>
      </c>
      <c r="H33" s="48" t="inlineStr"/>
    </row>
    <row r="34" ht="22" customHeight="1">
      <c r="B34" s="4" t="inlineStr">
        <is>
          <t>F19</t>
        </is>
      </c>
      <c r="C34" s="5" t="inlineStr">
        <is>
          <t>Administrative support (typist, library, labs) is adequate</t>
        </is>
      </c>
      <c r="D34" s="6" t="inlineStr"/>
      <c r="E34" s="6">
        <f>IFERROR(ROUND(D34/5*100,1),"")</f>
        <v/>
      </c>
      <c r="F34" s="6" t="n">
        <v>3.5</v>
      </c>
      <c r="G34" s="6">
        <f>IFERROR(ROUND(D34-F34,2),"")</f>
        <v/>
      </c>
      <c r="H34" s="5" t="inlineStr"/>
    </row>
    <row r="35" ht="22" customHeight="1">
      <c r="B35" s="47" t="inlineStr">
        <is>
          <t>F20</t>
        </is>
      </c>
      <c r="C35" s="48" t="inlineStr">
        <is>
          <t>Safety and well-being measures on campus are effective</t>
        </is>
      </c>
      <c r="D35" s="49" t="inlineStr"/>
      <c r="E35" s="49">
        <f>IFERROR(ROUND(D35/5*100,1),"")</f>
        <v/>
      </c>
      <c r="F35" s="49" t="n">
        <v>3.5</v>
      </c>
      <c r="G35" s="49">
        <f>IFERROR(ROUND(D35-F35,2),"")</f>
        <v/>
      </c>
      <c r="H35" s="48" t="inlineStr"/>
    </row>
    <row r="36" ht="22" customHeight="1"/>
    <row r="37" ht="24" customHeight="1">
      <c r="B37" s="40" t="inlineStr">
        <is>
          <t>E. GOVERNANCE &amp; LEADERSHIP</t>
        </is>
      </c>
    </row>
    <row r="38" ht="22" customHeight="1">
      <c r="B38" s="41" t="inlineStr">
        <is>
          <t>Q.</t>
        </is>
      </c>
      <c r="C38" s="41" t="inlineStr">
        <is>
          <t>Feedback Statement</t>
        </is>
      </c>
      <c r="D38" s="41" t="inlineStr">
        <is>
          <t>Avg
Rating</t>
        </is>
      </c>
      <c r="E38" s="41" t="inlineStr">
        <is>
          <t>Satisfaction
%</t>
        </is>
      </c>
      <c r="F38" s="41" t="inlineStr">
        <is>
          <t>Target
(≥3.5)</t>
        </is>
      </c>
      <c r="G38" s="41" t="inlineStr">
        <is>
          <t>Gap</t>
        </is>
      </c>
      <c r="H38" s="41" t="inlineStr">
        <is>
          <t>Priority
Action</t>
        </is>
      </c>
    </row>
    <row r="39" ht="22" customHeight="1">
      <c r="B39" s="42" t="inlineStr">
        <is>
          <t>F21</t>
        </is>
      </c>
      <c r="C39" s="43" t="inlineStr">
        <is>
          <t>Leadership provides clear direction and institutional vision</t>
        </is>
      </c>
      <c r="D39" s="44" t="inlineStr"/>
      <c r="E39" s="44">
        <f>IFERROR(ROUND(D39/5*100,1),"")</f>
        <v/>
      </c>
      <c r="F39" s="44" t="n">
        <v>3.5</v>
      </c>
      <c r="G39" s="44">
        <f>IFERROR(ROUND(D39-F39,2),"")</f>
        <v/>
      </c>
      <c r="H39" s="43" t="inlineStr"/>
    </row>
    <row r="40" ht="22" customHeight="1">
      <c r="B40" s="4" t="inlineStr">
        <is>
          <t>F22</t>
        </is>
      </c>
      <c r="C40" s="5" t="inlineStr">
        <is>
          <t>Faculty grievances are addressed promptly</t>
        </is>
      </c>
      <c r="D40" s="6" t="inlineStr"/>
      <c r="E40" s="6">
        <f>IFERROR(ROUND(D40/5*100,1),"")</f>
        <v/>
      </c>
      <c r="F40" s="6" t="n">
        <v>3.5</v>
      </c>
      <c r="G40" s="6">
        <f>IFERROR(ROUND(D40-F40,2),"")</f>
        <v/>
      </c>
      <c r="H40" s="5" t="inlineStr"/>
    </row>
    <row r="41" ht="22" customHeight="1">
      <c r="B41" s="42" t="inlineStr">
        <is>
          <t>F23</t>
        </is>
      </c>
      <c r="C41" s="43" t="inlineStr">
        <is>
          <t>Decisions are made in a transparent and consultative manner</t>
        </is>
      </c>
      <c r="D41" s="44" t="inlineStr"/>
      <c r="E41" s="44">
        <f>IFERROR(ROUND(D41/5*100,1),"")</f>
        <v/>
      </c>
      <c r="F41" s="44" t="n">
        <v>3.5</v>
      </c>
      <c r="G41" s="44">
        <f>IFERROR(ROUND(D41-F41,2),"")</f>
        <v/>
      </c>
      <c r="H41" s="43" t="inlineStr"/>
    </row>
    <row r="42" ht="22" customHeight="1">
      <c r="B42" s="4" t="inlineStr">
        <is>
          <t>F24</t>
        </is>
      </c>
      <c r="C42" s="5" t="inlineStr">
        <is>
          <t>Recognition for good work is provided</t>
        </is>
      </c>
      <c r="D42" s="6" t="inlineStr"/>
      <c r="E42" s="6">
        <f>IFERROR(ROUND(D42/5*100,1),"")</f>
        <v/>
      </c>
      <c r="F42" s="6" t="n">
        <v>3.5</v>
      </c>
      <c r="G42" s="6">
        <f>IFERROR(ROUND(D42-F42,2),"")</f>
        <v/>
      </c>
      <c r="H42" s="5" t="inlineStr"/>
    </row>
    <row r="43" ht="22" customHeight="1">
      <c r="B43" s="42" t="inlineStr">
        <is>
          <t>F25</t>
        </is>
      </c>
      <c r="C43" s="43" t="inlineStr">
        <is>
          <t>Overall satisfaction with working at this institution</t>
        </is>
      </c>
      <c r="D43" s="44" t="inlineStr"/>
      <c r="E43" s="44">
        <f>IFERROR(ROUND(D43/5*100,1),"")</f>
        <v/>
      </c>
      <c r="F43" s="44" t="n">
        <v>3.5</v>
      </c>
      <c r="G43" s="44">
        <f>IFERROR(ROUND(D43-F43,2),"")</f>
        <v/>
      </c>
      <c r="H43" s="43" t="inlineStr"/>
    </row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8">
    <mergeCell ref="B13:H13"/>
    <mergeCell ref="B4:H4"/>
    <mergeCell ref="B21:H21"/>
    <mergeCell ref="B2:H2"/>
    <mergeCell ref="B29:H29"/>
    <mergeCell ref="B3:H3"/>
    <mergeCell ref="B5:H5"/>
    <mergeCell ref="B37:H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IQ-08: EMPLOYER &amp; ALUMNI FEEDBACK SURVEY — CONSOLIDATED REPORT</t>
        </is>
      </c>
    </row>
    <row r="3" ht="25" customHeight="1">
      <c r="B3" s="2" t="inlineStr">
        <is>
          <t>A.Y.: _______  Employer Respondents: _______  Alumni Respondents: _______  Date: _______</t>
        </is>
      </c>
    </row>
    <row r="4" ht="24" customHeight="1">
      <c r="B4" s="60" t="inlineStr">
        <is>
          <t>SECTION A — EMPLOYER FEEDBACK (on Graduate Competencies)</t>
        </is>
      </c>
    </row>
    <row r="5" ht="22" customHeight="1">
      <c r="B5" s="23" t="inlineStr">
        <is>
          <t>Q.</t>
        </is>
      </c>
      <c r="C5" s="23" t="inlineStr">
        <is>
          <t>Feedback Parameter</t>
        </is>
      </c>
      <c r="D5" s="23" t="inlineStr">
        <is>
          <t>PO
Linked</t>
        </is>
      </c>
      <c r="E5" s="23" t="inlineStr">
        <is>
          <t>Avg Rating
(1–5)</t>
        </is>
      </c>
      <c r="F5" s="23" t="inlineStr">
        <is>
          <t>Importance
(H/M/L)</t>
        </is>
      </c>
      <c r="G5" s="23" t="inlineStr">
        <is>
          <t>Gap Area</t>
        </is>
      </c>
      <c r="H5" s="23" t="inlineStr">
        <is>
          <t>Recommended
Improvement</t>
        </is>
      </c>
    </row>
    <row r="6" ht="22" customHeight="1">
      <c r="B6" s="61" t="inlineStr">
        <is>
          <t>E1</t>
        </is>
      </c>
      <c r="C6" s="62" t="inlineStr">
        <is>
          <t>Technical / domain knowledge</t>
        </is>
      </c>
      <c r="D6" s="63" t="inlineStr">
        <is>
          <t>PO1</t>
        </is>
      </c>
      <c r="E6" s="63" t="inlineStr"/>
      <c r="F6" s="63" t="inlineStr">
        <is>
          <t>H</t>
        </is>
      </c>
      <c r="G6" s="62" t="inlineStr"/>
      <c r="H6" s="62" t="inlineStr"/>
    </row>
    <row r="7" ht="22" customHeight="1">
      <c r="B7" s="4" t="inlineStr">
        <is>
          <t>E2</t>
        </is>
      </c>
      <c r="C7" s="5" t="inlineStr">
        <is>
          <t>Problem-solving &amp; analytical ability</t>
        </is>
      </c>
      <c r="D7" s="6" t="inlineStr">
        <is>
          <t>PO2</t>
        </is>
      </c>
      <c r="E7" s="6" t="inlineStr"/>
      <c r="F7" s="6" t="inlineStr">
        <is>
          <t>H</t>
        </is>
      </c>
      <c r="G7" s="5" t="inlineStr"/>
      <c r="H7" s="5" t="inlineStr"/>
    </row>
    <row r="8" ht="22" customHeight="1">
      <c r="B8" s="61" t="inlineStr">
        <is>
          <t>E3</t>
        </is>
      </c>
      <c r="C8" s="62" t="inlineStr">
        <is>
          <t>Design &amp; systems thinking</t>
        </is>
      </c>
      <c r="D8" s="63" t="inlineStr">
        <is>
          <t>PO3</t>
        </is>
      </c>
      <c r="E8" s="63" t="inlineStr"/>
      <c r="F8" s="63" t="inlineStr">
        <is>
          <t>H</t>
        </is>
      </c>
      <c r="G8" s="62" t="inlineStr"/>
      <c r="H8" s="62" t="inlineStr"/>
    </row>
    <row r="9" ht="22" customHeight="1">
      <c r="B9" s="4" t="inlineStr">
        <is>
          <t>E4</t>
        </is>
      </c>
      <c r="C9" s="5" t="inlineStr">
        <is>
          <t>Laboratory / practical skills</t>
        </is>
      </c>
      <c r="D9" s="6" t="inlineStr">
        <is>
          <t>PO5</t>
        </is>
      </c>
      <c r="E9" s="6" t="inlineStr"/>
      <c r="F9" s="6" t="inlineStr">
        <is>
          <t>H</t>
        </is>
      </c>
      <c r="G9" s="5" t="inlineStr"/>
      <c r="H9" s="5" t="inlineStr"/>
    </row>
    <row r="10" ht="22" customHeight="1">
      <c r="B10" s="61" t="inlineStr">
        <is>
          <t>E5</t>
        </is>
      </c>
      <c r="C10" s="62" t="inlineStr">
        <is>
          <t>Communication skills (verbal/written)</t>
        </is>
      </c>
      <c r="D10" s="63" t="inlineStr">
        <is>
          <t>PO10</t>
        </is>
      </c>
      <c r="E10" s="63" t="inlineStr"/>
      <c r="F10" s="63" t="inlineStr">
        <is>
          <t>H</t>
        </is>
      </c>
      <c r="G10" s="62" t="inlineStr"/>
      <c r="H10" s="62" t="inlineStr"/>
    </row>
    <row r="11" ht="22" customHeight="1">
      <c r="B11" s="4" t="inlineStr">
        <is>
          <t>E6</t>
        </is>
      </c>
      <c r="C11" s="5" t="inlineStr">
        <is>
          <t>Teamwork &amp; collaboration</t>
        </is>
      </c>
      <c r="D11" s="6" t="inlineStr">
        <is>
          <t>PO9</t>
        </is>
      </c>
      <c r="E11" s="6" t="inlineStr"/>
      <c r="F11" s="6" t="inlineStr">
        <is>
          <t>H</t>
        </is>
      </c>
      <c r="G11" s="5" t="inlineStr"/>
      <c r="H11" s="5" t="inlineStr"/>
    </row>
    <row r="12" ht="22" customHeight="1">
      <c r="B12" s="61" t="inlineStr">
        <is>
          <t>E7</t>
        </is>
      </c>
      <c r="C12" s="62" t="inlineStr">
        <is>
          <t>Professional ethics &amp; conduct</t>
        </is>
      </c>
      <c r="D12" s="63" t="inlineStr">
        <is>
          <t>PO8</t>
        </is>
      </c>
      <c r="E12" s="63" t="inlineStr"/>
      <c r="F12" s="63" t="inlineStr">
        <is>
          <t>H</t>
        </is>
      </c>
      <c r="G12" s="62" t="inlineStr"/>
      <c r="H12" s="62" t="inlineStr"/>
    </row>
    <row r="13" ht="22" customHeight="1">
      <c r="B13" s="4" t="inlineStr">
        <is>
          <t>E8</t>
        </is>
      </c>
      <c r="C13" s="5" t="inlineStr">
        <is>
          <t>Adaptability &amp; lifelong learning</t>
        </is>
      </c>
      <c r="D13" s="6" t="inlineStr">
        <is>
          <t>PO12</t>
        </is>
      </c>
      <c r="E13" s="6" t="inlineStr"/>
      <c r="F13" s="6" t="inlineStr">
        <is>
          <t>H</t>
        </is>
      </c>
      <c r="G13" s="5" t="inlineStr"/>
      <c r="H13" s="5" t="inlineStr"/>
    </row>
    <row r="14" ht="22" customHeight="1">
      <c r="B14" s="61" t="inlineStr">
        <is>
          <t>E9</t>
        </is>
      </c>
      <c r="C14" s="62" t="inlineStr">
        <is>
          <t>Digital / IT literacy</t>
        </is>
      </c>
      <c r="D14" s="63" t="inlineStr">
        <is>
          <t>PO5</t>
        </is>
      </c>
      <c r="E14" s="63" t="inlineStr"/>
      <c r="F14" s="63" t="inlineStr">
        <is>
          <t>H</t>
        </is>
      </c>
      <c r="G14" s="62" t="inlineStr"/>
      <c r="H14" s="62" t="inlineStr"/>
    </row>
    <row r="15" ht="22" customHeight="1">
      <c r="B15" s="4" t="inlineStr">
        <is>
          <t>E10</t>
        </is>
      </c>
      <c r="C15" s="5" t="inlineStr">
        <is>
          <t>Overall employability readiness</t>
        </is>
      </c>
      <c r="D15" s="6" t="inlineStr">
        <is>
          <t>All POs</t>
        </is>
      </c>
      <c r="E15" s="6" t="inlineStr"/>
      <c r="F15" s="6" t="inlineStr">
        <is>
          <t>H</t>
        </is>
      </c>
      <c r="G15" s="5" t="inlineStr"/>
      <c r="H15" s="5" t="inlineStr"/>
    </row>
    <row r="16" ht="22" customHeight="1"/>
    <row r="17" ht="24" customHeight="1">
      <c r="B17" s="18" t="inlineStr">
        <is>
          <t>SECTION B — ALUMNI FEEDBACK (on Programme Effectiveness)</t>
        </is>
      </c>
    </row>
    <row r="18" ht="22" customHeight="1">
      <c r="B18" s="12" t="inlineStr">
        <is>
          <t>Q.</t>
        </is>
      </c>
      <c r="C18" s="12" t="inlineStr">
        <is>
          <t>Feedback Parameter</t>
        </is>
      </c>
      <c r="D18" s="12" t="inlineStr">
        <is>
          <t>PO
Linked</t>
        </is>
      </c>
      <c r="E18" s="12" t="inlineStr">
        <is>
          <t>Avg Rating
(1–5)</t>
        </is>
      </c>
      <c r="F18" s="12" t="inlineStr">
        <is>
          <t>Importance
(H/M/L)</t>
        </is>
      </c>
      <c r="G18" s="12" t="inlineStr">
        <is>
          <t>Gap Area</t>
        </is>
      </c>
      <c r="H18" s="12" t="inlineStr">
        <is>
          <t>Recommended
Improvement</t>
        </is>
      </c>
    </row>
    <row r="19" ht="22" customHeight="1">
      <c r="B19" s="13" t="inlineStr">
        <is>
          <t>A1</t>
        </is>
      </c>
      <c r="C19" s="14" t="inlineStr">
        <is>
          <t>Curriculum relevance to current industry needs</t>
        </is>
      </c>
      <c r="D19" s="15" t="inlineStr">
        <is>
          <t>PO1</t>
        </is>
      </c>
      <c r="E19" s="15" t="inlineStr"/>
      <c r="F19" s="15" t="inlineStr">
        <is>
          <t>H</t>
        </is>
      </c>
      <c r="G19" s="14" t="inlineStr"/>
      <c r="H19" s="14" t="inlineStr"/>
    </row>
    <row r="20" ht="22" customHeight="1">
      <c r="B20" s="4" t="inlineStr">
        <is>
          <t>A2</t>
        </is>
      </c>
      <c r="C20" s="5" t="inlineStr">
        <is>
          <t>Quality of practical / laboratory training</t>
        </is>
      </c>
      <c r="D20" s="6" t="inlineStr">
        <is>
          <t>PO5</t>
        </is>
      </c>
      <c r="E20" s="6" t="inlineStr"/>
      <c r="F20" s="6" t="inlineStr">
        <is>
          <t>H</t>
        </is>
      </c>
      <c r="G20" s="5" t="inlineStr"/>
      <c r="H20" s="5" t="inlineStr"/>
    </row>
    <row r="21" ht="22" customHeight="1">
      <c r="B21" s="13" t="inlineStr">
        <is>
          <t>A3</t>
        </is>
      </c>
      <c r="C21" s="14" t="inlineStr">
        <is>
          <t>Research &amp; innovation exposure during programme</t>
        </is>
      </c>
      <c r="D21" s="15" t="inlineStr">
        <is>
          <t>PO4</t>
        </is>
      </c>
      <c r="E21" s="15" t="inlineStr"/>
      <c r="F21" s="15" t="inlineStr">
        <is>
          <t>H</t>
        </is>
      </c>
      <c r="G21" s="14" t="inlineStr"/>
      <c r="H21" s="14" t="inlineStr"/>
    </row>
    <row r="22" ht="22" customHeight="1">
      <c r="B22" s="4" t="inlineStr">
        <is>
          <t>A4</t>
        </is>
      </c>
      <c r="C22" s="5" t="inlineStr">
        <is>
          <t>Career guidance and placement support</t>
        </is>
      </c>
      <c r="D22" s="6" t="inlineStr">
        <is>
          <t>PO10</t>
        </is>
      </c>
      <c r="E22" s="6" t="inlineStr"/>
      <c r="F22" s="6" t="inlineStr">
        <is>
          <t>H</t>
        </is>
      </c>
      <c r="G22" s="5" t="inlineStr"/>
      <c r="H22" s="5" t="inlineStr"/>
    </row>
    <row r="23" ht="22" customHeight="1">
      <c r="B23" s="13" t="inlineStr">
        <is>
          <t>A5</t>
        </is>
      </c>
      <c r="C23" s="14" t="inlineStr">
        <is>
          <t>Communication and soft-skills development</t>
        </is>
      </c>
      <c r="D23" s="15" t="inlineStr">
        <is>
          <t>PO10</t>
        </is>
      </c>
      <c r="E23" s="15" t="inlineStr"/>
      <c r="F23" s="15" t="inlineStr">
        <is>
          <t>H</t>
        </is>
      </c>
      <c r="G23" s="14" t="inlineStr"/>
      <c r="H23" s="14" t="inlineStr"/>
    </row>
    <row r="24" ht="22" customHeight="1">
      <c r="B24" s="4" t="inlineStr">
        <is>
          <t>A6</t>
        </is>
      </c>
      <c r="C24" s="5" t="inlineStr">
        <is>
          <t>Ethical and professional values inculcated</t>
        </is>
      </c>
      <c r="D24" s="6" t="inlineStr">
        <is>
          <t>PO8</t>
        </is>
      </c>
      <c r="E24" s="6" t="inlineStr"/>
      <c r="F24" s="6" t="inlineStr">
        <is>
          <t>H</t>
        </is>
      </c>
      <c r="G24" s="5" t="inlineStr"/>
      <c r="H24" s="5" t="inlineStr"/>
    </row>
    <row r="25" ht="22" customHeight="1">
      <c r="B25" s="13" t="inlineStr">
        <is>
          <t>A7</t>
        </is>
      </c>
      <c r="C25" s="14" t="inlineStr">
        <is>
          <t>Overall preparedness for career / higher studies</t>
        </is>
      </c>
      <c r="D25" s="15" t="inlineStr">
        <is>
          <t>All POs</t>
        </is>
      </c>
      <c r="E25" s="15" t="inlineStr"/>
      <c r="F25" s="15" t="inlineStr">
        <is>
          <t>H</t>
        </is>
      </c>
      <c r="G25" s="14" t="inlineStr"/>
      <c r="H25" s="14" t="inlineStr"/>
    </row>
    <row r="26" ht="22" customHeight="1">
      <c r="B26" s="4" t="inlineStr">
        <is>
          <t>A8</t>
        </is>
      </c>
      <c r="C26" s="5" t="inlineStr">
        <is>
          <t>Areas that need improvement (open feedback)</t>
        </is>
      </c>
      <c r="D26" s="6" t="inlineStr">
        <is>
          <t>—</t>
        </is>
      </c>
      <c r="E26" s="6" t="inlineStr"/>
      <c r="F26" s="6" t="inlineStr">
        <is>
          <t>H</t>
        </is>
      </c>
      <c r="G26" s="5" t="inlineStr"/>
      <c r="H26" s="5" t="inlineStr"/>
    </row>
    <row r="27" ht="22" customHeight="1"/>
    <row r="28" ht="24" customHeight="1">
      <c r="B28" s="59" t="inlineStr">
        <is>
          <t>COMBINED FEEDBACK SUMMARY &amp; IQAC RECOMMENDATIONS</t>
        </is>
      </c>
    </row>
    <row r="29" ht="22" customHeight="1">
      <c r="B29" s="12" t="inlineStr">
        <is>
          <t>Area</t>
        </is>
      </c>
      <c r="C29" s="12" t="inlineStr">
        <is>
          <t>Employer Avg Score</t>
        </is>
      </c>
      <c r="D29" s="12" t="inlineStr">
        <is>
          <t>Alumni Avg Score</t>
        </is>
      </c>
      <c r="E29" s="12" t="inlineStr">
        <is>
          <t>Combined Avg</t>
        </is>
      </c>
      <c r="F29" s="12" t="inlineStr">
        <is>
          <t>Benchmark
(≥3.5)</t>
        </is>
      </c>
      <c r="G29" s="12" t="inlineStr">
        <is>
          <t>Status</t>
        </is>
      </c>
      <c r="H29" s="12" t="inlineStr">
        <is>
          <t>IQAC Action Recommended</t>
        </is>
      </c>
    </row>
    <row r="30" ht="22" customHeight="1">
      <c r="B30" s="24" t="inlineStr">
        <is>
          <t>Technical Competency</t>
        </is>
      </c>
      <c r="C30" s="15" t="inlineStr"/>
      <c r="D30" s="15" t="inlineStr"/>
      <c r="E30" s="15">
        <f>IFERROR(ROUND((C30+D30)/2,2),"")</f>
        <v/>
      </c>
      <c r="F30" s="15" t="n">
        <v>3.5</v>
      </c>
      <c r="G30" s="15">
        <f>IFERROR(IF(E30&gt;=3.5,"Good","Needs Attention"),"")</f>
        <v/>
      </c>
      <c r="H30" s="14" t="inlineStr"/>
    </row>
    <row r="31" ht="22" customHeight="1">
      <c r="B31" s="26" t="inlineStr">
        <is>
          <t>Soft Skills</t>
        </is>
      </c>
      <c r="C31" s="6" t="inlineStr"/>
      <c r="D31" s="6" t="inlineStr"/>
      <c r="E31" s="6">
        <f>IFERROR(ROUND((C31+D31)/2,2),"")</f>
        <v/>
      </c>
      <c r="F31" s="6" t="n">
        <v>3.5</v>
      </c>
      <c r="G31" s="6">
        <f>IFERROR(IF(E31&gt;=3.5,"Good","Needs Attention"),"")</f>
        <v/>
      </c>
      <c r="H31" s="5" t="inlineStr"/>
    </row>
    <row r="32" ht="22" customHeight="1">
      <c r="B32" s="24" t="inlineStr">
        <is>
          <t>Ethics &amp; Professionalism</t>
        </is>
      </c>
      <c r="C32" s="15" t="inlineStr"/>
      <c r="D32" s="15" t="inlineStr"/>
      <c r="E32" s="15">
        <f>IFERROR(ROUND((C32+D32)/2,2),"")</f>
        <v/>
      </c>
      <c r="F32" s="15" t="n">
        <v>3.5</v>
      </c>
      <c r="G32" s="15">
        <f>IFERROR(IF(E32&gt;=3.5,"Good","Needs Attention"),"")</f>
        <v/>
      </c>
      <c r="H32" s="14" t="inlineStr"/>
    </row>
    <row r="33" ht="22" customHeight="1">
      <c r="B33" s="26" t="inlineStr">
        <is>
          <t>Research Exposure</t>
        </is>
      </c>
      <c r="C33" s="6" t="inlineStr"/>
      <c r="D33" s="6" t="inlineStr"/>
      <c r="E33" s="6">
        <f>IFERROR(ROUND((C33+D33)/2,2),"")</f>
        <v/>
      </c>
      <c r="F33" s="6" t="n">
        <v>3.5</v>
      </c>
      <c r="G33" s="6">
        <f>IFERROR(IF(E33&gt;=3.5,"Good","Needs Attention"),"")</f>
        <v/>
      </c>
      <c r="H33" s="5" t="inlineStr"/>
    </row>
    <row r="34" ht="22" customHeight="1">
      <c r="B34" s="24" t="inlineStr">
        <is>
          <t>Overall Employability</t>
        </is>
      </c>
      <c r="C34" s="15" t="inlineStr"/>
      <c r="D34" s="15" t="inlineStr"/>
      <c r="E34" s="15">
        <f>IFERROR(ROUND((C34+D34)/2,2),"")</f>
        <v/>
      </c>
      <c r="F34" s="15" t="n">
        <v>3.5</v>
      </c>
      <c r="G34" s="15">
        <f>IFERROR(IF(E34&gt;=3.5,"Good","Needs Attention"),"")</f>
        <v/>
      </c>
      <c r="H34" s="14" t="inlineStr"/>
    </row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5">
    <mergeCell ref="B17:H17"/>
    <mergeCell ref="B4:H4"/>
    <mergeCell ref="B2:H2"/>
    <mergeCell ref="B3:H3"/>
    <mergeCell ref="B28:H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22" customWidth="1" min="4" max="4"/>
    <col width="22" customWidth="1" min="5" max="5"/>
    <col width="3" customWidth="1" min="6" max="6"/>
  </cols>
  <sheetData>
    <row r="1" ht="10" customHeight="1"/>
    <row r="2" ht="48" customHeight="1">
      <c r="B2" s="11" t="inlineStr">
        <is>
          <t>IQ-09: BEST PRACTICES DOCUMENTATION FORM</t>
        </is>
      </c>
    </row>
    <row r="3" ht="25" customHeight="1">
      <c r="B3" s="2" t="inlineStr">
        <is>
          <t>Institution: _________________________  A.Y.: _______  NAAC Criterion Addressed: _______</t>
        </is>
      </c>
    </row>
    <row r="4" ht="35" customHeight="1">
      <c r="B4" s="17" t="inlineStr">
        <is>
          <t>Title of the Best Practice:</t>
        </is>
      </c>
      <c r="C4" s="5" t="inlineStr"/>
    </row>
    <row r="5" ht="35" customHeight="1">
      <c r="B5" s="64" t="inlineStr">
        <is>
          <t>Objectives of the Practice:</t>
        </is>
      </c>
      <c r="C5" s="5" t="inlineStr"/>
    </row>
    <row r="6" ht="35" customHeight="1">
      <c r="B6" s="17" t="inlineStr">
        <is>
          <t>The Context (Why was it needed?):</t>
        </is>
      </c>
      <c r="C6" s="5" t="inlineStr"/>
    </row>
    <row r="7" ht="35" customHeight="1">
      <c r="B7" s="64" t="inlineStr">
        <is>
          <t>The Practice (How is it implemented?):</t>
        </is>
      </c>
      <c r="C7" s="5" t="inlineStr"/>
    </row>
    <row r="8" ht="35" customHeight="1">
      <c r="B8" s="17" t="inlineStr">
        <is>
          <t>Evidence of Success (Outcomes &amp; Impact):</t>
        </is>
      </c>
      <c r="C8" s="5" t="inlineStr"/>
    </row>
    <row r="9" ht="35" customHeight="1">
      <c r="B9" s="64" t="inlineStr">
        <is>
          <t>Problems Encountered &amp; Solutions:</t>
        </is>
      </c>
      <c r="C9" s="5" t="inlineStr"/>
    </row>
    <row r="10" ht="35" customHeight="1">
      <c r="B10" s="17" t="inlineStr">
        <is>
          <t>Resources Required (Human / Financial / Physical):</t>
        </is>
      </c>
      <c r="C10" s="5" t="inlineStr"/>
    </row>
    <row r="11" ht="35" customHeight="1">
      <c r="B11" s="64" t="inlineStr">
        <is>
          <t>Adoption by Other Institutions (if any):</t>
        </is>
      </c>
      <c r="C11" s="5" t="inlineStr"/>
    </row>
    <row r="12" ht="35" customHeight="1">
      <c r="B12" s="17" t="inlineStr">
        <is>
          <t>Contact Person for Further Information:</t>
        </is>
      </c>
      <c r="C12" s="5" t="inlineStr"/>
    </row>
    <row r="13" ht="35" customHeight="1">
      <c r="B13" s="64" t="inlineStr">
        <is>
          <t>NAAC Criterion &amp; Indicator Addressed:</t>
        </is>
      </c>
      <c r="C13" s="5" t="inlineStr"/>
    </row>
    <row r="14" ht="35" customHeight="1">
      <c r="B14" s="17" t="inlineStr">
        <is>
          <t>Photographs / Evidence Attached:</t>
        </is>
      </c>
      <c r="C14" s="5" t="inlineStr">
        <is>
          <t>Y / N — Ref. No.:</t>
        </is>
      </c>
    </row>
    <row r="15" ht="35" customHeight="1">
      <c r="B15" s="64" t="inlineStr">
        <is>
          <t>Validated by IQAC on:</t>
        </is>
      </c>
      <c r="C15" s="5" t="inlineStr"/>
    </row>
    <row r="16" ht="35" customHeight="1">
      <c r="B16" s="17" t="inlineStr">
        <is>
          <t>Approved by Head of Institution on:</t>
        </is>
      </c>
      <c r="C16" s="5" t="inlineStr"/>
    </row>
    <row r="17" ht="30" customHeight="1"/>
    <row r="18" ht="24" customHeight="1">
      <c r="B18" s="60" t="inlineStr">
        <is>
          <t>BEST PRACTICES REGISTER (Institution-level Summary)</t>
        </is>
      </c>
    </row>
    <row r="19" ht="30" customHeight="1">
      <c r="B19" s="23" t="inlineStr">
        <is>
          <t>BP Ref.</t>
        </is>
      </c>
      <c r="C19" s="23" t="inlineStr">
        <is>
          <t>Title of Best Practice</t>
        </is>
      </c>
      <c r="D19" s="23" t="inlineStr">
        <is>
          <t>NAAC Criterion / Indicator</t>
        </is>
      </c>
      <c r="E19" s="23" t="inlineStr">
        <is>
          <t>Year Initiated &amp; Status</t>
        </is>
      </c>
    </row>
    <row r="20" ht="28" customHeight="1">
      <c r="B20" s="63" t="n"/>
      <c r="C20" s="63" t="n"/>
      <c r="D20" s="63" t="n"/>
      <c r="E20" s="63" t="n"/>
    </row>
    <row r="21" ht="28" customHeight="1">
      <c r="B21" s="6" t="n"/>
      <c r="C21" s="6" t="n"/>
      <c r="D21" s="6" t="n"/>
      <c r="E21" s="6" t="n"/>
    </row>
    <row r="22" ht="28" customHeight="1">
      <c r="B22" s="63" t="n"/>
      <c r="C22" s="63" t="n"/>
      <c r="D22" s="63" t="n"/>
      <c r="E22" s="63" t="n"/>
    </row>
    <row r="23" ht="28" customHeight="1">
      <c r="B23" s="6" t="n"/>
      <c r="C23" s="6" t="n"/>
      <c r="D23" s="6" t="n"/>
      <c r="E23" s="6" t="n"/>
    </row>
    <row r="24" ht="28" customHeight="1">
      <c r="B24" s="63" t="n"/>
      <c r="C24" s="63" t="n"/>
      <c r="D24" s="63" t="n"/>
      <c r="E24" s="63" t="n"/>
    </row>
    <row r="25" ht="28" customHeight="1">
      <c r="B25" s="6" t="n"/>
      <c r="C25" s="6" t="n"/>
      <c r="D25" s="6" t="n"/>
      <c r="E25" s="6" t="n"/>
    </row>
    <row r="26" ht="28" customHeight="1">
      <c r="B26" s="63" t="n"/>
      <c r="C26" s="63" t="n"/>
      <c r="D26" s="63" t="n"/>
      <c r="E26" s="63" t="n"/>
    </row>
    <row r="27" ht="28" customHeight="1">
      <c r="B27" s="6" t="n"/>
      <c r="C27" s="6" t="n"/>
      <c r="D27" s="6" t="n"/>
      <c r="E27" s="6" t="n"/>
    </row>
    <row r="28" ht="28" customHeight="1">
      <c r="B28" s="63" t="n"/>
      <c r="C28" s="63" t="n"/>
      <c r="D28" s="63" t="n"/>
      <c r="E28" s="63" t="n"/>
    </row>
    <row r="29" ht="28" customHeight="1">
      <c r="B29" s="6" t="n"/>
      <c r="C29" s="6" t="n"/>
      <c r="D29" s="6" t="n"/>
      <c r="E29" s="6" t="n"/>
    </row>
    <row r="30" ht="28" customHeight="1">
      <c r="B30" s="63" t="n"/>
      <c r="C30" s="63" t="n"/>
      <c r="D30" s="63" t="n"/>
      <c r="E30" s="63" t="n"/>
    </row>
    <row r="31" ht="28" customHeight="1">
      <c r="B31" s="6" t="n"/>
      <c r="C31" s="6" t="n"/>
      <c r="D31" s="6" t="n"/>
      <c r="E31" s="6" t="n"/>
    </row>
    <row r="32" ht="28" customHeight="1">
      <c r="B32" s="63" t="n"/>
      <c r="C32" s="63" t="n"/>
      <c r="D32" s="63" t="n"/>
      <c r="E32" s="63" t="n"/>
    </row>
    <row r="33" ht="28" customHeight="1">
      <c r="B33" s="6" t="n"/>
      <c r="C33" s="6" t="n"/>
      <c r="D33" s="6" t="n"/>
      <c r="E33" s="6" t="n"/>
    </row>
    <row r="34" ht="28" customHeight="1">
      <c r="B34" s="63" t="n"/>
      <c r="C34" s="63" t="n"/>
      <c r="D34" s="63" t="n"/>
      <c r="E34" s="63" t="n"/>
    </row>
    <row r="35" ht="28" customHeight="1">
      <c r="B35" s="6" t="n"/>
      <c r="C35" s="6" t="n"/>
      <c r="D35" s="6" t="n"/>
      <c r="E35" s="6" t="n"/>
    </row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</sheetData>
  <mergeCells count="16">
    <mergeCell ref="C16:E16"/>
    <mergeCell ref="B18:E18"/>
    <mergeCell ref="C11:E11"/>
    <mergeCell ref="C14:E14"/>
    <mergeCell ref="C5:E5"/>
    <mergeCell ref="C13:E13"/>
    <mergeCell ref="C15:E15"/>
    <mergeCell ref="C8:E8"/>
    <mergeCell ref="C9:E9"/>
    <mergeCell ref="C4:E4"/>
    <mergeCell ref="B3:E3"/>
    <mergeCell ref="B2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40" customWidth="1" min="3" max="3"/>
    <col width="22" customWidth="1" min="4" max="4"/>
    <col width="22" customWidth="1" min="5" max="5"/>
    <col width="3" customWidth="1" min="6" max="6"/>
  </cols>
  <sheetData>
    <row r="1" ht="10" customHeight="1"/>
    <row r="2" ht="48" customHeight="1">
      <c r="B2" s="11" t="inlineStr">
        <is>
          <t>IQ-10: INSTITUTIONAL DISTINCTIVENESS REGISTER</t>
        </is>
      </c>
    </row>
    <row r="3" ht="25" customHeight="1">
      <c r="B3" s="2" t="inlineStr">
        <is>
          <t>Institution: _________________________  A.Y.: _______  IQAC Reference: NAAC Criterion 7.3</t>
        </is>
      </c>
    </row>
    <row r="4" ht="32" customHeight="1">
      <c r="B4" s="17" t="inlineStr">
        <is>
          <t>Title of Distinctive Feature / Strength:</t>
        </is>
      </c>
      <c r="C4" s="5" t="inlineStr"/>
    </row>
    <row r="5" ht="32" customHeight="1">
      <c r="B5" s="64" t="inlineStr">
        <is>
          <t>Area / Domain (Academic / Research / Social / Cultural / Other):</t>
        </is>
      </c>
      <c r="C5" s="5" t="inlineStr"/>
    </row>
    <row r="6" ht="32" customHeight="1">
      <c r="B6" s="17" t="inlineStr">
        <is>
          <t>Description (in 500 words for SAR):</t>
        </is>
      </c>
      <c r="C6" s="5" t="inlineStr"/>
    </row>
    <row r="7" ht="32" customHeight="1">
      <c r="B7" s="64" t="inlineStr">
        <is>
          <t>Origin / History (When was it established?):</t>
        </is>
      </c>
      <c r="C7" s="5" t="inlineStr"/>
    </row>
    <row r="8" ht="32" customHeight="1">
      <c r="B8" s="17" t="inlineStr">
        <is>
          <t>Unique aspects compared to peer institutions:</t>
        </is>
      </c>
      <c r="C8" s="5" t="inlineStr"/>
    </row>
    <row r="9" ht="32" customHeight="1">
      <c r="B9" s="64" t="inlineStr">
        <is>
          <t>Evidence of impact (metrics, beneficiaries, reach):</t>
        </is>
      </c>
      <c r="C9" s="5" t="inlineStr"/>
    </row>
    <row r="10" ht="32" customHeight="1">
      <c r="B10" s="17" t="inlineStr">
        <is>
          <t>National / International Recognition received:</t>
        </is>
      </c>
      <c r="C10" s="5" t="inlineStr"/>
    </row>
    <row r="11" ht="32" customHeight="1">
      <c r="B11" s="64" t="inlineStr">
        <is>
          <t>Contribution to regional / national development:</t>
        </is>
      </c>
      <c r="C11" s="5" t="inlineStr"/>
    </row>
    <row r="12" ht="32" customHeight="1">
      <c r="B12" s="17" t="inlineStr">
        <is>
          <t>Plans for strengthening / sustaining this feature:</t>
        </is>
      </c>
      <c r="C12" s="5" t="inlineStr"/>
    </row>
    <row r="13" ht="32" customHeight="1">
      <c r="B13" s="64" t="inlineStr">
        <is>
          <t>Supporting documents / evidence attached:</t>
        </is>
      </c>
      <c r="C13" s="5" t="inlineStr"/>
    </row>
    <row r="14" ht="32" customHeight="1">
      <c r="B14" s="17" t="inlineStr">
        <is>
          <t>Validated by IQAC on:</t>
        </is>
      </c>
      <c r="C14" s="5" t="inlineStr"/>
    </row>
    <row r="15" ht="32" customHeight="1">
      <c r="B15" s="64" t="inlineStr">
        <is>
          <t>Approved by Head of Institution on:</t>
        </is>
      </c>
      <c r="C15" s="5" t="inlineStr"/>
    </row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</sheetData>
  <mergeCells count="14">
    <mergeCell ref="C11:E11"/>
    <mergeCell ref="C14:E14"/>
    <mergeCell ref="C5:E5"/>
    <mergeCell ref="C13:E13"/>
    <mergeCell ref="C15:E15"/>
    <mergeCell ref="C8:E8"/>
    <mergeCell ref="C9:E9"/>
    <mergeCell ref="C4:E4"/>
    <mergeCell ref="B3:E3"/>
    <mergeCell ref="B2:E2"/>
    <mergeCell ref="C7:E7"/>
    <mergeCell ref="C12:E12"/>
    <mergeCell ref="C6:E6"/>
    <mergeCell ref="C10:E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IQ-11: TEACHING-LEARNING QUALITY AUDIT — SEMESTER-WISE</t>
        </is>
      </c>
    </row>
    <row r="3" ht="25" customHeight="1">
      <c r="B3" s="2" t="inlineStr">
        <is>
          <t>Semester: _______  A.Y.: _______  Audited by IQAC on: _______  Departments Covered: All</t>
        </is>
      </c>
    </row>
    <row r="4" ht="24" customHeight="1">
      <c r="B4" s="19" t="inlineStr">
        <is>
          <t>PART A — COURSE FILE &amp; CO ATTAINMENT AUDIT</t>
        </is>
      </c>
    </row>
    <row r="5" ht="22" customHeight="1">
      <c r="B5" s="20" t="inlineStr">
        <is>
          <t>Dept.</t>
        </is>
      </c>
      <c r="C5" s="20" t="inlineStr">
        <is>
          <t>No. of
Courses</t>
        </is>
      </c>
      <c r="D5" s="20" t="inlineStr">
        <is>
          <t>Course Files
Maintained (%)</t>
        </is>
      </c>
      <c r="E5" s="20" t="inlineStr">
        <is>
          <t>CO-PO Mapping
Completed (%)</t>
        </is>
      </c>
      <c r="F5" s="20" t="inlineStr">
        <is>
          <t>CO Attainment
Computed (%)</t>
        </is>
      </c>
      <c r="G5" s="20" t="inlineStr">
        <is>
          <t>Target
CO Level Met (%)</t>
        </is>
      </c>
      <c r="H5" s="20" t="inlineStr">
        <is>
          <t>Course Exit
Survey Done (%)</t>
        </is>
      </c>
      <c r="I5" s="20" t="inlineStr">
        <is>
          <t>IQAC Remarks</t>
        </is>
      </c>
    </row>
    <row r="6" ht="22" customHeight="1">
      <c r="B6" s="28" t="inlineStr">
        <is>
          <t>CSE</t>
        </is>
      </c>
      <c r="C6" s="21" t="inlineStr"/>
      <c r="D6" s="21" t="inlineStr"/>
      <c r="E6" s="21" t="inlineStr"/>
      <c r="F6" s="21" t="inlineStr"/>
      <c r="G6" s="21" t="inlineStr"/>
      <c r="H6" s="21" t="inlineStr"/>
      <c r="I6" s="29" t="inlineStr"/>
    </row>
    <row r="7" ht="22" customHeight="1">
      <c r="B7" s="4" t="inlineStr">
        <is>
          <t>ECE</t>
        </is>
      </c>
      <c r="C7" s="6" t="inlineStr"/>
      <c r="D7" s="6" t="inlineStr"/>
      <c r="E7" s="6" t="inlineStr"/>
      <c r="F7" s="6" t="inlineStr"/>
      <c r="G7" s="6" t="inlineStr"/>
      <c r="H7" s="6" t="inlineStr"/>
      <c r="I7" s="5" t="inlineStr"/>
    </row>
    <row r="8" ht="22" customHeight="1">
      <c r="B8" s="28" t="inlineStr">
        <is>
          <t>EEE</t>
        </is>
      </c>
      <c r="C8" s="21" t="inlineStr"/>
      <c r="D8" s="21" t="inlineStr"/>
      <c r="E8" s="21" t="inlineStr"/>
      <c r="F8" s="21" t="inlineStr"/>
      <c r="G8" s="21" t="inlineStr"/>
      <c r="H8" s="21" t="inlineStr"/>
      <c r="I8" s="29" t="inlineStr"/>
    </row>
    <row r="9" ht="22" customHeight="1">
      <c r="B9" s="4" t="inlineStr">
        <is>
          <t>MECH</t>
        </is>
      </c>
      <c r="C9" s="6" t="inlineStr"/>
      <c r="D9" s="6" t="inlineStr"/>
      <c r="E9" s="6" t="inlineStr"/>
      <c r="F9" s="6" t="inlineStr"/>
      <c r="G9" s="6" t="inlineStr"/>
      <c r="H9" s="6" t="inlineStr"/>
      <c r="I9" s="5" t="inlineStr"/>
    </row>
    <row r="10" ht="22" customHeight="1">
      <c r="B10" s="28" t="inlineStr">
        <is>
          <t>CIVIL</t>
        </is>
      </c>
      <c r="C10" s="21" t="inlineStr"/>
      <c r="D10" s="21" t="inlineStr"/>
      <c r="E10" s="21" t="inlineStr"/>
      <c r="F10" s="21" t="inlineStr"/>
      <c r="G10" s="21" t="inlineStr"/>
      <c r="H10" s="21" t="inlineStr"/>
      <c r="I10" s="29" t="inlineStr"/>
    </row>
    <row r="11" ht="22" customHeight="1">
      <c r="B11" s="4" t="inlineStr">
        <is>
          <t>S&amp;H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5" t="inlineStr"/>
    </row>
    <row r="12" ht="22" customHeight="1">
      <c r="B12" s="28" t="inlineStr">
        <is>
          <t>MBA</t>
        </is>
      </c>
      <c r="C12" s="21" t="inlineStr"/>
      <c r="D12" s="21" t="inlineStr"/>
      <c r="E12" s="21" t="inlineStr"/>
      <c r="F12" s="21" t="inlineStr"/>
      <c r="G12" s="21" t="inlineStr"/>
      <c r="H12" s="21" t="inlineStr"/>
      <c r="I12" s="29" t="inlineStr"/>
    </row>
    <row r="13" ht="22" customHeight="1">
      <c r="B13" s="4" t="inlineStr">
        <is>
          <t>MCA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5" t="inlineStr"/>
    </row>
    <row r="14" ht="22" customHeight="1">
      <c r="B14" s="65" t="inlineStr">
        <is>
          <t>INSTITUTION AVERAGE</t>
        </is>
      </c>
      <c r="D14" s="66">
        <f>IFERROR(ROUND(AVERAGE(D6:D13),1),"")</f>
        <v/>
      </c>
      <c r="E14" s="66">
        <f>IFERROR(ROUND(AVERAGE(E6:E13),1),"")</f>
        <v/>
      </c>
      <c r="F14" s="66">
        <f>IFERROR(ROUND(AVERAGE(F6:F13),1),"")</f>
        <v/>
      </c>
      <c r="G14" s="66">
        <f>IFERROR(ROUND(AVERAGE(G6:G13),1),"")</f>
        <v/>
      </c>
      <c r="H14" s="66">
        <f>IFERROR(ROUND(AVERAGE(H6:H13),1),"")</f>
        <v/>
      </c>
    </row>
    <row r="15" ht="22" customHeight="1"/>
    <row r="16" ht="24" customHeight="1">
      <c r="B16" s="18" t="inlineStr">
        <is>
          <t>PART B — PEDAGOGY &amp; INNOVATION AUDIT</t>
        </is>
      </c>
    </row>
    <row r="17" ht="22" customHeight="1">
      <c r="B17" s="12" t="inlineStr">
        <is>
          <t>Dept.</t>
        </is>
      </c>
      <c r="C17" s="12" t="inlineStr">
        <is>
          <t>ICT-Enabled
Classes (%)</t>
        </is>
      </c>
      <c r="D17" s="12" t="inlineStr">
        <is>
          <t>Flipped /
Inverted (%)</t>
        </is>
      </c>
      <c r="E17" s="12" t="inlineStr">
        <is>
          <t>Industry
Case Studies</t>
        </is>
      </c>
      <c r="F17" s="12" t="inlineStr">
        <is>
          <t>MOOC / Online
Courses Integrated</t>
        </is>
      </c>
      <c r="G17" s="12" t="inlineStr">
        <is>
          <t>Guest Lectures
Conducted</t>
        </is>
      </c>
      <c r="H17" s="12" t="inlineStr">
        <is>
          <t>Field Visits /
Internships</t>
        </is>
      </c>
      <c r="I17" s="12" t="inlineStr">
        <is>
          <t>IQAC Remarks</t>
        </is>
      </c>
    </row>
    <row r="18" ht="22" customHeight="1">
      <c r="B18" s="13" t="inlineStr">
        <is>
          <t>CSE</t>
        </is>
      </c>
      <c r="C18" s="15" t="inlineStr"/>
      <c r="D18" s="15" t="inlineStr"/>
      <c r="E18" s="15" t="inlineStr"/>
      <c r="F18" s="15" t="inlineStr"/>
      <c r="G18" s="15" t="inlineStr"/>
      <c r="H18" s="15" t="inlineStr"/>
      <c r="I18" s="14" t="inlineStr"/>
    </row>
    <row r="19" ht="22" customHeight="1">
      <c r="B19" s="4" t="inlineStr">
        <is>
          <t>ECE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5" t="inlineStr"/>
    </row>
    <row r="20" ht="22" customHeight="1">
      <c r="B20" s="13" t="inlineStr">
        <is>
          <t>EEE</t>
        </is>
      </c>
      <c r="C20" s="15" t="inlineStr"/>
      <c r="D20" s="15" t="inlineStr"/>
      <c r="E20" s="15" t="inlineStr"/>
      <c r="F20" s="15" t="inlineStr"/>
      <c r="G20" s="15" t="inlineStr"/>
      <c r="H20" s="15" t="inlineStr"/>
      <c r="I20" s="14" t="inlineStr"/>
    </row>
    <row r="21" ht="22" customHeight="1">
      <c r="B21" s="4" t="inlineStr">
        <is>
          <t>MECH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5" t="inlineStr"/>
    </row>
    <row r="22" ht="22" customHeight="1">
      <c r="B22" s="13" t="inlineStr">
        <is>
          <t>CIVIL</t>
        </is>
      </c>
      <c r="C22" s="15" t="inlineStr"/>
      <c r="D22" s="15" t="inlineStr"/>
      <c r="E22" s="15" t="inlineStr"/>
      <c r="F22" s="15" t="inlineStr"/>
      <c r="G22" s="15" t="inlineStr"/>
      <c r="H22" s="15" t="inlineStr"/>
      <c r="I22" s="14" t="inlineStr"/>
    </row>
    <row r="23" ht="22" customHeight="1">
      <c r="B23" s="4" t="inlineStr">
        <is>
          <t>S&amp;H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5" t="inlineStr"/>
    </row>
    <row r="24" ht="22" customHeight="1">
      <c r="B24" s="13" t="inlineStr">
        <is>
          <t>MBA</t>
        </is>
      </c>
      <c r="C24" s="15" t="inlineStr"/>
      <c r="D24" s="15" t="inlineStr"/>
      <c r="E24" s="15" t="inlineStr"/>
      <c r="F24" s="15" t="inlineStr"/>
      <c r="G24" s="15" t="inlineStr"/>
      <c r="H24" s="15" t="inlineStr"/>
      <c r="I24" s="14" t="inlineStr"/>
    </row>
    <row r="25" ht="22" customHeight="1">
      <c r="B25" s="4" t="inlineStr">
        <is>
          <t>MCA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5" t="inlineStr"/>
    </row>
    <row r="26" ht="22" customHeight="1"/>
    <row r="27" ht="24" customHeight="1">
      <c r="B27" s="30" t="inlineStr">
        <is>
          <t>PART C — RESULT ANALYSIS — SEMESTER-WISE</t>
        </is>
      </c>
    </row>
    <row r="28" ht="22" customHeight="1">
      <c r="B28" s="31" t="inlineStr">
        <is>
          <t>Dept.</t>
        </is>
      </c>
      <c r="C28" s="31" t="inlineStr">
        <is>
          <t>Students
Appeared</t>
        </is>
      </c>
      <c r="D28" s="31" t="inlineStr">
        <is>
          <t>Students
Passed</t>
        </is>
      </c>
      <c r="E28" s="31" t="inlineStr">
        <is>
          <t>Pass %</t>
        </is>
      </c>
      <c r="F28" s="31" t="inlineStr">
        <is>
          <t>First Class
&amp; Above (%)</t>
        </is>
      </c>
      <c r="G28" s="31" t="inlineStr">
        <is>
          <t>Distinctions
(%)</t>
        </is>
      </c>
      <c r="H28" s="31" t="inlineStr">
        <is>
          <t>Failed
(%)</t>
        </is>
      </c>
      <c r="I28" s="31" t="inlineStr">
        <is>
          <t>Improvement
from Prev Sem</t>
        </is>
      </c>
    </row>
    <row r="29" ht="22" customHeight="1">
      <c r="B29" s="32" t="inlineStr">
        <is>
          <t>CSE</t>
        </is>
      </c>
      <c r="C29" s="34" t="inlineStr"/>
      <c r="D29" s="34" t="inlineStr"/>
      <c r="E29" s="32">
        <f>IFERROR(ROUND(D29/C29*100,1),"")</f>
        <v/>
      </c>
      <c r="F29" s="34" t="inlineStr"/>
      <c r="G29" s="34" t="inlineStr"/>
      <c r="H29" s="34">
        <f>IFERROR(ROUND((C29-D29)/C29*100,1),"")</f>
        <v/>
      </c>
      <c r="I29" s="34" t="inlineStr"/>
    </row>
    <row r="30" ht="22" customHeight="1">
      <c r="B30" s="4" t="inlineStr">
        <is>
          <t>ECE</t>
        </is>
      </c>
      <c r="C30" s="6" t="inlineStr"/>
      <c r="D30" s="6" t="inlineStr"/>
      <c r="E30" s="4">
        <f>IFERROR(ROUND(D30/C30*100,1),"")</f>
        <v/>
      </c>
      <c r="F30" s="6" t="inlineStr"/>
      <c r="G30" s="6" t="inlineStr"/>
      <c r="H30" s="6">
        <f>IFERROR(ROUND((C30-D30)/C30*100,1),"")</f>
        <v/>
      </c>
      <c r="I30" s="6" t="inlineStr"/>
    </row>
    <row r="31" ht="22" customHeight="1">
      <c r="B31" s="32" t="inlineStr">
        <is>
          <t>EEE</t>
        </is>
      </c>
      <c r="C31" s="34" t="inlineStr"/>
      <c r="D31" s="34" t="inlineStr"/>
      <c r="E31" s="32">
        <f>IFERROR(ROUND(D31/C31*100,1),"")</f>
        <v/>
      </c>
      <c r="F31" s="34" t="inlineStr"/>
      <c r="G31" s="34" t="inlineStr"/>
      <c r="H31" s="34">
        <f>IFERROR(ROUND((C31-D31)/C31*100,1),"")</f>
        <v/>
      </c>
      <c r="I31" s="34" t="inlineStr"/>
    </row>
    <row r="32" ht="22" customHeight="1">
      <c r="B32" s="4" t="inlineStr">
        <is>
          <t>MECH</t>
        </is>
      </c>
      <c r="C32" s="6" t="inlineStr"/>
      <c r="D32" s="6" t="inlineStr"/>
      <c r="E32" s="4">
        <f>IFERROR(ROUND(D32/C32*100,1),"")</f>
        <v/>
      </c>
      <c r="F32" s="6" t="inlineStr"/>
      <c r="G32" s="6" t="inlineStr"/>
      <c r="H32" s="6">
        <f>IFERROR(ROUND((C32-D32)/C32*100,1),"")</f>
        <v/>
      </c>
      <c r="I32" s="6" t="inlineStr"/>
    </row>
    <row r="33" ht="22" customHeight="1">
      <c r="B33" s="32" t="inlineStr">
        <is>
          <t>CIVIL</t>
        </is>
      </c>
      <c r="C33" s="34" t="inlineStr"/>
      <c r="D33" s="34" t="inlineStr"/>
      <c r="E33" s="32">
        <f>IFERROR(ROUND(D33/C33*100,1),"")</f>
        <v/>
      </c>
      <c r="F33" s="34" t="inlineStr"/>
      <c r="G33" s="34" t="inlineStr"/>
      <c r="H33" s="34">
        <f>IFERROR(ROUND((C33-D33)/C33*100,1),"")</f>
        <v/>
      </c>
      <c r="I33" s="34" t="inlineStr"/>
    </row>
    <row r="34" ht="22" customHeight="1">
      <c r="B34" s="4" t="inlineStr">
        <is>
          <t>S&amp;H</t>
        </is>
      </c>
      <c r="C34" s="6" t="inlineStr"/>
      <c r="D34" s="6" t="inlineStr"/>
      <c r="E34" s="4">
        <f>IFERROR(ROUND(D34/C34*100,1),"")</f>
        <v/>
      </c>
      <c r="F34" s="6" t="inlineStr"/>
      <c r="G34" s="6" t="inlineStr"/>
      <c r="H34" s="6">
        <f>IFERROR(ROUND((C34-D34)/C34*100,1),"")</f>
        <v/>
      </c>
      <c r="I34" s="6" t="inlineStr"/>
    </row>
    <row r="35" ht="22" customHeight="1">
      <c r="B35" s="32" t="inlineStr">
        <is>
          <t>MBA</t>
        </is>
      </c>
      <c r="C35" s="34" t="inlineStr"/>
      <c r="D35" s="34" t="inlineStr"/>
      <c r="E35" s="32">
        <f>IFERROR(ROUND(D35/C35*100,1),"")</f>
        <v/>
      </c>
      <c r="F35" s="34" t="inlineStr"/>
      <c r="G35" s="34" t="inlineStr"/>
      <c r="H35" s="34">
        <f>IFERROR(ROUND((C35-D35)/C35*100,1),"")</f>
        <v/>
      </c>
      <c r="I35" s="34" t="inlineStr"/>
    </row>
    <row r="36" ht="22" customHeight="1">
      <c r="B36" s="4" t="inlineStr">
        <is>
          <t>MCA</t>
        </is>
      </c>
      <c r="C36" s="6" t="inlineStr"/>
      <c r="D36" s="6" t="inlineStr"/>
      <c r="E36" s="4">
        <f>IFERROR(ROUND(D36/C36*100,1),"")</f>
        <v/>
      </c>
      <c r="F36" s="6" t="inlineStr"/>
      <c r="G36" s="6" t="inlineStr"/>
      <c r="H36" s="6">
        <f>IFERROR(ROUND((C36-D36)/C36*100,1),"")</f>
        <v/>
      </c>
      <c r="I36" s="6" t="inlineStr"/>
    </row>
    <row r="37" ht="22" customHeight="1">
      <c r="B37" s="67" t="inlineStr">
        <is>
          <t>INSTITUTION TOTAL</t>
        </is>
      </c>
      <c r="C37" s="68">
        <f>IFERROR(SUM(C29:C36),)</f>
        <v/>
      </c>
      <c r="D37" s="68">
        <f>IFERROR(SUM(D29:D36),)</f>
        <v/>
      </c>
      <c r="E37" s="68">
        <f>IFERROR(ROUND(D37/C37*100,1),)</f>
        <v/>
      </c>
      <c r="F37" s="68">
        <f>IFERROR(SUM(F29:F36),)</f>
        <v/>
      </c>
      <c r="G37" s="68">
        <f>IFERROR(SUM(G29:G36),)</f>
        <v/>
      </c>
      <c r="H37" s="68">
        <f>IFERROR(SUM(H29:H36),)</f>
        <v/>
      </c>
      <c r="I37" s="68">
        <f>IFERROR(SUM(I29:I36),)</f>
        <v/>
      </c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6">
    <mergeCell ref="B16:I16"/>
    <mergeCell ref="B2:I2"/>
    <mergeCell ref="B3:I3"/>
    <mergeCell ref="B14:C14"/>
    <mergeCell ref="B27:I27"/>
    <mergeCell ref="B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" customWidth="1" min="11" max="11"/>
  </cols>
  <sheetData>
    <row r="1" ht="10" customHeight="1"/>
    <row r="2" ht="48" customHeight="1">
      <c r="B2" s="11" t="inlineStr">
        <is>
          <t>IQ-12: RESEARCH, INNOVATION &amp; CONSULTANCY TRACKING FORM</t>
        </is>
      </c>
    </row>
    <row r="3" ht="25" customHeight="1">
      <c r="B3" s="2" t="inlineStr">
        <is>
          <t>A.Y.: _______  Dean (R&amp;D) / Research Coordinator: ___________________  Date: _______</t>
        </is>
      </c>
    </row>
    <row r="4" ht="24" customHeight="1">
      <c r="B4" s="19" t="inlineStr">
        <is>
          <t>PUBLICATIONS</t>
        </is>
      </c>
    </row>
    <row r="5" ht="22" customHeight="1">
      <c r="B5" s="20" t="inlineStr">
        <is>
          <t>Sl.</t>
        </is>
      </c>
      <c r="C5" s="20" t="inlineStr">
        <is>
          <t>Title &amp; Journal / Conference</t>
        </is>
      </c>
      <c r="D5" s="20" t="inlineStr">
        <is>
          <t>Author(s)</t>
        </is>
      </c>
      <c r="E5" s="20" t="inlineStr">
        <is>
          <t>Dept.</t>
        </is>
      </c>
      <c r="F5" s="20" t="inlineStr">
        <is>
          <t>Indexing</t>
        </is>
      </c>
      <c r="G5" s="20" t="inlineStr">
        <is>
          <t>Impact
Factor</t>
        </is>
      </c>
      <c r="H5" s="20" t="inlineStr">
        <is>
          <t>Year</t>
        </is>
      </c>
      <c r="I5" s="20" t="inlineStr">
        <is>
          <t>Vol/Issue</t>
        </is>
      </c>
      <c r="J5" s="20" t="inlineStr">
        <is>
          <t>DOI / ISSN</t>
        </is>
      </c>
    </row>
    <row r="6" ht="22" customHeight="1"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</row>
    <row r="7" ht="22" customHeight="1"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2" customHeight="1"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</row>
    <row r="9" ht="22" customHeight="1"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2" customHeight="1"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</row>
    <row r="11" ht="22" customHeight="1"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2" customHeight="1"/>
    <row r="13" ht="24" customHeight="1">
      <c r="B13" s="30" t="inlineStr">
        <is>
          <t>FUNDED RESEARCH PROJECTS</t>
        </is>
      </c>
    </row>
    <row r="14" ht="22" customHeight="1">
      <c r="B14" s="31" t="inlineStr">
        <is>
          <t>Sl.</t>
        </is>
      </c>
      <c r="C14" s="31" t="inlineStr">
        <is>
          <t>Project Title</t>
        </is>
      </c>
      <c r="D14" s="31" t="inlineStr">
        <is>
          <t>PI / Co-PI</t>
        </is>
      </c>
      <c r="E14" s="31" t="inlineStr">
        <is>
          <t>Dept.</t>
        </is>
      </c>
      <c r="F14" s="31" t="inlineStr">
        <is>
          <t>Funding Agency</t>
        </is>
      </c>
      <c r="G14" s="31" t="inlineStr">
        <is>
          <t>Grant
(₹L)</t>
        </is>
      </c>
      <c r="H14" s="31" t="inlineStr">
        <is>
          <t>Start Date</t>
        </is>
      </c>
      <c r="I14" s="31" t="inlineStr">
        <is>
          <t>End Date</t>
        </is>
      </c>
      <c r="J14" s="31" t="inlineStr">
        <is>
          <t>Status</t>
        </is>
      </c>
    </row>
    <row r="15" ht="22" customHeight="1"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 ht="22" customHeight="1"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2" customHeight="1"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 ht="22" customHeight="1"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22" customHeight="1"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 ht="22" customHeight="1"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22" customHeight="1"/>
    <row r="22" ht="24" customHeight="1">
      <c r="B22" s="18" t="inlineStr">
        <is>
          <t>PATENTS</t>
        </is>
      </c>
    </row>
    <row r="23" ht="22" customHeight="1">
      <c r="B23" s="12" t="inlineStr">
        <is>
          <t>Sl.</t>
        </is>
      </c>
      <c r="C23" s="12" t="inlineStr">
        <is>
          <t>Patent Title</t>
        </is>
      </c>
      <c r="D23" s="12" t="inlineStr">
        <is>
          <t>Inventors</t>
        </is>
      </c>
      <c r="E23" s="12" t="inlineStr">
        <is>
          <t>Dept.</t>
        </is>
      </c>
      <c r="F23" s="12" t="inlineStr">
        <is>
          <t>App. No.</t>
        </is>
      </c>
      <c r="G23" s="12" t="inlineStr">
        <is>
          <t>Status</t>
        </is>
      </c>
      <c r="H23" s="12" t="inlineStr">
        <is>
          <t>Filed Date</t>
        </is>
      </c>
      <c r="I23" s="12" t="inlineStr">
        <is>
          <t>Country</t>
        </is>
      </c>
      <c r="J23" s="12" t="inlineStr">
        <is>
          <t>Domain</t>
        </is>
      </c>
    </row>
    <row r="24" ht="22" customHeight="1"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 ht="22" customHeight="1"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22" customHeight="1"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 ht="22" customHeight="1"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2" customHeight="1"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 ht="22" customHeight="1"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22" customHeight="1"/>
    <row r="31" ht="24" customHeight="1">
      <c r="B31" s="45" t="inlineStr">
        <is>
          <t>CONSULTANCY &amp; TESTING</t>
        </is>
      </c>
    </row>
    <row r="32" ht="22" customHeight="1">
      <c r="B32" s="46" t="inlineStr">
        <is>
          <t>Sl.</t>
        </is>
      </c>
      <c r="C32" s="46" t="inlineStr">
        <is>
          <t>Project / Client</t>
        </is>
      </c>
      <c r="D32" s="46" t="inlineStr">
        <is>
          <t>Faculty / PI</t>
        </is>
      </c>
      <c r="E32" s="46" t="inlineStr">
        <is>
          <t>Dept.</t>
        </is>
      </c>
      <c r="F32" s="46" t="inlineStr">
        <is>
          <t>Revenue
(₹L)</t>
        </is>
      </c>
      <c r="G32" s="46" t="inlineStr">
        <is>
          <t>Start</t>
        </is>
      </c>
      <c r="H32" s="46" t="inlineStr">
        <is>
          <t>End</t>
        </is>
      </c>
      <c r="I32" s="46" t="inlineStr">
        <is>
          <t>Nature</t>
        </is>
      </c>
      <c r="J32" s="46" t="inlineStr">
        <is>
          <t>Status</t>
        </is>
      </c>
    </row>
    <row r="33" ht="22" customHeight="1"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</row>
    <row r="34" ht="22" customHeight="1"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22" customHeight="1"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</row>
    <row r="36" ht="22" customHeight="1"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22" customHeight="1"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</row>
    <row r="38" ht="22" customHeight="1"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 ht="22" customHeight="1"/>
    <row r="40" ht="24" customHeight="1">
      <c r="B40" s="59" t="inlineStr">
        <is>
          <t>RESEARCH SUMMARY — DEPARTMENT-WISE SCORECARD</t>
        </is>
      </c>
    </row>
    <row r="41" ht="22" customHeight="1">
      <c r="B41" s="12" t="inlineStr">
        <is>
          <t>Department</t>
        </is>
      </c>
      <c r="C41" s="12" t="inlineStr">
        <is>
          <t>Publications
(Total)</t>
        </is>
      </c>
      <c r="D41" s="12" t="inlineStr">
        <is>
          <t>SCI/Scopus</t>
        </is>
      </c>
      <c r="E41" s="12" t="inlineStr">
        <is>
          <t>Funded
Projects</t>
        </is>
      </c>
      <c r="F41" s="12" t="inlineStr">
        <is>
          <t>Grant (₹L)</t>
        </is>
      </c>
      <c r="G41" s="12" t="inlineStr">
        <is>
          <t>Patents
Filed</t>
        </is>
      </c>
      <c r="H41" s="12" t="inlineStr">
        <is>
          <t>Patents
Granted</t>
        </is>
      </c>
      <c r="I41" s="12" t="inlineStr">
        <is>
          <t>Consultancy
(₹L)</t>
        </is>
      </c>
      <c r="J41" s="12" t="inlineStr">
        <is>
          <t>Ph.D.
Awarded</t>
        </is>
      </c>
    </row>
    <row r="42" ht="22" customHeight="1">
      <c r="B42" s="14" t="inlineStr">
        <is>
          <t>CSE</t>
        </is>
      </c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</row>
    <row r="43" ht="22" customHeight="1">
      <c r="B43" s="5" t="inlineStr">
        <is>
          <t>ECE</t>
        </is>
      </c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</row>
    <row r="44" ht="22" customHeight="1">
      <c r="B44" s="14" t="inlineStr">
        <is>
          <t>EEE</t>
        </is>
      </c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</row>
    <row r="45" ht="22" customHeight="1">
      <c r="B45" s="5" t="inlineStr">
        <is>
          <t>MECH</t>
        </is>
      </c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</row>
    <row r="46" ht="22" customHeight="1">
      <c r="B46" s="14" t="inlineStr">
        <is>
          <t>CIVIL</t>
        </is>
      </c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</row>
    <row r="47" ht="22" customHeight="1">
      <c r="B47" s="5" t="inlineStr">
        <is>
          <t>S&amp;H</t>
        </is>
      </c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</row>
    <row r="48" ht="22" customHeight="1">
      <c r="B48" s="14" t="inlineStr">
        <is>
          <t>MBA</t>
        </is>
      </c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</row>
    <row r="49" ht="22" customHeight="1">
      <c r="B49" s="5" t="inlineStr">
        <is>
          <t>MCA</t>
        </is>
      </c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</row>
    <row r="50" ht="22" customHeight="1">
      <c r="B50" s="69" t="inlineStr">
        <is>
          <t>INSTITUTION TOTAL</t>
        </is>
      </c>
      <c r="C50" s="70" t="inlineStr"/>
      <c r="D50" s="70" t="inlineStr"/>
      <c r="E50" s="70" t="inlineStr"/>
      <c r="F50" s="70" t="inlineStr"/>
      <c r="G50" s="70" t="inlineStr"/>
      <c r="H50" s="70" t="inlineStr"/>
      <c r="I50" s="70" t="inlineStr"/>
      <c r="J50" s="70" t="inlineStr"/>
    </row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7">
    <mergeCell ref="B3:J3"/>
    <mergeCell ref="B22:J22"/>
    <mergeCell ref="B31:J31"/>
    <mergeCell ref="B40:J40"/>
    <mergeCell ref="B4:J4"/>
    <mergeCell ref="B13:J1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20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IQ-13: FACULTY DEVELOPMENT PROGRAMME (FDP) REGISTER</t>
        </is>
      </c>
    </row>
    <row r="3" ht="25" customHeight="1">
      <c r="B3" s="2" t="inlineStr">
        <is>
          <t>A.Y.: _______  IQAC Coordinator: ___________________  HR Officer: ___________________</t>
        </is>
      </c>
    </row>
    <row r="4" ht="25" customHeight="1">
      <c r="B4" s="12" t="inlineStr">
        <is>
          <t>Sl.</t>
        </is>
      </c>
      <c r="C4" s="12" t="inlineStr">
        <is>
          <t>Programme Title / Type</t>
        </is>
      </c>
      <c r="D4" s="12" t="inlineStr">
        <is>
          <t>Organiser / Platform</t>
        </is>
      </c>
      <c r="E4" s="12" t="inlineStr">
        <is>
          <t>Duration &amp; Dates</t>
        </is>
      </c>
      <c r="F4" s="12" t="inlineStr">
        <is>
          <t>Faculty
Attended</t>
        </is>
      </c>
      <c r="G4" s="12" t="inlineStr">
        <is>
          <t>Dept.</t>
        </is>
      </c>
      <c r="H4" s="12" t="inlineStr">
        <is>
          <t>Mode
(Physical/Online)</t>
        </is>
      </c>
      <c r="I4" s="12" t="inlineStr">
        <is>
          <t>Certificate / Evidence</t>
        </is>
      </c>
    </row>
    <row r="5" ht="22" customHeight="1">
      <c r="B5" s="13" t="n">
        <v>1</v>
      </c>
      <c r="C5" s="14" t="inlineStr">
        <is>
          <t>STTP — Short Term Training Programme</t>
        </is>
      </c>
      <c r="D5" s="15" t="inlineStr"/>
      <c r="E5" s="15" t="inlineStr"/>
      <c r="F5" s="15" t="inlineStr"/>
      <c r="G5" s="15" t="inlineStr"/>
      <c r="H5" s="15" t="inlineStr">
        <is>
          <t>Physical</t>
        </is>
      </c>
      <c r="I5" s="15" t="inlineStr"/>
    </row>
    <row r="6" ht="22" customHeight="1">
      <c r="B6" s="4" t="n">
        <v>2</v>
      </c>
      <c r="C6" s="5" t="inlineStr">
        <is>
          <t>National Workshop</t>
        </is>
      </c>
      <c r="D6" s="6" t="inlineStr"/>
      <c r="E6" s="6" t="inlineStr"/>
      <c r="F6" s="6" t="inlineStr"/>
      <c r="G6" s="6" t="inlineStr"/>
      <c r="H6" s="6" t="inlineStr">
        <is>
          <t>Physical</t>
        </is>
      </c>
      <c r="I6" s="6" t="inlineStr"/>
    </row>
    <row r="7" ht="22" customHeight="1">
      <c r="B7" s="13" t="n">
        <v>3</v>
      </c>
      <c r="C7" s="14" t="inlineStr">
        <is>
          <t>International Workshop / Seminar</t>
        </is>
      </c>
      <c r="D7" s="15" t="inlineStr"/>
      <c r="E7" s="15" t="inlineStr"/>
      <c r="F7" s="15" t="inlineStr"/>
      <c r="G7" s="15" t="inlineStr"/>
      <c r="H7" s="15" t="inlineStr">
        <is>
          <t>Physical</t>
        </is>
      </c>
      <c r="I7" s="15" t="inlineStr"/>
    </row>
    <row r="8" ht="22" customHeight="1">
      <c r="B8" s="4" t="n">
        <v>4</v>
      </c>
      <c r="C8" s="5" t="inlineStr">
        <is>
          <t>MOOC / NPTEL / Coursera</t>
        </is>
      </c>
      <c r="D8" s="6" t="inlineStr"/>
      <c r="E8" s="6" t="inlineStr"/>
      <c r="F8" s="6" t="inlineStr"/>
      <c r="G8" s="6" t="inlineStr"/>
      <c r="H8" s="6" t="inlineStr">
        <is>
          <t>Physical</t>
        </is>
      </c>
      <c r="I8" s="6" t="inlineStr"/>
    </row>
    <row r="9" ht="22" customHeight="1">
      <c r="B9" s="13" t="n">
        <v>5</v>
      </c>
      <c r="C9" s="14" t="inlineStr">
        <is>
          <t>Industry Immersion Programme</t>
        </is>
      </c>
      <c r="D9" s="15" t="inlineStr"/>
      <c r="E9" s="15" t="inlineStr"/>
      <c r="F9" s="15" t="inlineStr"/>
      <c r="G9" s="15" t="inlineStr"/>
      <c r="H9" s="15" t="inlineStr">
        <is>
          <t>Physical</t>
        </is>
      </c>
      <c r="I9" s="15" t="inlineStr"/>
    </row>
    <row r="10" ht="22" customHeight="1">
      <c r="B10" s="4" t="n">
        <v>6</v>
      </c>
      <c r="C10" s="5" t="inlineStr">
        <is>
          <t>Research Methodology Course</t>
        </is>
      </c>
      <c r="D10" s="6" t="inlineStr"/>
      <c r="E10" s="6" t="inlineStr"/>
      <c r="F10" s="6" t="inlineStr"/>
      <c r="G10" s="6" t="inlineStr"/>
      <c r="H10" s="6" t="inlineStr">
        <is>
          <t>Physical</t>
        </is>
      </c>
      <c r="I10" s="6" t="inlineStr"/>
    </row>
    <row r="11" ht="22" customHeight="1">
      <c r="B11" s="13" t="n">
        <v>7</v>
      </c>
      <c r="C11" s="14" t="inlineStr">
        <is>
          <t>Refresher Course (UGC/HRDC)</t>
        </is>
      </c>
      <c r="D11" s="15" t="inlineStr"/>
      <c r="E11" s="15" t="inlineStr"/>
      <c r="F11" s="15" t="inlineStr"/>
      <c r="G11" s="15" t="inlineStr"/>
      <c r="H11" s="15" t="inlineStr">
        <is>
          <t>Physical</t>
        </is>
      </c>
      <c r="I11" s="15" t="inlineStr"/>
    </row>
    <row r="12" ht="22" customHeight="1">
      <c r="B12" s="4" t="n">
        <v>8</v>
      </c>
      <c r="C12" s="5" t="inlineStr">
        <is>
          <t>Orientation Programme</t>
        </is>
      </c>
      <c r="D12" s="6" t="inlineStr"/>
      <c r="E12" s="6" t="inlineStr"/>
      <c r="F12" s="6" t="inlineStr"/>
      <c r="G12" s="6" t="inlineStr"/>
      <c r="H12" s="6" t="inlineStr">
        <is>
          <t>Physical</t>
        </is>
      </c>
      <c r="I12" s="6" t="inlineStr"/>
    </row>
    <row r="13" ht="22" customHeight="1">
      <c r="B13" s="13" t="n">
        <v>9</v>
      </c>
      <c r="C13" s="14" t="inlineStr">
        <is>
          <t>National Conference (paper presented)</t>
        </is>
      </c>
      <c r="D13" s="15" t="inlineStr"/>
      <c r="E13" s="15" t="inlineStr"/>
      <c r="F13" s="15" t="inlineStr"/>
      <c r="G13" s="15" t="inlineStr"/>
      <c r="H13" s="15" t="inlineStr">
        <is>
          <t>Physical</t>
        </is>
      </c>
      <c r="I13" s="15" t="inlineStr"/>
    </row>
    <row r="14" ht="22" customHeight="1">
      <c r="B14" s="4" t="n">
        <v>10</v>
      </c>
      <c r="C14" s="5" t="inlineStr">
        <is>
          <t>International Conference</t>
        </is>
      </c>
      <c r="D14" s="6" t="inlineStr"/>
      <c r="E14" s="6" t="inlineStr"/>
      <c r="F14" s="6" t="inlineStr"/>
      <c r="G14" s="6" t="inlineStr"/>
      <c r="H14" s="6" t="inlineStr">
        <is>
          <t>Physical</t>
        </is>
      </c>
      <c r="I14" s="6" t="inlineStr"/>
    </row>
    <row r="15" ht="22" customHeight="1">
      <c r="B15" s="13" t="n">
        <v>11</v>
      </c>
      <c r="C15" s="14" t="inlineStr">
        <is>
          <t>Online Certification Course</t>
        </is>
      </c>
      <c r="D15" s="15" t="inlineStr"/>
      <c r="E15" s="15" t="inlineStr"/>
      <c r="F15" s="15" t="inlineStr"/>
      <c r="G15" s="15" t="inlineStr"/>
      <c r="H15" s="15" t="inlineStr">
        <is>
          <t>Physical</t>
        </is>
      </c>
      <c r="I15" s="15" t="inlineStr"/>
    </row>
    <row r="16" ht="22" customHeight="1">
      <c r="B16" s="4" t="n">
        <v>12</v>
      </c>
      <c r="C16" s="5" t="inlineStr">
        <is>
          <t>Invited Talk / Expert Lecture (given)</t>
        </is>
      </c>
      <c r="D16" s="6" t="inlineStr"/>
      <c r="E16" s="6" t="inlineStr"/>
      <c r="F16" s="6" t="inlineStr"/>
      <c r="G16" s="6" t="inlineStr"/>
      <c r="H16" s="6" t="inlineStr">
        <is>
          <t>Physical</t>
        </is>
      </c>
      <c r="I16" s="6" t="inlineStr"/>
    </row>
    <row r="17" ht="22" customHeight="1">
      <c r="B17" s="13" t="n">
        <v>13</v>
      </c>
      <c r="C17" s="14" t="inlineStr">
        <is>
          <t>STTP — Short Term Training Programme</t>
        </is>
      </c>
      <c r="D17" s="15" t="inlineStr"/>
      <c r="E17" s="15" t="inlineStr"/>
      <c r="F17" s="15" t="inlineStr"/>
      <c r="G17" s="15" t="inlineStr"/>
      <c r="H17" s="15" t="inlineStr">
        <is>
          <t>Physical</t>
        </is>
      </c>
      <c r="I17" s="15" t="inlineStr"/>
    </row>
    <row r="18" ht="22" customHeight="1">
      <c r="B18" s="4" t="n">
        <v>14</v>
      </c>
      <c r="C18" s="5" t="inlineStr">
        <is>
          <t>National Workshop</t>
        </is>
      </c>
      <c r="D18" s="6" t="inlineStr"/>
      <c r="E18" s="6" t="inlineStr"/>
      <c r="F18" s="6" t="inlineStr"/>
      <c r="G18" s="6" t="inlineStr"/>
      <c r="H18" s="6" t="inlineStr">
        <is>
          <t>Physical</t>
        </is>
      </c>
      <c r="I18" s="6" t="inlineStr"/>
    </row>
    <row r="19" ht="22" customHeight="1">
      <c r="B19" s="13" t="n">
        <v>15</v>
      </c>
      <c r="C19" s="14" t="inlineStr">
        <is>
          <t>International Workshop / Seminar</t>
        </is>
      </c>
      <c r="D19" s="15" t="inlineStr"/>
      <c r="E19" s="15" t="inlineStr"/>
      <c r="F19" s="15" t="inlineStr"/>
      <c r="G19" s="15" t="inlineStr"/>
      <c r="H19" s="15" t="inlineStr">
        <is>
          <t>Physical</t>
        </is>
      </c>
      <c r="I19" s="15" t="inlineStr"/>
    </row>
    <row r="20" ht="22" customHeight="1">
      <c r="B20" s="4" t="n">
        <v>16</v>
      </c>
      <c r="C20" s="5" t="inlineStr">
        <is>
          <t>MOOC / NPTEL / Coursera</t>
        </is>
      </c>
      <c r="D20" s="6" t="inlineStr"/>
      <c r="E20" s="6" t="inlineStr"/>
      <c r="F20" s="6" t="inlineStr"/>
      <c r="G20" s="6" t="inlineStr"/>
      <c r="H20" s="6" t="inlineStr">
        <is>
          <t>Physical</t>
        </is>
      </c>
      <c r="I20" s="6" t="inlineStr"/>
    </row>
    <row r="21" ht="22" customHeight="1">
      <c r="B21" s="13" t="n">
        <v>17</v>
      </c>
      <c r="C21" s="14" t="inlineStr">
        <is>
          <t>Industry Immersion Programme</t>
        </is>
      </c>
      <c r="D21" s="15" t="inlineStr"/>
      <c r="E21" s="15" t="inlineStr"/>
      <c r="F21" s="15" t="inlineStr"/>
      <c r="G21" s="15" t="inlineStr"/>
      <c r="H21" s="15" t="inlineStr">
        <is>
          <t>Physical</t>
        </is>
      </c>
      <c r="I21" s="15" t="inlineStr"/>
    </row>
    <row r="22" ht="22" customHeight="1">
      <c r="B22" s="4" t="n">
        <v>18</v>
      </c>
      <c r="C22" s="5" t="inlineStr">
        <is>
          <t>Research Methodology Course</t>
        </is>
      </c>
      <c r="D22" s="6" t="inlineStr"/>
      <c r="E22" s="6" t="inlineStr"/>
      <c r="F22" s="6" t="inlineStr"/>
      <c r="G22" s="6" t="inlineStr"/>
      <c r="H22" s="6" t="inlineStr">
        <is>
          <t>Physical</t>
        </is>
      </c>
      <c r="I22" s="6" t="inlineStr"/>
    </row>
    <row r="23" ht="22" customHeight="1">
      <c r="B23" s="13" t="n">
        <v>19</v>
      </c>
      <c r="C23" s="14" t="inlineStr">
        <is>
          <t>Refresher Course (UGC/HRDC)</t>
        </is>
      </c>
      <c r="D23" s="15" t="inlineStr"/>
      <c r="E23" s="15" t="inlineStr"/>
      <c r="F23" s="15" t="inlineStr"/>
      <c r="G23" s="15" t="inlineStr"/>
      <c r="H23" s="15" t="inlineStr">
        <is>
          <t>Physical</t>
        </is>
      </c>
      <c r="I23" s="15" t="inlineStr"/>
    </row>
    <row r="24" ht="22" customHeight="1">
      <c r="B24" s="4" t="n">
        <v>20</v>
      </c>
      <c r="C24" s="5" t="inlineStr">
        <is>
          <t>Orientation Programme</t>
        </is>
      </c>
      <c r="D24" s="6" t="inlineStr"/>
      <c r="E24" s="6" t="inlineStr"/>
      <c r="F24" s="6" t="inlineStr"/>
      <c r="G24" s="6" t="inlineStr"/>
      <c r="H24" s="6" t="inlineStr">
        <is>
          <t>Physical</t>
        </is>
      </c>
      <c r="I24" s="6" t="inlineStr"/>
    </row>
    <row r="25" ht="22" customHeight="1">
      <c r="B25" s="13" t="n">
        <v>21</v>
      </c>
      <c r="C25" s="14" t="inlineStr">
        <is>
          <t>National Conference (paper presented)</t>
        </is>
      </c>
      <c r="D25" s="15" t="inlineStr"/>
      <c r="E25" s="15" t="inlineStr"/>
      <c r="F25" s="15" t="inlineStr"/>
      <c r="G25" s="15" t="inlineStr"/>
      <c r="H25" s="15" t="inlineStr">
        <is>
          <t>Physical</t>
        </is>
      </c>
      <c r="I25" s="15" t="inlineStr"/>
    </row>
    <row r="26" ht="22" customHeight="1">
      <c r="B26" s="4" t="n">
        <v>22</v>
      </c>
      <c r="C26" s="5" t="inlineStr">
        <is>
          <t>International Conference</t>
        </is>
      </c>
      <c r="D26" s="6" t="inlineStr"/>
      <c r="E26" s="6" t="inlineStr"/>
      <c r="F26" s="6" t="inlineStr"/>
      <c r="G26" s="6" t="inlineStr"/>
      <c r="H26" s="6" t="inlineStr">
        <is>
          <t>Physical</t>
        </is>
      </c>
      <c r="I26" s="6" t="inlineStr"/>
    </row>
    <row r="27" ht="22" customHeight="1">
      <c r="B27" s="13" t="n">
        <v>23</v>
      </c>
      <c r="C27" s="14" t="inlineStr">
        <is>
          <t>Online Certification Course</t>
        </is>
      </c>
      <c r="D27" s="15" t="inlineStr"/>
      <c r="E27" s="15" t="inlineStr"/>
      <c r="F27" s="15" t="inlineStr"/>
      <c r="G27" s="15" t="inlineStr"/>
      <c r="H27" s="15" t="inlineStr">
        <is>
          <t>Physical</t>
        </is>
      </c>
      <c r="I27" s="15" t="inlineStr"/>
    </row>
    <row r="28" ht="22" customHeight="1">
      <c r="B28" s="4" t="n">
        <v>24</v>
      </c>
      <c r="C28" s="5" t="inlineStr">
        <is>
          <t>Invited Talk / Expert Lecture (given)</t>
        </is>
      </c>
      <c r="D28" s="6" t="inlineStr"/>
      <c r="E28" s="6" t="inlineStr"/>
      <c r="F28" s="6" t="inlineStr"/>
      <c r="G28" s="6" t="inlineStr"/>
      <c r="H28" s="6" t="inlineStr">
        <is>
          <t>Physical</t>
        </is>
      </c>
      <c r="I28" s="6" t="inlineStr"/>
    </row>
    <row r="29" ht="22" customHeight="1">
      <c r="B29" s="13" t="n">
        <v>25</v>
      </c>
      <c r="C29" s="14" t="inlineStr">
        <is>
          <t>STTP — Short Term Training Programme</t>
        </is>
      </c>
      <c r="D29" s="15" t="inlineStr"/>
      <c r="E29" s="15" t="inlineStr"/>
      <c r="F29" s="15" t="inlineStr"/>
      <c r="G29" s="15" t="inlineStr"/>
      <c r="H29" s="15" t="inlineStr">
        <is>
          <t>Physical</t>
        </is>
      </c>
      <c r="I29" s="15" t="inlineStr"/>
    </row>
    <row r="30" ht="22" customHeight="1">
      <c r="B30" s="4" t="n">
        <v>26</v>
      </c>
      <c r="C30" s="5" t="inlineStr">
        <is>
          <t>National Workshop</t>
        </is>
      </c>
      <c r="D30" s="6" t="inlineStr"/>
      <c r="E30" s="6" t="inlineStr"/>
      <c r="F30" s="6" t="inlineStr"/>
      <c r="G30" s="6" t="inlineStr"/>
      <c r="H30" s="6" t="inlineStr">
        <is>
          <t>Physical</t>
        </is>
      </c>
      <c r="I30" s="6" t="inlineStr"/>
    </row>
    <row r="31" ht="22" customHeight="1">
      <c r="B31" s="13" t="n">
        <v>27</v>
      </c>
      <c r="C31" s="14" t="inlineStr">
        <is>
          <t>International Workshop / Seminar</t>
        </is>
      </c>
      <c r="D31" s="15" t="inlineStr"/>
      <c r="E31" s="15" t="inlineStr"/>
      <c r="F31" s="15" t="inlineStr"/>
      <c r="G31" s="15" t="inlineStr"/>
      <c r="H31" s="15" t="inlineStr">
        <is>
          <t>Physical</t>
        </is>
      </c>
      <c r="I31" s="15" t="inlineStr"/>
    </row>
    <row r="32" ht="22" customHeight="1">
      <c r="B32" s="4" t="n">
        <v>28</v>
      </c>
      <c r="C32" s="5" t="inlineStr">
        <is>
          <t>MOOC / NPTEL / Coursera</t>
        </is>
      </c>
      <c r="D32" s="6" t="inlineStr"/>
      <c r="E32" s="6" t="inlineStr"/>
      <c r="F32" s="6" t="inlineStr"/>
      <c r="G32" s="6" t="inlineStr"/>
      <c r="H32" s="6" t="inlineStr">
        <is>
          <t>Physical</t>
        </is>
      </c>
      <c r="I32" s="6" t="inlineStr"/>
    </row>
    <row r="33" ht="22" customHeight="1">
      <c r="B33" s="13" t="n">
        <v>29</v>
      </c>
      <c r="C33" s="14" t="inlineStr">
        <is>
          <t>Industry Immersion Programme</t>
        </is>
      </c>
      <c r="D33" s="15" t="inlineStr"/>
      <c r="E33" s="15" t="inlineStr"/>
      <c r="F33" s="15" t="inlineStr"/>
      <c r="G33" s="15" t="inlineStr"/>
      <c r="H33" s="15" t="inlineStr">
        <is>
          <t>Physical</t>
        </is>
      </c>
      <c r="I33" s="15" t="inlineStr"/>
    </row>
    <row r="34" ht="22" customHeight="1">
      <c r="B34" s="4" t="n">
        <v>30</v>
      </c>
      <c r="C34" s="5" t="inlineStr">
        <is>
          <t>Research Methodology Course</t>
        </is>
      </c>
      <c r="D34" s="6" t="inlineStr"/>
      <c r="E34" s="6" t="inlineStr"/>
      <c r="F34" s="6" t="inlineStr"/>
      <c r="G34" s="6" t="inlineStr"/>
      <c r="H34" s="6" t="inlineStr">
        <is>
          <t>Physical</t>
        </is>
      </c>
      <c r="I34" s="6" t="inlineStr"/>
    </row>
    <row r="35" ht="22" customHeight="1"/>
    <row r="36" ht="24" customHeight="1">
      <c r="B36" s="60" t="inlineStr">
        <is>
          <t>FDP PARTICIPATION SUMMARY — DEPARTMENT-WISE</t>
        </is>
      </c>
    </row>
    <row r="37" ht="22" customHeight="1">
      <c r="B37" s="23" t="inlineStr">
        <is>
          <t>Department</t>
        </is>
      </c>
      <c r="C37" s="23" t="inlineStr">
        <is>
          <t>Total Faculty</t>
        </is>
      </c>
      <c r="D37" s="23" t="inlineStr">
        <is>
          <t>FDP Attended
(Unique Faculty)</t>
        </is>
      </c>
      <c r="E37" s="23" t="inlineStr">
        <is>
          <t>Total FDPs
Attended</t>
        </is>
      </c>
      <c r="F37" s="23" t="inlineStr">
        <is>
          <t>FDP Participation
Rate (%)</t>
        </is>
      </c>
      <c r="G37" s="23" t="inlineStr">
        <is>
          <t>MOOCs
Completed</t>
        </is>
      </c>
      <c r="H37" s="23" t="inlineStr">
        <is>
          <t>Refresher /
Orientation</t>
        </is>
      </c>
      <c r="I37" s="23" t="inlineStr">
        <is>
          <t>IQAC Remarks</t>
        </is>
      </c>
    </row>
    <row r="38" ht="22" customHeight="1">
      <c r="B38" s="61" t="inlineStr">
        <is>
          <t>CSE</t>
        </is>
      </c>
      <c r="C38" s="63" t="inlineStr"/>
      <c r="D38" s="63" t="inlineStr"/>
      <c r="E38" s="63" t="inlineStr"/>
      <c r="F38" s="63">
        <f>IFERROR(ROUND(D38/C38*100,1),"")</f>
        <v/>
      </c>
      <c r="G38" s="63" t="inlineStr"/>
      <c r="H38" s="63" t="inlineStr"/>
      <c r="I38" s="62" t="inlineStr"/>
    </row>
    <row r="39" ht="22" customHeight="1">
      <c r="B39" s="4" t="inlineStr">
        <is>
          <t>ECE</t>
        </is>
      </c>
      <c r="C39" s="6" t="inlineStr"/>
      <c r="D39" s="6" t="inlineStr"/>
      <c r="E39" s="6" t="inlineStr"/>
      <c r="F39" s="6">
        <f>IFERROR(ROUND(D39/C39*100,1),"")</f>
        <v/>
      </c>
      <c r="G39" s="6" t="inlineStr"/>
      <c r="H39" s="6" t="inlineStr"/>
      <c r="I39" s="5" t="inlineStr"/>
    </row>
    <row r="40" ht="22" customHeight="1">
      <c r="B40" s="61" t="inlineStr">
        <is>
          <t>EEE</t>
        </is>
      </c>
      <c r="C40" s="63" t="inlineStr"/>
      <c r="D40" s="63" t="inlineStr"/>
      <c r="E40" s="63" t="inlineStr"/>
      <c r="F40" s="63">
        <f>IFERROR(ROUND(D40/C40*100,1),"")</f>
        <v/>
      </c>
      <c r="G40" s="63" t="inlineStr"/>
      <c r="H40" s="63" t="inlineStr"/>
      <c r="I40" s="62" t="inlineStr"/>
    </row>
    <row r="41" ht="22" customHeight="1">
      <c r="B41" s="4" t="inlineStr">
        <is>
          <t>MECH</t>
        </is>
      </c>
      <c r="C41" s="6" t="inlineStr"/>
      <c r="D41" s="6" t="inlineStr"/>
      <c r="E41" s="6" t="inlineStr"/>
      <c r="F41" s="6">
        <f>IFERROR(ROUND(D41/C41*100,1),"")</f>
        <v/>
      </c>
      <c r="G41" s="6" t="inlineStr"/>
      <c r="H41" s="6" t="inlineStr"/>
      <c r="I41" s="5" t="inlineStr"/>
    </row>
    <row r="42" ht="22" customHeight="1">
      <c r="B42" s="61" t="inlineStr">
        <is>
          <t>CIVIL</t>
        </is>
      </c>
      <c r="C42" s="63" t="inlineStr"/>
      <c r="D42" s="63" t="inlineStr"/>
      <c r="E42" s="63" t="inlineStr"/>
      <c r="F42" s="63">
        <f>IFERROR(ROUND(D42/C42*100,1),"")</f>
        <v/>
      </c>
      <c r="G42" s="63" t="inlineStr"/>
      <c r="H42" s="63" t="inlineStr"/>
      <c r="I42" s="62" t="inlineStr"/>
    </row>
    <row r="43" ht="22" customHeight="1">
      <c r="B43" s="4" t="inlineStr">
        <is>
          <t>S&amp;H</t>
        </is>
      </c>
      <c r="C43" s="6" t="inlineStr"/>
      <c r="D43" s="6" t="inlineStr"/>
      <c r="E43" s="6" t="inlineStr"/>
      <c r="F43" s="6">
        <f>IFERROR(ROUND(D43/C43*100,1),"")</f>
        <v/>
      </c>
      <c r="G43" s="6" t="inlineStr"/>
      <c r="H43" s="6" t="inlineStr"/>
      <c r="I43" s="5" t="inlineStr"/>
    </row>
    <row r="44" ht="22" customHeight="1">
      <c r="B44" s="61" t="inlineStr">
        <is>
          <t>MBA</t>
        </is>
      </c>
      <c r="C44" s="63" t="inlineStr"/>
      <c r="D44" s="63" t="inlineStr"/>
      <c r="E44" s="63" t="inlineStr"/>
      <c r="F44" s="63">
        <f>IFERROR(ROUND(D44/C44*100,1),"")</f>
        <v/>
      </c>
      <c r="G44" s="63" t="inlineStr"/>
      <c r="H44" s="63" t="inlineStr"/>
      <c r="I44" s="62" t="inlineStr"/>
    </row>
    <row r="45">
      <c r="B45" s="4" t="inlineStr">
        <is>
          <t>MCA</t>
        </is>
      </c>
      <c r="C45" s="6" t="inlineStr"/>
      <c r="D45" s="6" t="inlineStr"/>
      <c r="E45" s="6" t="inlineStr"/>
      <c r="F45" s="6">
        <f>IFERROR(ROUND(D45/C45*100,1),"")</f>
        <v/>
      </c>
      <c r="G45" s="6" t="inlineStr"/>
      <c r="H45" s="6" t="inlineStr"/>
      <c r="I45" s="5" t="inlineStr"/>
    </row>
  </sheetData>
  <mergeCells count="3">
    <mergeCell ref="B3:I3"/>
    <mergeCell ref="B36:I36"/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H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IQ-14: INFRASTRUCTURE &amp; FACILITY AUDIT FORM</t>
        </is>
      </c>
    </row>
    <row r="3" ht="25" customHeight="1">
      <c r="B3" s="2" t="inlineStr">
        <is>
          <t>A.Y.: _______  Audited by: ___________________  Date: _______  NAAC Criterion IV</t>
        </is>
      </c>
    </row>
    <row r="4" ht="24" customHeight="1">
      <c r="B4" s="19" t="inlineStr">
        <is>
          <t>A. ACADEMIC INFRASTRUCTURE</t>
        </is>
      </c>
    </row>
    <row r="5" ht="22" customHeight="1">
      <c r="B5" s="20" t="inlineStr">
        <is>
          <t>Sl.</t>
        </is>
      </c>
      <c r="C5" s="20" t="inlineStr">
        <is>
          <t>Infrastructure / Facility Parameter</t>
        </is>
      </c>
      <c r="D5" s="20" t="inlineStr">
        <is>
          <t>Present
Status</t>
        </is>
      </c>
      <c r="E5" s="20" t="inlineStr">
        <is>
          <t>Score
(1–5)</t>
        </is>
      </c>
      <c r="F5" s="20" t="inlineStr">
        <is>
          <t>NAAC
Benchmark</t>
        </is>
      </c>
      <c r="G5" s="20" t="inlineStr">
        <is>
          <t>Gap / Deficiency</t>
        </is>
      </c>
      <c r="H5" s="20" t="inlineStr">
        <is>
          <t>Action Required &amp; Timeline</t>
        </is>
      </c>
    </row>
    <row r="6" ht="22" customHeight="1">
      <c r="B6" s="28" t="n">
        <v>1</v>
      </c>
      <c r="C6" s="29" t="inlineStr">
        <is>
          <t>Classrooms (smart / regular) — no. &amp; seating capacity</t>
        </is>
      </c>
      <c r="D6" s="21" t="inlineStr">
        <is>
          <t>Adequate / Needs Upgrade</t>
        </is>
      </c>
      <c r="E6" s="21" t="inlineStr"/>
      <c r="F6" s="21" t="n">
        <v>4</v>
      </c>
      <c r="G6" s="29" t="inlineStr"/>
      <c r="H6" s="29" t="inlineStr"/>
    </row>
    <row r="7" ht="22" customHeight="1">
      <c r="B7" s="4" t="n">
        <v>2</v>
      </c>
      <c r="C7" s="5" t="inlineStr">
        <is>
          <t>Seminar / conference hall — capacity &amp; AV facility</t>
        </is>
      </c>
      <c r="D7" s="6" t="inlineStr">
        <is>
          <t>Adequate / Not Available</t>
        </is>
      </c>
      <c r="E7" s="6" t="inlineStr"/>
      <c r="F7" s="6" t="n">
        <v>4</v>
      </c>
      <c r="G7" s="5" t="inlineStr"/>
      <c r="H7" s="5" t="inlineStr"/>
    </row>
    <row r="8" ht="22" customHeight="1">
      <c r="B8" s="28" t="n">
        <v>3</v>
      </c>
      <c r="C8" s="29" t="inlineStr">
        <is>
          <t>Tutorial rooms &amp; discussion spaces</t>
        </is>
      </c>
      <c r="D8" s="21" t="inlineStr">
        <is>
          <t>Adequate / Insufficient</t>
        </is>
      </c>
      <c r="E8" s="21" t="inlineStr"/>
      <c r="F8" s="21" t="n">
        <v>4</v>
      </c>
      <c r="G8" s="29" t="inlineStr"/>
      <c r="H8" s="29" t="inlineStr"/>
    </row>
    <row r="9" ht="22" customHeight="1">
      <c r="B9" s="4" t="n">
        <v>4</v>
      </c>
      <c r="C9" s="5" t="inlineStr">
        <is>
          <t>Laboratories — equipped as per curriculum requirement</t>
        </is>
      </c>
      <c r="D9" s="6" t="inlineStr">
        <is>
          <t>% equipped</t>
        </is>
      </c>
      <c r="E9" s="6" t="inlineStr"/>
      <c r="F9" s="6" t="n">
        <v>4</v>
      </c>
      <c r="G9" s="5" t="inlineStr"/>
      <c r="H9" s="5" t="inlineStr"/>
    </row>
    <row r="10" ht="22" customHeight="1">
      <c r="B10" s="28" t="n">
        <v>5</v>
      </c>
      <c r="C10" s="29" t="inlineStr">
        <is>
          <t>Workshop / fabrication facility</t>
        </is>
      </c>
      <c r="D10" s="21" t="inlineStr">
        <is>
          <t>Available / Not Available</t>
        </is>
      </c>
      <c r="E10" s="21" t="inlineStr"/>
      <c r="F10" s="21" t="n">
        <v>4</v>
      </c>
      <c r="G10" s="29" t="inlineStr"/>
      <c r="H10" s="29" t="inlineStr"/>
    </row>
    <row r="11" ht="22" customHeight="1">
      <c r="B11" s="4" t="n">
        <v>6</v>
      </c>
      <c r="C11" s="5" t="inlineStr">
        <is>
          <t>Drawing hall / design studio</t>
        </is>
      </c>
      <c r="D11" s="6" t="inlineStr">
        <is>
          <t>Adequate / Not Available</t>
        </is>
      </c>
      <c r="E11" s="6" t="inlineStr"/>
      <c r="F11" s="6" t="n">
        <v>4</v>
      </c>
      <c r="G11" s="5" t="inlineStr"/>
      <c r="H11" s="5" t="inlineStr"/>
    </row>
    <row r="12" ht="22" customHeight="1"/>
    <row r="13" ht="24" customHeight="1">
      <c r="B13" s="30" t="inlineStr">
        <is>
          <t>B. LIBRARY &amp; LEARNING RESOURCES</t>
        </is>
      </c>
    </row>
    <row r="14" ht="22" customHeight="1">
      <c r="B14" s="31" t="inlineStr">
        <is>
          <t>Sl.</t>
        </is>
      </c>
      <c r="C14" s="31" t="inlineStr">
        <is>
          <t>Infrastructure / Facility Parameter</t>
        </is>
      </c>
      <c r="D14" s="31" t="inlineStr">
        <is>
          <t>Present
Status</t>
        </is>
      </c>
      <c r="E14" s="31" t="inlineStr">
        <is>
          <t>Score
(1–5)</t>
        </is>
      </c>
      <c r="F14" s="31" t="inlineStr">
        <is>
          <t>NAAC
Benchmark</t>
        </is>
      </c>
      <c r="G14" s="31" t="inlineStr">
        <is>
          <t>Gap / Deficiency</t>
        </is>
      </c>
      <c r="H14" s="31" t="inlineStr">
        <is>
          <t>Action Required &amp; Timeline</t>
        </is>
      </c>
    </row>
    <row r="15" ht="22" customHeight="1">
      <c r="B15" s="32" t="n">
        <v>1</v>
      </c>
      <c r="C15" s="33" t="inlineStr">
        <is>
          <t>Total volumes (books &amp; bound journals)</t>
        </is>
      </c>
      <c r="D15" s="34" t="inlineStr">
        <is>
          <t>No. of books</t>
        </is>
      </c>
      <c r="E15" s="34" t="inlineStr"/>
      <c r="F15" s="34" t="n">
        <v>4</v>
      </c>
      <c r="G15" s="33" t="inlineStr"/>
      <c r="H15" s="33" t="inlineStr"/>
    </row>
    <row r="16" ht="22" customHeight="1">
      <c r="B16" s="4" t="n">
        <v>2</v>
      </c>
      <c r="C16" s="5" t="inlineStr">
        <is>
          <t>National &amp; international journals subscribed</t>
        </is>
      </c>
      <c r="D16" s="6" t="inlineStr">
        <is>
          <t>No.</t>
        </is>
      </c>
      <c r="E16" s="6" t="inlineStr"/>
      <c r="F16" s="6" t="n">
        <v>4</v>
      </c>
      <c r="G16" s="5" t="inlineStr"/>
      <c r="H16" s="5" t="inlineStr"/>
    </row>
    <row r="17" ht="22" customHeight="1">
      <c r="B17" s="32" t="n">
        <v>3</v>
      </c>
      <c r="C17" s="33" t="inlineStr">
        <is>
          <t>e-Resources (e-books, databases, INFLIBNET)</t>
        </is>
      </c>
      <c r="D17" s="34" t="inlineStr">
        <is>
          <t>No. &amp; ₹L</t>
        </is>
      </c>
      <c r="E17" s="34" t="inlineStr"/>
      <c r="F17" s="34" t="n">
        <v>4</v>
      </c>
      <c r="G17" s="33" t="inlineStr"/>
      <c r="H17" s="33" t="inlineStr"/>
    </row>
    <row r="18" ht="22" customHeight="1">
      <c r="B18" s="4" t="n">
        <v>4</v>
      </c>
      <c r="C18" s="5" t="inlineStr">
        <is>
          <t>Seating capacity of library</t>
        </is>
      </c>
      <c r="D18" s="6" t="inlineStr">
        <is>
          <t>No. of seats</t>
        </is>
      </c>
      <c r="E18" s="6" t="inlineStr"/>
      <c r="F18" s="6" t="n">
        <v>4</v>
      </c>
      <c r="G18" s="5" t="inlineStr"/>
      <c r="H18" s="5" t="inlineStr"/>
    </row>
    <row r="19" ht="22" customHeight="1">
      <c r="B19" s="32" t="n">
        <v>5</v>
      </c>
      <c r="C19" s="33" t="inlineStr">
        <is>
          <t>Reading room — hours of operation</t>
        </is>
      </c>
      <c r="D19" s="34" t="inlineStr">
        <is>
          <t>Hours / Day</t>
        </is>
      </c>
      <c r="E19" s="34" t="inlineStr"/>
      <c r="F19" s="34" t="n">
        <v>4</v>
      </c>
      <c r="G19" s="33" t="inlineStr"/>
      <c r="H19" s="33" t="inlineStr"/>
    </row>
    <row r="20" ht="22" customHeight="1">
      <c r="B20" s="4" t="n">
        <v>6</v>
      </c>
      <c r="C20" s="5" t="inlineStr">
        <is>
          <t>Digital library / OPAC system</t>
        </is>
      </c>
      <c r="D20" s="6" t="inlineStr">
        <is>
          <t>Available / Not</t>
        </is>
      </c>
      <c r="E20" s="6" t="inlineStr"/>
      <c r="F20" s="6" t="n">
        <v>4</v>
      </c>
      <c r="G20" s="5" t="inlineStr"/>
      <c r="H20" s="5" t="inlineStr"/>
    </row>
    <row r="21" ht="22" customHeight="1"/>
    <row r="22" ht="24" customHeight="1">
      <c r="B22" s="18" t="inlineStr">
        <is>
          <t>C. IT &amp; DIGITAL INFRASTRUCTURE</t>
        </is>
      </c>
    </row>
    <row r="23" ht="22" customHeight="1">
      <c r="B23" s="12" t="inlineStr">
        <is>
          <t>Sl.</t>
        </is>
      </c>
      <c r="C23" s="12" t="inlineStr">
        <is>
          <t>Infrastructure / Facility Parameter</t>
        </is>
      </c>
      <c r="D23" s="12" t="inlineStr">
        <is>
          <t>Present
Status</t>
        </is>
      </c>
      <c r="E23" s="12" t="inlineStr">
        <is>
          <t>Score
(1–5)</t>
        </is>
      </c>
      <c r="F23" s="12" t="inlineStr">
        <is>
          <t>NAAC
Benchmark</t>
        </is>
      </c>
      <c r="G23" s="12" t="inlineStr">
        <is>
          <t>Gap / Deficiency</t>
        </is>
      </c>
      <c r="H23" s="12" t="inlineStr">
        <is>
          <t>Action Required &amp; Timeline</t>
        </is>
      </c>
    </row>
    <row r="24" ht="22" customHeight="1">
      <c r="B24" s="13" t="n">
        <v>1</v>
      </c>
      <c r="C24" s="14" t="inlineStr">
        <is>
          <t>Total computers (academic use)</t>
        </is>
      </c>
      <c r="D24" s="15" t="inlineStr">
        <is>
          <t>No.</t>
        </is>
      </c>
      <c r="E24" s="15" t="inlineStr"/>
      <c r="F24" s="15" t="n">
        <v>4</v>
      </c>
      <c r="G24" s="14" t="inlineStr"/>
      <c r="H24" s="14" t="inlineStr"/>
    </row>
    <row r="25" ht="22" customHeight="1">
      <c r="B25" s="4" t="n">
        <v>2</v>
      </c>
      <c r="C25" s="5" t="inlineStr">
        <is>
          <t>Student-computer ratio</t>
        </is>
      </c>
      <c r="D25" s="6" t="inlineStr">
        <is>
          <t>Ratio</t>
        </is>
      </c>
      <c r="E25" s="6" t="inlineStr"/>
      <c r="F25" s="6" t="n">
        <v>4</v>
      </c>
      <c r="G25" s="5" t="inlineStr"/>
      <c r="H25" s="5" t="inlineStr"/>
    </row>
    <row r="26" ht="22" customHeight="1">
      <c r="B26" s="13" t="n">
        <v>3</v>
      </c>
      <c r="C26" s="14" t="inlineStr">
        <is>
          <t>Internet bandwidth (Mbps)</t>
        </is>
      </c>
      <c r="D26" s="15" t="inlineStr">
        <is>
          <t>Mbps</t>
        </is>
      </c>
      <c r="E26" s="15" t="inlineStr"/>
      <c r="F26" s="15" t="n">
        <v>4</v>
      </c>
      <c r="G26" s="14" t="inlineStr"/>
      <c r="H26" s="14" t="inlineStr"/>
    </row>
    <row r="27" ht="22" customHeight="1">
      <c r="B27" s="4" t="n">
        <v>4</v>
      </c>
      <c r="C27" s="5" t="inlineStr">
        <is>
          <t>Wi-Fi coverage on campus (%)</t>
        </is>
      </c>
      <c r="D27" s="6" t="inlineStr">
        <is>
          <t>% area covered</t>
        </is>
      </c>
      <c r="E27" s="6" t="inlineStr"/>
      <c r="F27" s="6" t="n">
        <v>4</v>
      </c>
      <c r="G27" s="5" t="inlineStr"/>
      <c r="H27" s="5" t="inlineStr"/>
    </row>
    <row r="28" ht="22" customHeight="1">
      <c r="B28" s="13" t="n">
        <v>5</v>
      </c>
      <c r="C28" s="14" t="inlineStr">
        <is>
          <t>LMS / e-learning platform</t>
        </is>
      </c>
      <c r="D28" s="15" t="inlineStr">
        <is>
          <t>Platform name</t>
        </is>
      </c>
      <c r="E28" s="15" t="inlineStr"/>
      <c r="F28" s="15" t="n">
        <v>4</v>
      </c>
      <c r="G28" s="14" t="inlineStr"/>
      <c r="H28" s="14" t="inlineStr"/>
    </row>
    <row r="29" ht="22" customHeight="1">
      <c r="B29" s="4" t="n">
        <v>6</v>
      </c>
      <c r="C29" s="5" t="inlineStr">
        <is>
          <t>Cloud storage / institutional email</t>
        </is>
      </c>
      <c r="D29" s="6" t="inlineStr">
        <is>
          <t>Available / Not</t>
        </is>
      </c>
      <c r="E29" s="6" t="inlineStr"/>
      <c r="F29" s="6" t="n">
        <v>4</v>
      </c>
      <c r="G29" s="5" t="inlineStr"/>
      <c r="H29" s="5" t="inlineStr"/>
    </row>
    <row r="30" ht="22" customHeight="1"/>
    <row r="31" ht="24" customHeight="1">
      <c r="B31" s="40" t="inlineStr">
        <is>
          <t>D. SPORTS &amp; CO-CURRICULAR FACILITIES</t>
        </is>
      </c>
    </row>
    <row r="32" ht="22" customHeight="1">
      <c r="B32" s="41" t="inlineStr">
        <is>
          <t>Sl.</t>
        </is>
      </c>
      <c r="C32" s="41" t="inlineStr">
        <is>
          <t>Infrastructure / Facility Parameter</t>
        </is>
      </c>
      <c r="D32" s="41" t="inlineStr">
        <is>
          <t>Present
Status</t>
        </is>
      </c>
      <c r="E32" s="41" t="inlineStr">
        <is>
          <t>Score
(1–5)</t>
        </is>
      </c>
      <c r="F32" s="41" t="inlineStr">
        <is>
          <t>NAAC
Benchmark</t>
        </is>
      </c>
      <c r="G32" s="41" t="inlineStr">
        <is>
          <t>Gap / Deficiency</t>
        </is>
      </c>
      <c r="H32" s="41" t="inlineStr">
        <is>
          <t>Action Required &amp; Timeline</t>
        </is>
      </c>
    </row>
    <row r="33" ht="22" customHeight="1">
      <c r="B33" s="42" t="n">
        <v>1</v>
      </c>
      <c r="C33" s="43" t="inlineStr">
        <is>
          <t>Outdoor sports facilities (grounds, courts)</t>
        </is>
      </c>
      <c r="D33" s="44" t="inlineStr">
        <is>
          <t>List</t>
        </is>
      </c>
      <c r="E33" s="44" t="inlineStr"/>
      <c r="F33" s="44" t="n">
        <v>4</v>
      </c>
      <c r="G33" s="43" t="inlineStr"/>
      <c r="H33" s="43" t="inlineStr"/>
    </row>
    <row r="34" ht="22" customHeight="1">
      <c r="B34" s="4" t="n">
        <v>2</v>
      </c>
      <c r="C34" s="5" t="inlineStr">
        <is>
          <t>Indoor sports facilities (gymnasium, courts)</t>
        </is>
      </c>
      <c r="D34" s="6" t="inlineStr">
        <is>
          <t>List</t>
        </is>
      </c>
      <c r="E34" s="6" t="inlineStr"/>
      <c r="F34" s="6" t="n">
        <v>4</v>
      </c>
      <c r="G34" s="5" t="inlineStr"/>
      <c r="H34" s="5" t="inlineStr"/>
    </row>
    <row r="35" ht="22" customHeight="1">
      <c r="B35" s="42" t="n">
        <v>3</v>
      </c>
      <c r="C35" s="43" t="inlineStr">
        <is>
          <t>Auditorium / open air theatre</t>
        </is>
      </c>
      <c r="D35" s="44" t="inlineStr">
        <is>
          <t>Capacity</t>
        </is>
      </c>
      <c r="E35" s="44" t="inlineStr"/>
      <c r="F35" s="44" t="n">
        <v>4</v>
      </c>
      <c r="G35" s="43" t="inlineStr"/>
      <c r="H35" s="43" t="inlineStr"/>
    </row>
    <row r="36" ht="22" customHeight="1">
      <c r="B36" s="4" t="n">
        <v>4</v>
      </c>
      <c r="C36" s="5" t="inlineStr">
        <is>
          <t>Student activity centre / common room</t>
        </is>
      </c>
      <c r="D36" s="6" t="inlineStr">
        <is>
          <t>Area sq. ft.</t>
        </is>
      </c>
      <c r="E36" s="6" t="inlineStr"/>
      <c r="F36" s="6" t="n">
        <v>4</v>
      </c>
      <c r="G36" s="5" t="inlineStr"/>
      <c r="H36" s="5" t="inlineStr"/>
    </row>
    <row r="37" ht="22" customHeight="1">
      <c r="B37" s="42" t="n">
        <v>5</v>
      </c>
      <c r="C37" s="43" t="inlineStr">
        <is>
          <t>NSS / NCC room &amp; resources</t>
        </is>
      </c>
      <c r="D37" s="44" t="inlineStr">
        <is>
          <t>Available / Not</t>
        </is>
      </c>
      <c r="E37" s="44" t="inlineStr"/>
      <c r="F37" s="44" t="n">
        <v>4</v>
      </c>
      <c r="G37" s="43" t="inlineStr"/>
      <c r="H37" s="43" t="inlineStr"/>
    </row>
    <row r="38" ht="22" customHeight="1"/>
    <row r="39" ht="24" customHeight="1">
      <c r="B39" s="45" t="inlineStr">
        <is>
          <t>E. SUPPORT &amp; WELFARE INFRASTRUCTURE</t>
        </is>
      </c>
    </row>
    <row r="40" ht="22" customHeight="1">
      <c r="B40" s="46" t="inlineStr">
        <is>
          <t>Sl.</t>
        </is>
      </c>
      <c r="C40" s="46" t="inlineStr">
        <is>
          <t>Infrastructure / Facility Parameter</t>
        </is>
      </c>
      <c r="D40" s="46" t="inlineStr">
        <is>
          <t>Present
Status</t>
        </is>
      </c>
      <c r="E40" s="46" t="inlineStr">
        <is>
          <t>Score
(1–5)</t>
        </is>
      </c>
      <c r="F40" s="46" t="inlineStr">
        <is>
          <t>NAAC
Benchmark</t>
        </is>
      </c>
      <c r="G40" s="46" t="inlineStr">
        <is>
          <t>Gap / Deficiency</t>
        </is>
      </c>
      <c r="H40" s="46" t="inlineStr">
        <is>
          <t>Action Required &amp; Timeline</t>
        </is>
      </c>
    </row>
    <row r="41" ht="22" customHeight="1">
      <c r="B41" s="47" t="n">
        <v>1</v>
      </c>
      <c r="C41" s="48" t="inlineStr">
        <is>
          <t>Canteen / cafeteria — capacity &amp; quality</t>
        </is>
      </c>
      <c r="D41" s="49" t="inlineStr">
        <is>
          <t>Adequate / Needs Work</t>
        </is>
      </c>
      <c r="E41" s="49" t="inlineStr"/>
      <c r="F41" s="49" t="n">
        <v>4</v>
      </c>
      <c r="G41" s="48" t="inlineStr"/>
      <c r="H41" s="48" t="inlineStr"/>
    </row>
    <row r="42" ht="22" customHeight="1">
      <c r="B42" s="4" t="n">
        <v>2</v>
      </c>
      <c r="C42" s="5" t="inlineStr">
        <is>
          <t>Medical / first-aid centre on campus</t>
        </is>
      </c>
      <c r="D42" s="6" t="inlineStr">
        <is>
          <t>Available / 24x7</t>
        </is>
      </c>
      <c r="E42" s="6" t="inlineStr"/>
      <c r="F42" s="6" t="n">
        <v>4</v>
      </c>
      <c r="G42" s="5" t="inlineStr"/>
      <c r="H42" s="5" t="inlineStr"/>
    </row>
    <row r="43" ht="22" customHeight="1">
      <c r="B43" s="47" t="n">
        <v>3</v>
      </c>
      <c r="C43" s="48" t="inlineStr">
        <is>
          <t>Transport facility — routes &amp; fleet</t>
        </is>
      </c>
      <c r="D43" s="49" t="inlineStr">
        <is>
          <t>No. of buses</t>
        </is>
      </c>
      <c r="E43" s="49" t="inlineStr"/>
      <c r="F43" s="49" t="n">
        <v>4</v>
      </c>
      <c r="G43" s="48" t="inlineStr"/>
      <c r="H43" s="48" t="inlineStr"/>
    </row>
    <row r="44" ht="22" customHeight="1">
      <c r="B44" s="4" t="n">
        <v>4</v>
      </c>
      <c r="C44" s="5" t="inlineStr">
        <is>
          <t>Hostel — capacity, occupancy &amp; amenities</t>
        </is>
      </c>
      <c r="D44" s="6" t="inlineStr">
        <is>
          <t>UG / PG separately</t>
        </is>
      </c>
      <c r="E44" s="6" t="inlineStr"/>
      <c r="F44" s="6" t="n">
        <v>4</v>
      </c>
      <c r="G44" s="5" t="inlineStr"/>
      <c r="H44" s="5" t="inlineStr"/>
    </row>
    <row r="45" ht="22" customHeight="1">
      <c r="B45" s="47" t="n">
        <v>5</v>
      </c>
      <c r="C45" s="48" t="inlineStr">
        <is>
          <t>Women's hostel — security &amp; facilities</t>
        </is>
      </c>
      <c r="D45" s="49" t="inlineStr">
        <is>
          <t>Adequate / Needs Work</t>
        </is>
      </c>
      <c r="E45" s="49" t="inlineStr"/>
      <c r="F45" s="49" t="n">
        <v>4</v>
      </c>
      <c r="G45" s="48" t="inlineStr"/>
      <c r="H45" s="48" t="inlineStr"/>
    </row>
    <row r="46" ht="22" customHeight="1">
      <c r="B46" s="4" t="n">
        <v>6</v>
      </c>
      <c r="C46" s="5" t="inlineStr">
        <is>
          <t>Differently abled (Divyangjan) facilities</t>
        </is>
      </c>
      <c r="D46" s="6" t="inlineStr">
        <is>
          <t>Ramps, lifts, etc.</t>
        </is>
      </c>
      <c r="E46" s="6" t="inlineStr"/>
      <c r="F46" s="6" t="n">
        <v>4</v>
      </c>
      <c r="G46" s="5" t="inlineStr"/>
      <c r="H46" s="5" t="inlineStr"/>
    </row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7">
    <mergeCell ref="B22:H22"/>
    <mergeCell ref="B13:H13"/>
    <mergeCell ref="B4:H4"/>
    <mergeCell ref="B39:H39"/>
    <mergeCell ref="B2:H2"/>
    <mergeCell ref="B3:H3"/>
    <mergeCell ref="B31:H3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IQ-15: GREEN &amp; SUSTAINABLE CAMPUS AUDIT FORM</t>
        </is>
      </c>
    </row>
    <row r="3" ht="25" customHeight="1">
      <c r="B3" s="2" t="inlineStr">
        <is>
          <t>A.Y.: _______  NAAC Criterion 7.1  Audited by: ___________________  Date: _______</t>
        </is>
      </c>
    </row>
    <row r="4" ht="24" customHeight="1">
      <c r="B4" s="30" t="inlineStr">
        <is>
          <t>A. ENERGY CONSERVATION</t>
        </is>
      </c>
    </row>
    <row r="5" ht="22" customHeight="1">
      <c r="B5" s="31" t="inlineStr">
        <is>
          <t>Sl.</t>
        </is>
      </c>
      <c r="C5" s="31" t="inlineStr">
        <is>
          <t>Green Campus Parameter</t>
        </is>
      </c>
      <c r="D5" s="31" t="inlineStr">
        <is>
          <t>Unit / Metric</t>
        </is>
      </c>
      <c r="E5" s="31" t="inlineStr">
        <is>
          <t>Current Value</t>
        </is>
      </c>
      <c r="F5" s="31" t="inlineStr">
        <is>
          <t>Prev Year
Value</t>
        </is>
      </c>
      <c r="G5" s="31" t="inlineStr">
        <is>
          <t>Target / Benchmark</t>
        </is>
      </c>
      <c r="H5" s="31" t="inlineStr">
        <is>
          <t>IQAC Action</t>
        </is>
      </c>
    </row>
    <row r="6" ht="22" customHeight="1">
      <c r="B6" s="32" t="n">
        <v>1</v>
      </c>
      <c r="C6" s="33" t="inlineStr">
        <is>
          <t>Total electricity consumption (units / year)</t>
        </is>
      </c>
      <c r="D6" s="34" t="inlineStr">
        <is>
          <t>kWh / year</t>
        </is>
      </c>
      <c r="E6" s="34" t="inlineStr"/>
      <c r="F6" s="34" t="inlineStr"/>
      <c r="G6" s="34" t="inlineStr"/>
      <c r="H6" s="33" t="inlineStr"/>
    </row>
    <row r="7" ht="22" customHeight="1">
      <c r="B7" s="4" t="n">
        <v>2</v>
      </c>
      <c r="C7" s="5" t="inlineStr">
        <is>
          <t>Renewable energy (solar / wind) installed (kW)</t>
        </is>
      </c>
      <c r="D7" s="6" t="inlineStr">
        <is>
          <t>kW capacity</t>
        </is>
      </c>
      <c r="E7" s="6" t="inlineStr"/>
      <c r="F7" s="6" t="inlineStr"/>
      <c r="G7" s="6" t="inlineStr"/>
      <c r="H7" s="5" t="inlineStr"/>
    </row>
    <row r="8" ht="22" customHeight="1">
      <c r="B8" s="32" t="n">
        <v>3</v>
      </c>
      <c r="C8" s="33" t="inlineStr">
        <is>
          <t>% of electricity from renewable sources</t>
        </is>
      </c>
      <c r="D8" s="34" t="inlineStr">
        <is>
          <t>% of total</t>
        </is>
      </c>
      <c r="E8" s="34" t="inlineStr"/>
      <c r="F8" s="34" t="inlineStr"/>
      <c r="G8" s="34" t="inlineStr"/>
      <c r="H8" s="33" t="inlineStr"/>
    </row>
    <row r="9" ht="22" customHeight="1">
      <c r="B9" s="4" t="n">
        <v>4</v>
      </c>
      <c r="C9" s="5" t="inlineStr">
        <is>
          <t>LED lighting adopted across campus (%)</t>
        </is>
      </c>
      <c r="D9" s="6" t="inlineStr">
        <is>
          <t>% of fittings</t>
        </is>
      </c>
      <c r="E9" s="6" t="inlineStr"/>
      <c r="F9" s="6" t="inlineStr"/>
      <c r="G9" s="6" t="inlineStr"/>
      <c r="H9" s="5" t="inlineStr"/>
    </row>
    <row r="10" ht="22" customHeight="1">
      <c r="B10" s="32" t="n">
        <v>5</v>
      </c>
      <c r="C10" s="33" t="inlineStr">
        <is>
          <t>Energy audit conducted (Y/N &amp; year)</t>
        </is>
      </c>
      <c r="D10" s="34" t="inlineStr">
        <is>
          <t>Y / N + Year</t>
        </is>
      </c>
      <c r="E10" s="34" t="inlineStr"/>
      <c r="F10" s="34" t="inlineStr"/>
      <c r="G10" s="34" t="inlineStr"/>
      <c r="H10" s="33" t="inlineStr"/>
    </row>
    <row r="11" ht="22" customHeight="1">
      <c r="B11" s="4" t="n">
        <v>6</v>
      </c>
      <c r="C11" s="5" t="inlineStr">
        <is>
          <t>Energy conservation measures implemented</t>
        </is>
      </c>
      <c r="D11" s="6" t="inlineStr">
        <is>
          <t>List measures</t>
        </is>
      </c>
      <c r="E11" s="6" t="inlineStr"/>
      <c r="F11" s="6" t="inlineStr"/>
      <c r="G11" s="6" t="inlineStr"/>
      <c r="H11" s="5" t="inlineStr"/>
    </row>
    <row r="12" ht="22" customHeight="1"/>
    <row r="13" ht="24" customHeight="1">
      <c r="B13" s="18" t="inlineStr">
        <is>
          <t>B. WATER CONSERVATION</t>
        </is>
      </c>
    </row>
    <row r="14" ht="22" customHeight="1">
      <c r="B14" s="12" t="inlineStr">
        <is>
          <t>Sl.</t>
        </is>
      </c>
      <c r="C14" s="12" t="inlineStr">
        <is>
          <t>Green Campus Parameter</t>
        </is>
      </c>
      <c r="D14" s="12" t="inlineStr">
        <is>
          <t>Unit / Metric</t>
        </is>
      </c>
      <c r="E14" s="12" t="inlineStr">
        <is>
          <t>Current Value</t>
        </is>
      </c>
      <c r="F14" s="12" t="inlineStr">
        <is>
          <t>Prev Year
Value</t>
        </is>
      </c>
      <c r="G14" s="12" t="inlineStr">
        <is>
          <t>Target / Benchmark</t>
        </is>
      </c>
      <c r="H14" s="12" t="inlineStr">
        <is>
          <t>IQAC Action</t>
        </is>
      </c>
    </row>
    <row r="15" ht="22" customHeight="1">
      <c r="B15" s="13" t="n">
        <v>1</v>
      </c>
      <c r="C15" s="14" t="inlineStr">
        <is>
          <t>Total water consumption (KL / year)</t>
        </is>
      </c>
      <c r="D15" s="15" t="inlineStr">
        <is>
          <t>KL / year</t>
        </is>
      </c>
      <c r="E15" s="15" t="inlineStr"/>
      <c r="F15" s="15" t="inlineStr"/>
      <c r="G15" s="15" t="inlineStr"/>
      <c r="H15" s="14" t="inlineStr"/>
    </row>
    <row r="16" ht="22" customHeight="1">
      <c r="B16" s="4" t="n">
        <v>2</v>
      </c>
      <c r="C16" s="5" t="inlineStr">
        <is>
          <t>Rainwater harvesting capacity (KL)</t>
        </is>
      </c>
      <c r="D16" s="6" t="inlineStr">
        <is>
          <t>KL</t>
        </is>
      </c>
      <c r="E16" s="6" t="inlineStr"/>
      <c r="F16" s="6" t="inlineStr"/>
      <c r="G16" s="6" t="inlineStr"/>
      <c r="H16" s="5" t="inlineStr"/>
    </row>
    <row r="17" ht="22" customHeight="1">
      <c r="B17" s="13" t="n">
        <v>3</v>
      </c>
      <c r="C17" s="14" t="inlineStr">
        <is>
          <t>Water recycling / effluent treatment (KL / day)</t>
        </is>
      </c>
      <c r="D17" s="15" t="inlineStr">
        <is>
          <t>KL / day</t>
        </is>
      </c>
      <c r="E17" s="15" t="inlineStr"/>
      <c r="F17" s="15" t="inlineStr"/>
      <c r="G17" s="15" t="inlineStr"/>
      <c r="H17" s="14" t="inlineStr"/>
    </row>
    <row r="18" ht="22" customHeight="1">
      <c r="B18" s="4" t="n">
        <v>4</v>
      </c>
      <c r="C18" s="5" t="inlineStr">
        <is>
          <t>Zero liquid discharge achieved (Y/N)</t>
        </is>
      </c>
      <c r="D18" s="6" t="inlineStr">
        <is>
          <t>Y / N</t>
        </is>
      </c>
      <c r="E18" s="6" t="inlineStr"/>
      <c r="F18" s="6" t="inlineStr"/>
      <c r="G18" s="6" t="inlineStr"/>
      <c r="H18" s="5" t="inlineStr"/>
    </row>
    <row r="19" ht="22" customHeight="1">
      <c r="B19" s="13" t="n">
        <v>5</v>
      </c>
      <c r="C19" s="14" t="inlineStr">
        <is>
          <t>Water audit conducted</t>
        </is>
      </c>
      <c r="D19" s="15" t="inlineStr">
        <is>
          <t>Y / N + Year</t>
        </is>
      </c>
      <c r="E19" s="15" t="inlineStr"/>
      <c r="F19" s="15" t="inlineStr"/>
      <c r="G19" s="15" t="inlineStr"/>
      <c r="H19" s="14" t="inlineStr"/>
    </row>
    <row r="20" ht="22" customHeight="1"/>
    <row r="21" ht="24" customHeight="1">
      <c r="B21" s="35" t="inlineStr">
        <is>
          <t>C. WASTE MANAGEMENT</t>
        </is>
      </c>
    </row>
    <row r="22" ht="22" customHeight="1">
      <c r="B22" s="36" t="inlineStr">
        <is>
          <t>Sl.</t>
        </is>
      </c>
      <c r="C22" s="36" t="inlineStr">
        <is>
          <t>Green Campus Parameter</t>
        </is>
      </c>
      <c r="D22" s="36" t="inlineStr">
        <is>
          <t>Unit / Metric</t>
        </is>
      </c>
      <c r="E22" s="36" t="inlineStr">
        <is>
          <t>Current Value</t>
        </is>
      </c>
      <c r="F22" s="36" t="inlineStr">
        <is>
          <t>Prev Year
Value</t>
        </is>
      </c>
      <c r="G22" s="36" t="inlineStr">
        <is>
          <t>Target / Benchmark</t>
        </is>
      </c>
      <c r="H22" s="36" t="inlineStr">
        <is>
          <t>IQAC Action</t>
        </is>
      </c>
    </row>
    <row r="23" ht="22" customHeight="1">
      <c r="B23" s="37" t="n">
        <v>1</v>
      </c>
      <c r="C23" s="38" t="inlineStr">
        <is>
          <t>Segregated waste disposal (dry/wet/e-waste)</t>
        </is>
      </c>
      <c r="D23" s="39" t="inlineStr">
        <is>
          <t>Y / N + Method</t>
        </is>
      </c>
      <c r="E23" s="39" t="inlineStr"/>
      <c r="F23" s="39" t="inlineStr"/>
      <c r="G23" s="39" t="inlineStr"/>
      <c r="H23" s="38" t="inlineStr"/>
    </row>
    <row r="24" ht="22" customHeight="1">
      <c r="B24" s="4" t="n">
        <v>2</v>
      </c>
      <c r="C24" s="5" t="inlineStr">
        <is>
          <t>E-waste disposal mechanism</t>
        </is>
      </c>
      <c r="D24" s="6" t="inlineStr">
        <is>
          <t>Authorised vendor</t>
        </is>
      </c>
      <c r="E24" s="6" t="inlineStr"/>
      <c r="F24" s="6" t="inlineStr"/>
      <c r="G24" s="6" t="inlineStr"/>
      <c r="H24" s="5" t="inlineStr"/>
    </row>
    <row r="25" ht="22" customHeight="1">
      <c r="B25" s="37" t="n">
        <v>3</v>
      </c>
      <c r="C25" s="38" t="inlineStr">
        <is>
          <t>Biomedical waste disposal (if lab/medical)</t>
        </is>
      </c>
      <c r="D25" s="39" t="inlineStr">
        <is>
          <t>Certified method</t>
        </is>
      </c>
      <c r="E25" s="39" t="inlineStr"/>
      <c r="F25" s="39" t="inlineStr"/>
      <c r="G25" s="39" t="inlineStr"/>
      <c r="H25" s="38" t="inlineStr"/>
    </row>
    <row r="26" ht="22" customHeight="1">
      <c r="B26" s="4" t="n">
        <v>4</v>
      </c>
      <c r="C26" s="5" t="inlineStr">
        <is>
          <t>Composting / organic waste management</t>
        </is>
      </c>
      <c r="D26" s="6" t="inlineStr">
        <is>
          <t>Y / N + qty</t>
        </is>
      </c>
      <c r="E26" s="6" t="inlineStr"/>
      <c r="F26" s="6" t="inlineStr"/>
      <c r="G26" s="6" t="inlineStr"/>
      <c r="H26" s="5" t="inlineStr"/>
    </row>
    <row r="27" ht="22" customHeight="1">
      <c r="B27" s="37" t="n">
        <v>5</v>
      </c>
      <c r="C27" s="38" t="inlineStr">
        <is>
          <t>Paper recycling initiative</t>
        </is>
      </c>
      <c r="D27" s="39" t="inlineStr">
        <is>
          <t>Y / N</t>
        </is>
      </c>
      <c r="E27" s="39" t="inlineStr"/>
      <c r="F27" s="39" t="inlineStr"/>
      <c r="G27" s="39" t="inlineStr"/>
      <c r="H27" s="38" t="inlineStr"/>
    </row>
    <row r="28" ht="22" customHeight="1"/>
    <row r="29" ht="24" customHeight="1">
      <c r="B29" s="45" t="inlineStr">
        <is>
          <t>D. GREEN CAMPUS INITIATIVES</t>
        </is>
      </c>
    </row>
    <row r="30" ht="22" customHeight="1">
      <c r="B30" s="46" t="inlineStr">
        <is>
          <t>Sl.</t>
        </is>
      </c>
      <c r="C30" s="46" t="inlineStr">
        <is>
          <t>Green Campus Parameter</t>
        </is>
      </c>
      <c r="D30" s="46" t="inlineStr">
        <is>
          <t>Unit / Metric</t>
        </is>
      </c>
      <c r="E30" s="46" t="inlineStr">
        <is>
          <t>Current Value</t>
        </is>
      </c>
      <c r="F30" s="46" t="inlineStr">
        <is>
          <t>Prev Year
Value</t>
        </is>
      </c>
      <c r="G30" s="46" t="inlineStr">
        <is>
          <t>Target / Benchmark</t>
        </is>
      </c>
      <c r="H30" s="46" t="inlineStr">
        <is>
          <t>IQAC Action</t>
        </is>
      </c>
    </row>
    <row r="31" ht="22" customHeight="1">
      <c r="B31" s="47" t="n">
        <v>1</v>
      </c>
      <c r="C31" s="48" t="inlineStr">
        <is>
          <t>Green cover on campus (trees / sq. ft. %)</t>
        </is>
      </c>
      <c r="D31" s="49" t="inlineStr">
        <is>
          <t>No. of trees &amp; %</t>
        </is>
      </c>
      <c r="E31" s="49" t="inlineStr"/>
      <c r="F31" s="49" t="inlineStr"/>
      <c r="G31" s="49" t="inlineStr"/>
      <c r="H31" s="48" t="inlineStr"/>
    </row>
    <row r="32" ht="22" customHeight="1">
      <c r="B32" s="4" t="n">
        <v>2</v>
      </c>
      <c r="C32" s="5" t="inlineStr">
        <is>
          <t>Plastic-free campus initiatives</t>
        </is>
      </c>
      <c r="D32" s="6" t="inlineStr">
        <is>
          <t>Y / N + measures</t>
        </is>
      </c>
      <c r="E32" s="6" t="inlineStr"/>
      <c r="F32" s="6" t="inlineStr"/>
      <c r="G32" s="6" t="inlineStr"/>
      <c r="H32" s="5" t="inlineStr"/>
    </row>
    <row r="33" ht="22" customHeight="1">
      <c r="B33" s="47" t="n">
        <v>3</v>
      </c>
      <c r="C33" s="48" t="inlineStr">
        <is>
          <t>Carbon footprint assessment</t>
        </is>
      </c>
      <c r="D33" s="49" t="inlineStr">
        <is>
          <t>Y / N + tonnes CO₂</t>
        </is>
      </c>
      <c r="E33" s="49" t="inlineStr"/>
      <c r="F33" s="49" t="inlineStr"/>
      <c r="G33" s="49" t="inlineStr"/>
      <c r="H33" s="48" t="inlineStr"/>
    </row>
    <row r="34" ht="22" customHeight="1">
      <c r="B34" s="4" t="n">
        <v>4</v>
      </c>
      <c r="C34" s="5" t="inlineStr">
        <is>
          <t>EV charging stations on campus</t>
        </is>
      </c>
      <c r="D34" s="6" t="inlineStr">
        <is>
          <t>No.</t>
        </is>
      </c>
      <c r="E34" s="6" t="inlineStr"/>
      <c r="F34" s="6" t="inlineStr"/>
      <c r="G34" s="6" t="inlineStr"/>
      <c r="H34" s="5" t="inlineStr"/>
    </row>
    <row r="35" ht="22" customHeight="1">
      <c r="B35" s="47" t="n">
        <v>5</v>
      </c>
      <c r="C35" s="48" t="inlineStr">
        <is>
          <t>Green certification / rating (if any)</t>
        </is>
      </c>
      <c r="D35" s="49" t="inlineStr">
        <is>
          <t>Certification name</t>
        </is>
      </c>
      <c r="E35" s="49" t="inlineStr"/>
      <c r="F35" s="49" t="inlineStr"/>
      <c r="G35" s="49" t="inlineStr"/>
      <c r="H35" s="48" t="inlineStr"/>
    </row>
    <row r="36" ht="22" customHeight="1">
      <c r="B36" s="4" t="n">
        <v>6</v>
      </c>
      <c r="C36" s="5" t="inlineStr">
        <is>
          <t>Environmental awareness programmes for students</t>
        </is>
      </c>
      <c r="D36" s="6" t="inlineStr">
        <is>
          <t>No. per year</t>
        </is>
      </c>
      <c r="E36" s="6" t="inlineStr"/>
      <c r="F36" s="6" t="inlineStr"/>
      <c r="G36" s="6" t="inlineStr"/>
      <c r="H36" s="5" t="inlineStr"/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</sheetData>
  <mergeCells count="6">
    <mergeCell ref="B13:H13"/>
    <mergeCell ref="B21:H21"/>
    <mergeCell ref="B4:H4"/>
    <mergeCell ref="B2:H2"/>
    <mergeCell ref="B29:H29"/>
    <mergeCell ref="B3:H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IQ-16: ALUMNI ENGAGEMENT &amp; CONTRIBUTION REGISTER</t>
        </is>
      </c>
    </row>
    <row r="3" ht="25" customHeight="1">
      <c r="B3" s="2" t="inlineStr">
        <is>
          <t>A.Y.: _______  Alumni Association Contact: ___________________  NAAC Criterion 5.4</t>
        </is>
      </c>
    </row>
    <row r="4" ht="25" customHeight="1">
      <c r="B4" s="12" t="inlineStr">
        <is>
          <t>Sl.</t>
        </is>
      </c>
      <c r="C4" s="12" t="inlineStr">
        <is>
          <t>Alumni Name</t>
        </is>
      </c>
      <c r="D4" s="12" t="inlineStr">
        <is>
          <t>Batch / Programme</t>
        </is>
      </c>
      <c r="E4" s="12" t="inlineStr">
        <is>
          <t>Type of Engagement</t>
        </is>
      </c>
      <c r="F4" s="12" t="inlineStr">
        <is>
          <t>Date</t>
        </is>
      </c>
      <c r="G4" s="12" t="inlineStr">
        <is>
          <t>Contribution / Value</t>
        </is>
      </c>
      <c r="H4" s="12" t="inlineStr">
        <is>
          <t>Dept. / Beneficiary</t>
        </is>
      </c>
      <c r="I4" s="12" t="inlineStr">
        <is>
          <t>Evidence / Ref.</t>
        </is>
      </c>
    </row>
    <row r="5" ht="22" customHeight="1">
      <c r="B5" s="13" t="n">
        <v>1</v>
      </c>
      <c r="C5" s="14" t="inlineStr"/>
      <c r="D5" s="15" t="inlineStr"/>
      <c r="E5" s="15" t="inlineStr">
        <is>
          <t>Guest Lecture / Expert Talk</t>
        </is>
      </c>
      <c r="F5" s="15" t="inlineStr"/>
      <c r="G5" s="15" t="inlineStr"/>
      <c r="H5" s="15" t="inlineStr"/>
      <c r="I5" s="14" t="inlineStr"/>
    </row>
    <row r="6" ht="22" customHeight="1">
      <c r="B6" s="4" t="n">
        <v>2</v>
      </c>
      <c r="C6" s="5" t="inlineStr"/>
      <c r="D6" s="6" t="inlineStr"/>
      <c r="E6" s="6" t="inlineStr">
        <is>
          <t>Placement / Internship Offer</t>
        </is>
      </c>
      <c r="F6" s="6" t="inlineStr"/>
      <c r="G6" s="6" t="inlineStr"/>
      <c r="H6" s="6" t="inlineStr"/>
      <c r="I6" s="5" t="inlineStr"/>
    </row>
    <row r="7" ht="22" customHeight="1">
      <c r="B7" s="13" t="n">
        <v>3</v>
      </c>
      <c r="C7" s="14" t="inlineStr"/>
      <c r="D7" s="15" t="inlineStr"/>
      <c r="E7" s="15" t="inlineStr">
        <is>
          <t>Financial Donation / Scholarship</t>
        </is>
      </c>
      <c r="F7" s="15" t="inlineStr"/>
      <c r="G7" s="15" t="inlineStr"/>
      <c r="H7" s="15" t="inlineStr"/>
      <c r="I7" s="14" t="inlineStr"/>
    </row>
    <row r="8" ht="22" customHeight="1">
      <c r="B8" s="4" t="n">
        <v>4</v>
      </c>
      <c r="C8" s="5" t="inlineStr"/>
      <c r="D8" s="6" t="inlineStr"/>
      <c r="E8" s="6" t="inlineStr">
        <is>
          <t>Lab Equipment Donation</t>
        </is>
      </c>
      <c r="F8" s="6" t="inlineStr"/>
      <c r="G8" s="6" t="inlineStr"/>
      <c r="H8" s="6" t="inlineStr"/>
      <c r="I8" s="5" t="inlineStr"/>
    </row>
    <row r="9" ht="22" customHeight="1">
      <c r="B9" s="13" t="n">
        <v>5</v>
      </c>
      <c r="C9" s="14" t="inlineStr"/>
      <c r="D9" s="15" t="inlineStr"/>
      <c r="E9" s="15" t="inlineStr">
        <is>
          <t>Industry Visit Facilitation</t>
        </is>
      </c>
      <c r="F9" s="15" t="inlineStr"/>
      <c r="G9" s="15" t="inlineStr"/>
      <c r="H9" s="15" t="inlineStr"/>
      <c r="I9" s="14" t="inlineStr"/>
    </row>
    <row r="10" ht="22" customHeight="1">
      <c r="B10" s="4" t="n">
        <v>6</v>
      </c>
      <c r="C10" s="5" t="inlineStr"/>
      <c r="D10" s="6" t="inlineStr"/>
      <c r="E10" s="6" t="inlineStr">
        <is>
          <t>MoU / Collaboration</t>
        </is>
      </c>
      <c r="F10" s="6" t="inlineStr"/>
      <c r="G10" s="6" t="inlineStr"/>
      <c r="H10" s="6" t="inlineStr"/>
      <c r="I10" s="5" t="inlineStr"/>
    </row>
    <row r="11" ht="22" customHeight="1">
      <c r="B11" s="13" t="n">
        <v>7</v>
      </c>
      <c r="C11" s="14" t="inlineStr"/>
      <c r="D11" s="15" t="inlineStr"/>
      <c r="E11" s="15" t="inlineStr">
        <is>
          <t>Mentorship of Students</t>
        </is>
      </c>
      <c r="F11" s="15" t="inlineStr"/>
      <c r="G11" s="15" t="inlineStr"/>
      <c r="H11" s="15" t="inlineStr"/>
      <c r="I11" s="14" t="inlineStr"/>
    </row>
    <row r="12" ht="22" customHeight="1">
      <c r="B12" s="4" t="n">
        <v>8</v>
      </c>
      <c r="C12" s="5" t="inlineStr"/>
      <c r="D12" s="6" t="inlineStr"/>
      <c r="E12" s="6" t="inlineStr">
        <is>
          <t>Academic Advisory Role</t>
        </is>
      </c>
      <c r="F12" s="6" t="inlineStr"/>
      <c r="G12" s="6" t="inlineStr"/>
      <c r="H12" s="6" t="inlineStr"/>
      <c r="I12" s="5" t="inlineStr"/>
    </row>
    <row r="13" ht="22" customHeight="1">
      <c r="B13" s="13" t="n">
        <v>9</v>
      </c>
      <c r="C13" s="14" t="inlineStr"/>
      <c r="D13" s="15" t="inlineStr"/>
      <c r="E13" s="15" t="inlineStr">
        <is>
          <t>Campus Recruitment Drive</t>
        </is>
      </c>
      <c r="F13" s="15" t="inlineStr"/>
      <c r="G13" s="15" t="inlineStr"/>
      <c r="H13" s="15" t="inlineStr"/>
      <c r="I13" s="14" t="inlineStr"/>
    </row>
    <row r="14" ht="22" customHeight="1">
      <c r="B14" s="4" t="n">
        <v>10</v>
      </c>
      <c r="C14" s="5" t="inlineStr"/>
      <c r="D14" s="6" t="inlineStr"/>
      <c r="E14" s="6" t="inlineStr">
        <is>
          <t>Research Collaboration</t>
        </is>
      </c>
      <c r="F14" s="6" t="inlineStr"/>
      <c r="G14" s="6" t="inlineStr"/>
      <c r="H14" s="6" t="inlineStr"/>
      <c r="I14" s="5" t="inlineStr"/>
    </row>
    <row r="15" ht="22" customHeight="1">
      <c r="B15" s="13" t="n">
        <v>11</v>
      </c>
      <c r="C15" s="14" t="inlineStr"/>
      <c r="D15" s="15" t="inlineStr"/>
      <c r="E15" s="15" t="inlineStr">
        <is>
          <t>Alumni Meet Participation</t>
        </is>
      </c>
      <c r="F15" s="15" t="inlineStr"/>
      <c r="G15" s="15" t="inlineStr"/>
      <c r="H15" s="15" t="inlineStr"/>
      <c r="I15" s="14" t="inlineStr"/>
    </row>
    <row r="16" ht="22" customHeight="1">
      <c r="B16" s="4" t="n">
        <v>12</v>
      </c>
      <c r="C16" s="5" t="inlineStr"/>
      <c r="D16" s="6" t="inlineStr"/>
      <c r="E16" s="6" t="inlineStr">
        <is>
          <t>Award / Recognition given by Institution</t>
        </is>
      </c>
      <c r="F16" s="6" t="inlineStr"/>
      <c r="G16" s="6" t="inlineStr"/>
      <c r="H16" s="6" t="inlineStr"/>
      <c r="I16" s="5" t="inlineStr"/>
    </row>
    <row r="17" ht="22" customHeight="1">
      <c r="B17" s="13" t="n">
        <v>13</v>
      </c>
      <c r="C17" s="14" t="inlineStr"/>
      <c r="D17" s="15" t="inlineStr"/>
      <c r="E17" s="15" t="inlineStr">
        <is>
          <t>Guest Lecture / Expert Talk</t>
        </is>
      </c>
      <c r="F17" s="15" t="inlineStr"/>
      <c r="G17" s="15" t="inlineStr"/>
      <c r="H17" s="15" t="inlineStr"/>
      <c r="I17" s="14" t="inlineStr"/>
    </row>
    <row r="18" ht="22" customHeight="1">
      <c r="B18" s="4" t="n">
        <v>14</v>
      </c>
      <c r="C18" s="5" t="inlineStr"/>
      <c r="D18" s="6" t="inlineStr"/>
      <c r="E18" s="6" t="inlineStr">
        <is>
          <t>Placement / Internship Offer</t>
        </is>
      </c>
      <c r="F18" s="6" t="inlineStr"/>
      <c r="G18" s="6" t="inlineStr"/>
      <c r="H18" s="6" t="inlineStr"/>
      <c r="I18" s="5" t="inlineStr"/>
    </row>
    <row r="19" ht="22" customHeight="1">
      <c r="B19" s="13" t="n">
        <v>15</v>
      </c>
      <c r="C19" s="14" t="inlineStr"/>
      <c r="D19" s="15" t="inlineStr"/>
      <c r="E19" s="15" t="inlineStr">
        <is>
          <t>Financial Donation / Scholarship</t>
        </is>
      </c>
      <c r="F19" s="15" t="inlineStr"/>
      <c r="G19" s="15" t="inlineStr"/>
      <c r="H19" s="15" t="inlineStr"/>
      <c r="I19" s="14" t="inlineStr"/>
    </row>
    <row r="20" ht="22" customHeight="1">
      <c r="B20" s="4" t="n">
        <v>16</v>
      </c>
      <c r="C20" s="5" t="inlineStr"/>
      <c r="D20" s="6" t="inlineStr"/>
      <c r="E20" s="6" t="inlineStr">
        <is>
          <t>Lab Equipment Donation</t>
        </is>
      </c>
      <c r="F20" s="6" t="inlineStr"/>
      <c r="G20" s="6" t="inlineStr"/>
      <c r="H20" s="6" t="inlineStr"/>
      <c r="I20" s="5" t="inlineStr"/>
    </row>
    <row r="21" ht="22" customHeight="1">
      <c r="B21" s="13" t="n">
        <v>17</v>
      </c>
      <c r="C21" s="14" t="inlineStr"/>
      <c r="D21" s="15" t="inlineStr"/>
      <c r="E21" s="15" t="inlineStr">
        <is>
          <t>Industry Visit Facilitation</t>
        </is>
      </c>
      <c r="F21" s="15" t="inlineStr"/>
      <c r="G21" s="15" t="inlineStr"/>
      <c r="H21" s="15" t="inlineStr"/>
      <c r="I21" s="14" t="inlineStr"/>
    </row>
    <row r="22" ht="22" customHeight="1">
      <c r="B22" s="4" t="n">
        <v>18</v>
      </c>
      <c r="C22" s="5" t="inlineStr"/>
      <c r="D22" s="6" t="inlineStr"/>
      <c r="E22" s="6" t="inlineStr">
        <is>
          <t>MoU / Collaboration</t>
        </is>
      </c>
      <c r="F22" s="6" t="inlineStr"/>
      <c r="G22" s="6" t="inlineStr"/>
      <c r="H22" s="6" t="inlineStr"/>
      <c r="I22" s="5" t="inlineStr"/>
    </row>
    <row r="23" ht="22" customHeight="1">
      <c r="B23" s="13" t="n">
        <v>19</v>
      </c>
      <c r="C23" s="14" t="inlineStr"/>
      <c r="D23" s="15" t="inlineStr"/>
      <c r="E23" s="15" t="inlineStr">
        <is>
          <t>Mentorship of Students</t>
        </is>
      </c>
      <c r="F23" s="15" t="inlineStr"/>
      <c r="G23" s="15" t="inlineStr"/>
      <c r="H23" s="15" t="inlineStr"/>
      <c r="I23" s="14" t="inlineStr"/>
    </row>
    <row r="24" ht="22" customHeight="1">
      <c r="B24" s="4" t="n">
        <v>20</v>
      </c>
      <c r="C24" s="5" t="inlineStr"/>
      <c r="D24" s="6" t="inlineStr"/>
      <c r="E24" s="6" t="inlineStr">
        <is>
          <t>Academic Advisory Role</t>
        </is>
      </c>
      <c r="F24" s="6" t="inlineStr"/>
      <c r="G24" s="6" t="inlineStr"/>
      <c r="H24" s="6" t="inlineStr"/>
      <c r="I24" s="5" t="inlineStr"/>
    </row>
    <row r="25" ht="22" customHeight="1">
      <c r="B25" s="13" t="n">
        <v>21</v>
      </c>
      <c r="C25" s="14" t="inlineStr"/>
      <c r="D25" s="15" t="inlineStr"/>
      <c r="E25" s="15" t="inlineStr">
        <is>
          <t>Campus Recruitment Drive</t>
        </is>
      </c>
      <c r="F25" s="15" t="inlineStr"/>
      <c r="G25" s="15" t="inlineStr"/>
      <c r="H25" s="15" t="inlineStr"/>
      <c r="I25" s="14" t="inlineStr"/>
    </row>
    <row r="26" ht="22" customHeight="1">
      <c r="B26" s="4" t="n">
        <v>22</v>
      </c>
      <c r="C26" s="5" t="inlineStr"/>
      <c r="D26" s="6" t="inlineStr"/>
      <c r="E26" s="6" t="inlineStr">
        <is>
          <t>Research Collaboration</t>
        </is>
      </c>
      <c r="F26" s="6" t="inlineStr"/>
      <c r="G26" s="6" t="inlineStr"/>
      <c r="H26" s="6" t="inlineStr"/>
      <c r="I26" s="5" t="inlineStr"/>
    </row>
    <row r="27" ht="22" customHeight="1">
      <c r="B27" s="13" t="n">
        <v>23</v>
      </c>
      <c r="C27" s="14" t="inlineStr"/>
      <c r="D27" s="15" t="inlineStr"/>
      <c r="E27" s="15" t="inlineStr">
        <is>
          <t>Alumni Meet Participation</t>
        </is>
      </c>
      <c r="F27" s="15" t="inlineStr"/>
      <c r="G27" s="15" t="inlineStr"/>
      <c r="H27" s="15" t="inlineStr"/>
      <c r="I27" s="14" t="inlineStr"/>
    </row>
    <row r="28" ht="22" customHeight="1">
      <c r="B28" s="4" t="n">
        <v>24</v>
      </c>
      <c r="C28" s="5" t="inlineStr"/>
      <c r="D28" s="6" t="inlineStr"/>
      <c r="E28" s="6" t="inlineStr">
        <is>
          <t>Award / Recognition given by Institution</t>
        </is>
      </c>
      <c r="F28" s="6" t="inlineStr"/>
      <c r="G28" s="6" t="inlineStr"/>
      <c r="H28" s="6" t="inlineStr"/>
      <c r="I28" s="5" t="inlineStr"/>
    </row>
    <row r="29" ht="22" customHeight="1"/>
    <row r="30" ht="24" customHeight="1">
      <c r="B30" s="60" t="inlineStr">
        <is>
          <t>ALUMNI ENGAGEMENT SUMMARY</t>
        </is>
      </c>
    </row>
    <row r="31" ht="22" customHeight="1">
      <c r="B31" s="23" t="inlineStr">
        <is>
          <t>Engagement Type</t>
        </is>
      </c>
      <c r="C31" s="23" t="inlineStr">
        <is>
          <t>No. of Alumni</t>
        </is>
      </c>
      <c r="D31" s="23" t="inlineStr">
        <is>
          <t>No. of Events</t>
        </is>
      </c>
      <c r="E31" s="23" t="inlineStr">
        <is>
          <t>Financial
Contribution (₹L)</t>
        </is>
      </c>
      <c r="F31" s="23" t="inlineStr">
        <is>
          <t>Students
Benefited</t>
        </is>
      </c>
      <c r="G31" s="23" t="inlineStr">
        <is>
          <t>A.Y.</t>
        </is>
      </c>
      <c r="H31" s="23" t="inlineStr">
        <is>
          <t>NAAC
Evidence Ref.</t>
        </is>
      </c>
      <c r="I31" s="23" t="inlineStr">
        <is>
          <t>Remarks</t>
        </is>
      </c>
    </row>
    <row r="32" ht="22" customHeight="1">
      <c r="B32" s="71" t="inlineStr">
        <is>
          <t>Guest Lecture / Expert Talk</t>
        </is>
      </c>
      <c r="C32" s="63" t="inlineStr"/>
      <c r="D32" s="63" t="inlineStr"/>
      <c r="E32" s="63" t="inlineStr"/>
      <c r="F32" s="63" t="inlineStr"/>
      <c r="G32" s="63" t="inlineStr"/>
      <c r="H32" s="63" t="inlineStr"/>
      <c r="I32" s="62" t="inlineStr"/>
    </row>
    <row r="33" ht="22" customHeight="1">
      <c r="B33" s="26" t="inlineStr">
        <is>
          <t>Placement / Internship Offer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5" t="inlineStr"/>
    </row>
    <row r="34" ht="22" customHeight="1">
      <c r="B34" s="71" t="inlineStr">
        <is>
          <t>Financial Donation / Scholarship</t>
        </is>
      </c>
      <c r="C34" s="63" t="inlineStr"/>
      <c r="D34" s="63" t="inlineStr"/>
      <c r="E34" s="63" t="inlineStr"/>
      <c r="F34" s="63" t="inlineStr"/>
      <c r="G34" s="63" t="inlineStr"/>
      <c r="H34" s="63" t="inlineStr"/>
      <c r="I34" s="62" t="inlineStr"/>
    </row>
    <row r="35" ht="22" customHeight="1">
      <c r="B35" s="26" t="inlineStr">
        <is>
          <t>Lab Equipment Donation</t>
        </is>
      </c>
      <c r="C35" s="6" t="inlineStr"/>
      <c r="D35" s="6" t="inlineStr"/>
      <c r="E35" s="6" t="inlineStr"/>
      <c r="F35" s="6" t="inlineStr"/>
      <c r="G35" s="6" t="inlineStr"/>
      <c r="H35" s="6" t="inlineStr"/>
      <c r="I35" s="5" t="inlineStr"/>
    </row>
    <row r="36" ht="22" customHeight="1">
      <c r="B36" s="71" t="inlineStr">
        <is>
          <t>Industry Visit Facilitation</t>
        </is>
      </c>
      <c r="C36" s="63" t="inlineStr"/>
      <c r="D36" s="63" t="inlineStr"/>
      <c r="E36" s="63" t="inlineStr"/>
      <c r="F36" s="63" t="inlineStr"/>
      <c r="G36" s="63" t="inlineStr"/>
      <c r="H36" s="63" t="inlineStr"/>
      <c r="I36" s="62" t="inlineStr"/>
    </row>
    <row r="37" ht="22" customHeight="1">
      <c r="B37" s="26" t="inlineStr">
        <is>
          <t>MoU / Collaboration</t>
        </is>
      </c>
      <c r="C37" s="6" t="inlineStr"/>
      <c r="D37" s="6" t="inlineStr"/>
      <c r="E37" s="6" t="inlineStr"/>
      <c r="F37" s="6" t="inlineStr"/>
      <c r="G37" s="6" t="inlineStr"/>
      <c r="H37" s="6" t="inlineStr"/>
      <c r="I37" s="5" t="inlineStr"/>
    </row>
    <row r="38" ht="22" customHeight="1">
      <c r="B38" s="71" t="inlineStr">
        <is>
          <t>Mentorship of Students</t>
        </is>
      </c>
      <c r="C38" s="63" t="inlineStr"/>
      <c r="D38" s="63" t="inlineStr"/>
      <c r="E38" s="63" t="inlineStr"/>
      <c r="F38" s="63" t="inlineStr"/>
      <c r="G38" s="63" t="inlineStr"/>
      <c r="H38" s="63" t="inlineStr"/>
      <c r="I38" s="62" t="inlineStr"/>
    </row>
    <row r="39" ht="22" customHeight="1">
      <c r="B39" s="26" t="inlineStr">
        <is>
          <t>Academic Advisory Role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5" t="inlineStr"/>
    </row>
    <row r="40" ht="22" customHeight="1"/>
    <row r="41" ht="22" customHeight="1"/>
  </sheetData>
  <mergeCells count="3">
    <mergeCell ref="B30:I30"/>
    <mergeCell ref="B3:I3"/>
    <mergeCell ref="B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IQ-17: INDUSTRY-INSTITUTE INTERACTION REGISTER</t>
        </is>
      </c>
    </row>
    <row r="3" ht="25" customHeight="1">
      <c r="B3" s="2" t="inlineStr">
        <is>
          <t>A.Y.: _______  Training &amp; Placement Officer: ___________________  NAAC Criterion 3.5 / 5.2</t>
        </is>
      </c>
    </row>
    <row r="4" ht="24" customHeight="1">
      <c r="B4" s="19" t="inlineStr">
        <is>
          <t>PART A — MoU / COLLABORATION REGISTER</t>
        </is>
      </c>
    </row>
    <row r="5" ht="22" customHeight="1">
      <c r="B5" s="20" t="inlineStr">
        <is>
          <t>MoU
Ref.</t>
        </is>
      </c>
      <c r="C5" s="20" t="inlineStr">
        <is>
          <t>Industry / Institution Partner</t>
        </is>
      </c>
      <c r="D5" s="20" t="inlineStr">
        <is>
          <t>Nature of MoU</t>
        </is>
      </c>
      <c r="E5" s="20" t="inlineStr">
        <is>
          <t>Date Signed</t>
        </is>
      </c>
      <c r="F5" s="20" t="inlineStr">
        <is>
          <t>Valid Upto</t>
        </is>
      </c>
      <c r="G5" s="20" t="inlineStr">
        <is>
          <t>Activities
Undertaken</t>
        </is>
      </c>
      <c r="H5" s="20" t="inlineStr">
        <is>
          <t>Students / Faculty
Benefited</t>
        </is>
      </c>
      <c r="I5" s="20" t="inlineStr">
        <is>
          <t>Status</t>
        </is>
      </c>
    </row>
    <row r="6" ht="22" customHeight="1">
      <c r="B6" s="21" t="n"/>
      <c r="C6" s="21" t="n"/>
      <c r="D6" s="21" t="n"/>
      <c r="E6" s="21" t="n"/>
      <c r="F6" s="21" t="n"/>
      <c r="G6" s="21" t="n"/>
      <c r="H6" s="21" t="n"/>
      <c r="I6" s="21" t="n"/>
    </row>
    <row r="7" ht="22" customHeight="1">
      <c r="B7" s="6" t="n"/>
      <c r="C7" s="6" t="n"/>
      <c r="D7" s="6" t="n"/>
      <c r="E7" s="6" t="n"/>
      <c r="F7" s="6" t="n"/>
      <c r="G7" s="6" t="n"/>
      <c r="H7" s="6" t="n"/>
      <c r="I7" s="6" t="n"/>
    </row>
    <row r="8" ht="22" customHeight="1">
      <c r="B8" s="21" t="n"/>
      <c r="C8" s="21" t="n"/>
      <c r="D8" s="21" t="n"/>
      <c r="E8" s="21" t="n"/>
      <c r="F8" s="21" t="n"/>
      <c r="G8" s="21" t="n"/>
      <c r="H8" s="21" t="n"/>
      <c r="I8" s="21" t="n"/>
    </row>
    <row r="9" ht="22" customHeight="1">
      <c r="B9" s="6" t="n"/>
      <c r="C9" s="6" t="n"/>
      <c r="D9" s="6" t="n"/>
      <c r="E9" s="6" t="n"/>
      <c r="F9" s="6" t="n"/>
      <c r="G9" s="6" t="n"/>
      <c r="H9" s="6" t="n"/>
      <c r="I9" s="6" t="n"/>
    </row>
    <row r="10" ht="22" customHeight="1"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22" customHeight="1"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22" customHeight="1"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 ht="22" customHeight="1"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2" customHeight="1"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 ht="22" customHeight="1"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22" customHeight="1">
      <c r="B16" s="21" t="n"/>
      <c r="C16" s="21" t="n"/>
      <c r="D16" s="21" t="n"/>
      <c r="E16" s="21" t="n"/>
      <c r="F16" s="21" t="n"/>
      <c r="G16" s="21" t="n"/>
      <c r="H16" s="21" t="n"/>
      <c r="I16" s="21" t="n"/>
    </row>
    <row r="17" ht="22" customHeight="1"/>
    <row r="18" ht="24" customHeight="1">
      <c r="B18" s="18" t="inlineStr">
        <is>
          <t>PART B — GUEST LECTURES, WORKSHOPS &amp; INDUSTRY VISITS</t>
        </is>
      </c>
    </row>
    <row r="19" ht="22" customHeight="1">
      <c r="B19" s="12" t="inlineStr">
        <is>
          <t>Sl.</t>
        </is>
      </c>
      <c r="C19" s="12" t="inlineStr">
        <is>
          <t>Programme Title</t>
        </is>
      </c>
      <c r="D19" s="12" t="inlineStr">
        <is>
          <t>Resource Person / Organisation</t>
        </is>
      </c>
      <c r="E19" s="12" t="inlineStr">
        <is>
          <t>Date</t>
        </is>
      </c>
      <c r="F19" s="12" t="inlineStr">
        <is>
          <t>Duration
(Hrs)</t>
        </is>
      </c>
      <c r="G19" s="12" t="inlineStr">
        <is>
          <t>Dept.</t>
        </is>
      </c>
      <c r="H19" s="12" t="inlineStr">
        <is>
          <t>Students
Attended</t>
        </is>
      </c>
      <c r="I19" s="12" t="inlineStr">
        <is>
          <t>Feedback Score</t>
        </is>
      </c>
    </row>
    <row r="20" ht="22" customHeight="1"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22" customHeight="1">
      <c r="B21" s="6" t="n"/>
      <c r="C21" s="6" t="n"/>
      <c r="D21" s="6" t="n"/>
      <c r="E21" s="6" t="n"/>
      <c r="F21" s="6" t="n"/>
      <c r="G21" s="6" t="n"/>
      <c r="H21" s="6" t="n"/>
      <c r="I21" s="6" t="n"/>
    </row>
    <row r="22" ht="22" customHeight="1"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22" customHeight="1">
      <c r="B23" s="6" t="n"/>
      <c r="C23" s="6" t="n"/>
      <c r="D23" s="6" t="n"/>
      <c r="E23" s="6" t="n"/>
      <c r="F23" s="6" t="n"/>
      <c r="G23" s="6" t="n"/>
      <c r="H23" s="6" t="n"/>
      <c r="I23" s="6" t="n"/>
    </row>
    <row r="24" ht="22" customHeight="1"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22" customHeight="1">
      <c r="B25" s="6" t="n"/>
      <c r="C25" s="6" t="n"/>
      <c r="D25" s="6" t="n"/>
      <c r="E25" s="6" t="n"/>
      <c r="F25" s="6" t="n"/>
      <c r="G25" s="6" t="n"/>
      <c r="H25" s="6" t="n"/>
      <c r="I25" s="6" t="n"/>
    </row>
    <row r="26" ht="22" customHeight="1"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 ht="22" customHeight="1">
      <c r="B27" s="6" t="n"/>
      <c r="C27" s="6" t="n"/>
      <c r="D27" s="6" t="n"/>
      <c r="E27" s="6" t="n"/>
      <c r="F27" s="6" t="n"/>
      <c r="G27" s="6" t="n"/>
      <c r="H27" s="6" t="n"/>
      <c r="I27" s="6" t="n"/>
    </row>
    <row r="28" ht="22" customHeight="1"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 ht="22" customHeight="1">
      <c r="B29" s="6" t="n"/>
      <c r="C29" s="6" t="n"/>
      <c r="D29" s="6" t="n"/>
      <c r="E29" s="6" t="n"/>
      <c r="F29" s="6" t="n"/>
      <c r="G29" s="6" t="n"/>
      <c r="H29" s="6" t="n"/>
      <c r="I29" s="6" t="n"/>
    </row>
    <row r="30" ht="22" customHeight="1"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 ht="22" customHeight="1">
      <c r="B31" s="6" t="n"/>
      <c r="C31" s="6" t="n"/>
      <c r="D31" s="6" t="n"/>
      <c r="E31" s="6" t="n"/>
      <c r="F31" s="6" t="n"/>
      <c r="G31" s="6" t="n"/>
      <c r="H31" s="6" t="n"/>
      <c r="I31" s="6" t="n"/>
    </row>
    <row r="32" ht="22" customHeight="1"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 ht="22" customHeight="1"/>
    <row r="34" ht="24" customHeight="1">
      <c r="B34" s="30" t="inlineStr">
        <is>
          <t>PART C — INTERNSHIP &amp; INDUSTRIAL TRAINING</t>
        </is>
      </c>
    </row>
    <row r="35" ht="22" customHeight="1">
      <c r="B35" s="31" t="inlineStr">
        <is>
          <t>Sl.</t>
        </is>
      </c>
      <c r="C35" s="31" t="inlineStr">
        <is>
          <t>Company / Organisation</t>
        </is>
      </c>
      <c r="D35" s="31" t="inlineStr">
        <is>
          <t>Dept. / Programme</t>
        </is>
      </c>
      <c r="E35" s="31" t="inlineStr">
        <is>
          <t>No. of Students</t>
        </is>
      </c>
      <c r="F35" s="31" t="inlineStr">
        <is>
          <t>Duration</t>
        </is>
      </c>
      <c r="G35" s="31" t="inlineStr">
        <is>
          <t>Type
(Summer/Winter/Live)</t>
        </is>
      </c>
      <c r="H35" s="31" t="inlineStr">
        <is>
          <t>Stipend (₹)</t>
        </is>
      </c>
      <c r="I35" s="31" t="inlineStr">
        <is>
          <t>Feedback</t>
        </is>
      </c>
    </row>
    <row r="36" ht="22" customHeight="1">
      <c r="B36" s="34" t="n"/>
      <c r="C36" s="34" t="n"/>
      <c r="D36" s="34" t="n"/>
      <c r="E36" s="34" t="n"/>
      <c r="F36" s="34" t="n"/>
      <c r="G36" s="34" t="n"/>
      <c r="H36" s="34" t="n"/>
      <c r="I36" s="34" t="n"/>
    </row>
    <row r="37" ht="22" customHeight="1">
      <c r="B37" s="6" t="n"/>
      <c r="C37" s="6" t="n"/>
      <c r="D37" s="6" t="n"/>
      <c r="E37" s="6" t="n"/>
      <c r="F37" s="6" t="n"/>
      <c r="G37" s="6" t="n"/>
      <c r="H37" s="6" t="n"/>
      <c r="I37" s="6" t="n"/>
    </row>
    <row r="38" ht="22" customHeight="1">
      <c r="B38" s="34" t="n"/>
      <c r="C38" s="34" t="n"/>
      <c r="D38" s="34" t="n"/>
      <c r="E38" s="34" t="n"/>
      <c r="F38" s="34" t="n"/>
      <c r="G38" s="34" t="n"/>
      <c r="H38" s="34" t="n"/>
      <c r="I38" s="34" t="n"/>
    </row>
    <row r="39" ht="22" customHeight="1">
      <c r="B39" s="6" t="n"/>
      <c r="C39" s="6" t="n"/>
      <c r="D39" s="6" t="n"/>
      <c r="E39" s="6" t="n"/>
      <c r="F39" s="6" t="n"/>
      <c r="G39" s="6" t="n"/>
      <c r="H39" s="6" t="n"/>
      <c r="I39" s="6" t="n"/>
    </row>
    <row r="40" ht="22" customHeight="1">
      <c r="B40" s="34" t="n"/>
      <c r="C40" s="34" t="n"/>
      <c r="D40" s="34" t="n"/>
      <c r="E40" s="34" t="n"/>
      <c r="F40" s="34" t="n"/>
      <c r="G40" s="34" t="n"/>
      <c r="H40" s="34" t="n"/>
      <c r="I40" s="34" t="n"/>
    </row>
    <row r="41" ht="22" customHeight="1">
      <c r="B41" s="6" t="n"/>
      <c r="C41" s="6" t="n"/>
      <c r="D41" s="6" t="n"/>
      <c r="E41" s="6" t="n"/>
      <c r="F41" s="6" t="n"/>
      <c r="G41" s="6" t="n"/>
      <c r="H41" s="6" t="n"/>
      <c r="I41" s="6" t="n"/>
    </row>
    <row r="42" ht="22" customHeight="1">
      <c r="B42" s="34" t="n"/>
      <c r="C42" s="34" t="n"/>
      <c r="D42" s="34" t="n"/>
      <c r="E42" s="34" t="n"/>
      <c r="F42" s="34" t="n"/>
      <c r="G42" s="34" t="n"/>
      <c r="H42" s="34" t="n"/>
      <c r="I42" s="34" t="n"/>
    </row>
    <row r="43" ht="22" customHeight="1">
      <c r="B43" s="6" t="n"/>
      <c r="C43" s="6" t="n"/>
      <c r="D43" s="6" t="n"/>
      <c r="E43" s="6" t="n"/>
      <c r="F43" s="6" t="n"/>
      <c r="G43" s="6" t="n"/>
      <c r="H43" s="6" t="n"/>
      <c r="I43" s="6" t="n"/>
    </row>
    <row r="44" ht="22" customHeight="1">
      <c r="B44" s="34" t="n"/>
      <c r="C44" s="34" t="n"/>
      <c r="D44" s="34" t="n"/>
      <c r="E44" s="34" t="n"/>
      <c r="F44" s="34" t="n"/>
      <c r="G44" s="34" t="n"/>
      <c r="H44" s="34" t="n"/>
      <c r="I44" s="34" t="n"/>
    </row>
    <row r="45" ht="22" customHeight="1"/>
    <row r="46" ht="22" customHeight="1">
      <c r="B46" s="16" t="inlineStr">
        <is>
          <t>Total MoUs Active: _____    Total Guest Lectures: _____    Students on Internship: _____    Industry Revenue Generated (₹L): _____</t>
        </is>
      </c>
    </row>
    <row r="47" ht="22" customHeight="1"/>
  </sheetData>
  <mergeCells count="6">
    <mergeCell ref="B18:I18"/>
    <mergeCell ref="B2:I2"/>
    <mergeCell ref="B34:I34"/>
    <mergeCell ref="B3:I3"/>
    <mergeCell ref="B46:I46"/>
    <mergeCell ref="B4:I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IQ-18: EXTENSION, OUTREACH &amp; COMMUNITY ENGAGEMENT REGISTER</t>
        </is>
      </c>
    </row>
    <row r="3" ht="25" customHeight="1">
      <c r="B3" s="2" t="inlineStr">
        <is>
          <t>A.Y.: _______  NSS Programme Officer / NCC Officer: ___________________  NAAC Criterion 3.4</t>
        </is>
      </c>
    </row>
    <row r="4" ht="25" customHeight="1">
      <c r="B4" s="12" t="inlineStr">
        <is>
          <t>Sl.</t>
        </is>
      </c>
      <c r="C4" s="12" t="inlineStr">
        <is>
          <t>Activity Title</t>
        </is>
      </c>
      <c r="D4" s="12" t="inlineStr">
        <is>
          <t>Type / Category</t>
        </is>
      </c>
      <c r="E4" s="12" t="inlineStr">
        <is>
          <t>Date(s)</t>
        </is>
      </c>
      <c r="F4" s="12" t="inlineStr">
        <is>
          <t>Venue / Location</t>
        </is>
      </c>
      <c r="G4" s="12" t="inlineStr">
        <is>
          <t>Faculty
Coordinator</t>
        </is>
      </c>
      <c r="H4" s="12" t="inlineStr">
        <is>
          <t>Students
Participated</t>
        </is>
      </c>
      <c r="I4" s="12" t="inlineStr">
        <is>
          <t>Community
Beneficiaries</t>
        </is>
      </c>
    </row>
    <row r="5" ht="22" customHeight="1">
      <c r="B5" s="13" t="n">
        <v>1</v>
      </c>
      <c r="C5" s="14" t="inlineStr"/>
      <c r="D5" s="15" t="inlineStr">
        <is>
          <t>NSS — Special Camp</t>
        </is>
      </c>
      <c r="E5" s="15" t="inlineStr"/>
      <c r="F5" s="15" t="inlineStr"/>
      <c r="G5" s="15" t="inlineStr"/>
      <c r="H5" s="15" t="inlineStr"/>
      <c r="I5" s="15" t="inlineStr"/>
    </row>
    <row r="6" ht="22" customHeight="1">
      <c r="B6" s="4" t="n">
        <v>2</v>
      </c>
      <c r="C6" s="5" t="inlineStr"/>
      <c r="D6" s="6" t="inlineStr">
        <is>
          <t>NSS — Regular Activity</t>
        </is>
      </c>
      <c r="E6" s="6" t="inlineStr"/>
      <c r="F6" s="6" t="inlineStr"/>
      <c r="G6" s="6" t="inlineStr"/>
      <c r="H6" s="6" t="inlineStr"/>
      <c r="I6" s="6" t="inlineStr"/>
    </row>
    <row r="7" ht="22" customHeight="1">
      <c r="B7" s="13" t="n">
        <v>3</v>
      </c>
      <c r="C7" s="14" t="inlineStr"/>
      <c r="D7" s="15" t="inlineStr">
        <is>
          <t>NCC Activity</t>
        </is>
      </c>
      <c r="E7" s="15" t="inlineStr"/>
      <c r="F7" s="15" t="inlineStr"/>
      <c r="G7" s="15" t="inlineStr"/>
      <c r="H7" s="15" t="inlineStr"/>
      <c r="I7" s="15" t="inlineStr"/>
    </row>
    <row r="8" ht="22" customHeight="1">
      <c r="B8" s="4" t="n">
        <v>4</v>
      </c>
      <c r="C8" s="5" t="inlineStr"/>
      <c r="D8" s="6" t="inlineStr">
        <is>
          <t>Blood Donation Camp</t>
        </is>
      </c>
      <c r="E8" s="6" t="inlineStr"/>
      <c r="F8" s="6" t="inlineStr"/>
      <c r="G8" s="6" t="inlineStr"/>
      <c r="H8" s="6" t="inlineStr"/>
      <c r="I8" s="6" t="inlineStr"/>
    </row>
    <row r="9" ht="22" customHeight="1">
      <c r="B9" s="13" t="n">
        <v>5</v>
      </c>
      <c r="C9" s="14" t="inlineStr"/>
      <c r="D9" s="15" t="inlineStr">
        <is>
          <t>Health Awareness Camp</t>
        </is>
      </c>
      <c r="E9" s="15" t="inlineStr"/>
      <c r="F9" s="15" t="inlineStr"/>
      <c r="G9" s="15" t="inlineStr"/>
      <c r="H9" s="15" t="inlineStr"/>
      <c r="I9" s="15" t="inlineStr"/>
    </row>
    <row r="10" ht="22" customHeight="1">
      <c r="B10" s="4" t="n">
        <v>6</v>
      </c>
      <c r="C10" s="5" t="inlineStr"/>
      <c r="D10" s="6" t="inlineStr">
        <is>
          <t>Village Adoption Programme</t>
        </is>
      </c>
      <c r="E10" s="6" t="inlineStr"/>
      <c r="F10" s="6" t="inlineStr"/>
      <c r="G10" s="6" t="inlineStr"/>
      <c r="H10" s="6" t="inlineStr"/>
      <c r="I10" s="6" t="inlineStr"/>
    </row>
    <row r="11" ht="22" customHeight="1">
      <c r="B11" s="13" t="n">
        <v>7</v>
      </c>
      <c r="C11" s="14" t="inlineStr"/>
      <c r="D11" s="15" t="inlineStr">
        <is>
          <t>Digital Literacy Drive</t>
        </is>
      </c>
      <c r="E11" s="15" t="inlineStr"/>
      <c r="F11" s="15" t="inlineStr"/>
      <c r="G11" s="15" t="inlineStr"/>
      <c r="H11" s="15" t="inlineStr"/>
      <c r="I11" s="15" t="inlineStr"/>
    </row>
    <row r="12" ht="22" customHeight="1">
      <c r="B12" s="4" t="n">
        <v>8</v>
      </c>
      <c r="C12" s="5" t="inlineStr"/>
      <c r="D12" s="6" t="inlineStr">
        <is>
          <t>Environmental Awareness</t>
        </is>
      </c>
      <c r="E12" s="6" t="inlineStr"/>
      <c r="F12" s="6" t="inlineStr"/>
      <c r="G12" s="6" t="inlineStr"/>
      <c r="H12" s="6" t="inlineStr"/>
      <c r="I12" s="6" t="inlineStr"/>
    </row>
    <row r="13" ht="22" customHeight="1">
      <c r="B13" s="13" t="n">
        <v>9</v>
      </c>
      <c r="C13" s="14" t="inlineStr"/>
      <c r="D13" s="15" t="inlineStr">
        <is>
          <t>Swachh Bharat Activity</t>
        </is>
      </c>
      <c r="E13" s="15" t="inlineStr"/>
      <c r="F13" s="15" t="inlineStr"/>
      <c r="G13" s="15" t="inlineStr"/>
      <c r="H13" s="15" t="inlineStr"/>
      <c r="I13" s="15" t="inlineStr"/>
    </row>
    <row r="14" ht="22" customHeight="1">
      <c r="B14" s="4" t="n">
        <v>10</v>
      </c>
      <c r="C14" s="5" t="inlineStr"/>
      <c r="D14" s="6" t="inlineStr">
        <is>
          <t>Women Empowerment Programme</t>
        </is>
      </c>
      <c r="E14" s="6" t="inlineStr"/>
      <c r="F14" s="6" t="inlineStr"/>
      <c r="G14" s="6" t="inlineStr"/>
      <c r="H14" s="6" t="inlineStr"/>
      <c r="I14" s="6" t="inlineStr"/>
    </row>
    <row r="15" ht="22" customHeight="1">
      <c r="B15" s="13" t="n">
        <v>11</v>
      </c>
      <c r="C15" s="14" t="inlineStr"/>
      <c r="D15" s="15" t="inlineStr">
        <is>
          <t>Disaster Management Training</t>
        </is>
      </c>
      <c r="E15" s="15" t="inlineStr"/>
      <c r="F15" s="15" t="inlineStr"/>
      <c r="G15" s="15" t="inlineStr"/>
      <c r="H15" s="15" t="inlineStr"/>
      <c r="I15" s="15" t="inlineStr"/>
    </row>
    <row r="16" ht="22" customHeight="1">
      <c r="B16" s="4" t="n">
        <v>12</v>
      </c>
      <c r="C16" s="5" t="inlineStr"/>
      <c r="D16" s="6" t="inlineStr">
        <is>
          <t>Youth Parliament / Leadership</t>
        </is>
      </c>
      <c r="E16" s="6" t="inlineStr"/>
      <c r="F16" s="6" t="inlineStr"/>
      <c r="G16" s="6" t="inlineStr"/>
      <c r="H16" s="6" t="inlineStr"/>
      <c r="I16" s="6" t="inlineStr"/>
    </row>
    <row r="17" ht="22" customHeight="1">
      <c r="B17" s="13" t="n">
        <v>13</v>
      </c>
      <c r="C17" s="14" t="inlineStr"/>
      <c r="D17" s="15" t="inlineStr">
        <is>
          <t>Road Safety Awareness</t>
        </is>
      </c>
      <c r="E17" s="15" t="inlineStr"/>
      <c r="F17" s="15" t="inlineStr"/>
      <c r="G17" s="15" t="inlineStr"/>
      <c r="H17" s="15" t="inlineStr"/>
      <c r="I17" s="15" t="inlineStr"/>
    </row>
    <row r="18" ht="22" customHeight="1">
      <c r="B18" s="4" t="n">
        <v>14</v>
      </c>
      <c r="C18" s="5" t="inlineStr"/>
      <c r="D18" s="6" t="inlineStr">
        <is>
          <t>Other Community Service</t>
        </is>
      </c>
      <c r="E18" s="6" t="inlineStr"/>
      <c r="F18" s="6" t="inlineStr"/>
      <c r="G18" s="6" t="inlineStr"/>
      <c r="H18" s="6" t="inlineStr"/>
      <c r="I18" s="6" t="inlineStr"/>
    </row>
    <row r="19" ht="22" customHeight="1">
      <c r="B19" s="13" t="n">
        <v>15</v>
      </c>
      <c r="C19" s="14" t="inlineStr"/>
      <c r="D19" s="15" t="inlineStr">
        <is>
          <t>NSS — Special Camp</t>
        </is>
      </c>
      <c r="E19" s="15" t="inlineStr"/>
      <c r="F19" s="15" t="inlineStr"/>
      <c r="G19" s="15" t="inlineStr"/>
      <c r="H19" s="15" t="inlineStr"/>
      <c r="I19" s="15" t="inlineStr"/>
    </row>
    <row r="20" ht="22" customHeight="1">
      <c r="B20" s="4" t="n">
        <v>16</v>
      </c>
      <c r="C20" s="5" t="inlineStr"/>
      <c r="D20" s="6" t="inlineStr">
        <is>
          <t>NSS — Regular Activity</t>
        </is>
      </c>
      <c r="E20" s="6" t="inlineStr"/>
      <c r="F20" s="6" t="inlineStr"/>
      <c r="G20" s="6" t="inlineStr"/>
      <c r="H20" s="6" t="inlineStr"/>
      <c r="I20" s="6" t="inlineStr"/>
    </row>
    <row r="21" ht="22" customHeight="1">
      <c r="B21" s="13" t="n">
        <v>17</v>
      </c>
      <c r="C21" s="14" t="inlineStr"/>
      <c r="D21" s="15" t="inlineStr">
        <is>
          <t>NCC Activity</t>
        </is>
      </c>
      <c r="E21" s="15" t="inlineStr"/>
      <c r="F21" s="15" t="inlineStr"/>
      <c r="G21" s="15" t="inlineStr"/>
      <c r="H21" s="15" t="inlineStr"/>
      <c r="I21" s="15" t="inlineStr"/>
    </row>
    <row r="22" ht="22" customHeight="1">
      <c r="B22" s="4" t="n">
        <v>18</v>
      </c>
      <c r="C22" s="5" t="inlineStr"/>
      <c r="D22" s="6" t="inlineStr">
        <is>
          <t>Blood Donation Camp</t>
        </is>
      </c>
      <c r="E22" s="6" t="inlineStr"/>
      <c r="F22" s="6" t="inlineStr"/>
      <c r="G22" s="6" t="inlineStr"/>
      <c r="H22" s="6" t="inlineStr"/>
      <c r="I22" s="6" t="inlineStr"/>
    </row>
    <row r="23" ht="22" customHeight="1">
      <c r="B23" s="13" t="n">
        <v>19</v>
      </c>
      <c r="C23" s="14" t="inlineStr"/>
      <c r="D23" s="15" t="inlineStr">
        <is>
          <t>Health Awareness Camp</t>
        </is>
      </c>
      <c r="E23" s="15" t="inlineStr"/>
      <c r="F23" s="15" t="inlineStr"/>
      <c r="G23" s="15" t="inlineStr"/>
      <c r="H23" s="15" t="inlineStr"/>
      <c r="I23" s="15" t="inlineStr"/>
    </row>
    <row r="24" ht="22" customHeight="1">
      <c r="B24" s="4" t="n">
        <v>20</v>
      </c>
      <c r="C24" s="5" t="inlineStr"/>
      <c r="D24" s="6" t="inlineStr">
        <is>
          <t>Village Adoption Programme</t>
        </is>
      </c>
      <c r="E24" s="6" t="inlineStr"/>
      <c r="F24" s="6" t="inlineStr"/>
      <c r="G24" s="6" t="inlineStr"/>
      <c r="H24" s="6" t="inlineStr"/>
      <c r="I24" s="6" t="inlineStr"/>
    </row>
    <row r="25" ht="22" customHeight="1">
      <c r="B25" s="13" t="n">
        <v>21</v>
      </c>
      <c r="C25" s="14" t="inlineStr"/>
      <c r="D25" s="15" t="inlineStr">
        <is>
          <t>Digital Literacy Drive</t>
        </is>
      </c>
      <c r="E25" s="15" t="inlineStr"/>
      <c r="F25" s="15" t="inlineStr"/>
      <c r="G25" s="15" t="inlineStr"/>
      <c r="H25" s="15" t="inlineStr"/>
      <c r="I25" s="15" t="inlineStr"/>
    </row>
    <row r="26" ht="22" customHeight="1">
      <c r="B26" s="4" t="n">
        <v>22</v>
      </c>
      <c r="C26" s="5" t="inlineStr"/>
      <c r="D26" s="6" t="inlineStr">
        <is>
          <t>Environmental Awareness</t>
        </is>
      </c>
      <c r="E26" s="6" t="inlineStr"/>
      <c r="F26" s="6" t="inlineStr"/>
      <c r="G26" s="6" t="inlineStr"/>
      <c r="H26" s="6" t="inlineStr"/>
      <c r="I26" s="6" t="inlineStr"/>
    </row>
    <row r="27" ht="22" customHeight="1">
      <c r="B27" s="13" t="n">
        <v>23</v>
      </c>
      <c r="C27" s="14" t="inlineStr"/>
      <c r="D27" s="15" t="inlineStr">
        <is>
          <t>Swachh Bharat Activity</t>
        </is>
      </c>
      <c r="E27" s="15" t="inlineStr"/>
      <c r="F27" s="15" t="inlineStr"/>
      <c r="G27" s="15" t="inlineStr"/>
      <c r="H27" s="15" t="inlineStr"/>
      <c r="I27" s="15" t="inlineStr"/>
    </row>
    <row r="28" ht="22" customHeight="1">
      <c r="B28" s="4" t="n">
        <v>24</v>
      </c>
      <c r="C28" s="5" t="inlineStr"/>
      <c r="D28" s="6" t="inlineStr">
        <is>
          <t>Women Empowerment Programme</t>
        </is>
      </c>
      <c r="E28" s="6" t="inlineStr"/>
      <c r="F28" s="6" t="inlineStr"/>
      <c r="G28" s="6" t="inlineStr"/>
      <c r="H28" s="6" t="inlineStr"/>
      <c r="I28" s="6" t="inlineStr"/>
    </row>
    <row r="29" ht="22" customHeight="1"/>
    <row r="30" ht="24" customHeight="1">
      <c r="B30" s="60" t="inlineStr">
        <is>
          <t>EXTENSION ACTIVITY SUMMARY</t>
        </is>
      </c>
    </row>
    <row r="31" ht="22" customHeight="1">
      <c r="B31" s="23" t="inlineStr">
        <is>
          <t>Category</t>
        </is>
      </c>
      <c r="C31" s="23" t="inlineStr">
        <is>
          <t>No. of Activities</t>
        </is>
      </c>
      <c r="D31" s="23" t="inlineStr">
        <is>
          <t>Total Volunteer
Hours</t>
        </is>
      </c>
      <c r="E31" s="23" t="inlineStr">
        <is>
          <t>Students
Involved</t>
        </is>
      </c>
      <c r="F31" s="23" t="inlineStr">
        <is>
          <t>Beneficiaries
Reached</t>
        </is>
      </c>
      <c r="G31" s="23" t="inlineStr">
        <is>
          <t>Budget Used
(₹)</t>
        </is>
      </c>
      <c r="H31" s="23" t="inlineStr">
        <is>
          <t>Awards / Recognition</t>
        </is>
      </c>
      <c r="I31" s="23" t="inlineStr">
        <is>
          <t>NAAC Ref.</t>
        </is>
      </c>
    </row>
    <row r="32" ht="22" customHeight="1">
      <c r="B32" s="71" t="inlineStr">
        <is>
          <t>NSS Activities</t>
        </is>
      </c>
      <c r="C32" s="63" t="inlineStr"/>
      <c r="D32" s="63" t="inlineStr"/>
      <c r="E32" s="63" t="inlineStr"/>
      <c r="F32" s="63" t="inlineStr"/>
      <c r="G32" s="63" t="inlineStr"/>
      <c r="H32" s="62" t="inlineStr"/>
      <c r="I32" s="63" t="inlineStr"/>
    </row>
    <row r="33" ht="22" customHeight="1">
      <c r="B33" s="26" t="inlineStr">
        <is>
          <t>NCC Activities</t>
        </is>
      </c>
      <c r="C33" s="6" t="inlineStr"/>
      <c r="D33" s="6" t="inlineStr"/>
      <c r="E33" s="6" t="inlineStr"/>
      <c r="F33" s="6" t="inlineStr"/>
      <c r="G33" s="6" t="inlineStr"/>
      <c r="H33" s="5" t="inlineStr"/>
      <c r="I33" s="6" t="inlineStr"/>
    </row>
    <row r="34" ht="22" customHeight="1">
      <c r="B34" s="71" t="inlineStr">
        <is>
          <t>Community Health</t>
        </is>
      </c>
      <c r="C34" s="63" t="inlineStr"/>
      <c r="D34" s="63" t="inlineStr"/>
      <c r="E34" s="63" t="inlineStr"/>
      <c r="F34" s="63" t="inlineStr"/>
      <c r="G34" s="63" t="inlineStr"/>
      <c r="H34" s="62" t="inlineStr"/>
      <c r="I34" s="63" t="inlineStr"/>
    </row>
    <row r="35" ht="22" customHeight="1">
      <c r="B35" s="26" t="inlineStr">
        <is>
          <t>Environment</t>
        </is>
      </c>
      <c r="C35" s="6" t="inlineStr"/>
      <c r="D35" s="6" t="inlineStr"/>
      <c r="E35" s="6" t="inlineStr"/>
      <c r="F35" s="6" t="inlineStr"/>
      <c r="G35" s="6" t="inlineStr"/>
      <c r="H35" s="5" t="inlineStr"/>
      <c r="I35" s="6" t="inlineStr"/>
    </row>
    <row r="36" ht="22" customHeight="1">
      <c r="B36" s="71" t="inlineStr">
        <is>
          <t>Digital Literacy</t>
        </is>
      </c>
      <c r="C36" s="63" t="inlineStr"/>
      <c r="D36" s="63" t="inlineStr"/>
      <c r="E36" s="63" t="inlineStr"/>
      <c r="F36" s="63" t="inlineStr"/>
      <c r="G36" s="63" t="inlineStr"/>
      <c r="H36" s="62" t="inlineStr"/>
      <c r="I36" s="63" t="inlineStr"/>
    </row>
    <row r="37" ht="22" customHeight="1">
      <c r="B37" s="26" t="inlineStr">
        <is>
          <t>Other</t>
        </is>
      </c>
      <c r="C37" s="6" t="inlineStr"/>
      <c r="D37" s="6" t="inlineStr"/>
      <c r="E37" s="6" t="inlineStr"/>
      <c r="F37" s="6" t="inlineStr"/>
      <c r="G37" s="6" t="inlineStr"/>
      <c r="H37" s="5" t="inlineStr"/>
      <c r="I37" s="6" t="inlineStr"/>
    </row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3">
    <mergeCell ref="B30:I30"/>
    <mergeCell ref="B3:I3"/>
    <mergeCell ref="B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IQ-19: NBA / NAAC / NIRF ACCREDITATION PREPARATION TRACKER</t>
        </is>
      </c>
    </row>
    <row r="3" ht="25" customHeight="1">
      <c r="B3" s="2" t="inlineStr">
        <is>
          <t>Institution: _________________________  IQAC Coordinator: ___________________  Target Submission Date: _______</t>
        </is>
      </c>
    </row>
    <row r="4" ht="24" customHeight="1">
      <c r="B4" s="19" t="inlineStr">
        <is>
          <t>NAAC PREPARATION — CRITERION-WISE READINESS</t>
        </is>
      </c>
    </row>
    <row r="5" ht="22" customHeight="1">
      <c r="B5" s="20" t="inlineStr">
        <is>
          <t>Sl.</t>
        </is>
      </c>
      <c r="C5" s="20" t="inlineStr">
        <is>
          <t>Milestone / Task</t>
        </is>
      </c>
      <c r="D5" s="20" t="inlineStr">
        <is>
          <t>Unit / Check</t>
        </is>
      </c>
      <c r="E5" s="20" t="inlineStr">
        <is>
          <t>Status
(Done/WIP/Pending)</t>
        </is>
      </c>
      <c r="F5" s="20" t="inlineStr">
        <is>
          <t>Responsible
Person</t>
        </is>
      </c>
      <c r="G5" s="20" t="inlineStr">
        <is>
          <t>Target Date</t>
        </is>
      </c>
      <c r="H5" s="20" t="inlineStr">
        <is>
          <t>Completion
Date</t>
        </is>
      </c>
      <c r="I5" s="20" t="inlineStr">
        <is>
          <t>Evidence Ref.</t>
        </is>
      </c>
    </row>
    <row r="6" ht="22" customHeight="1">
      <c r="B6" s="28" t="n">
        <v>1</v>
      </c>
      <c r="C6" s="29" t="inlineStr">
        <is>
          <t>Criterion I: Curricular Aspects — data compiled &amp; verified</t>
        </is>
      </c>
      <c r="D6" s="21" t="inlineStr">
        <is>
          <t>DVV ready?</t>
        </is>
      </c>
      <c r="E6" s="21" t="inlineStr">
        <is>
          <t>In Progress</t>
        </is>
      </c>
      <c r="F6" s="21" t="inlineStr"/>
      <c r="G6" s="21" t="inlineStr"/>
      <c r="H6" s="21" t="inlineStr"/>
      <c r="I6" s="29" t="inlineStr"/>
    </row>
    <row r="7" ht="22" customHeight="1">
      <c r="B7" s="4" t="n">
        <v>2</v>
      </c>
      <c r="C7" s="5" t="inlineStr">
        <is>
          <t>Criterion II: Teaching-Learning — CO-PO data, survey results</t>
        </is>
      </c>
      <c r="D7" s="6" t="inlineStr">
        <is>
          <t>DVV ready?</t>
        </is>
      </c>
      <c r="E7" s="6" t="inlineStr">
        <is>
          <t>In Progress</t>
        </is>
      </c>
      <c r="F7" s="6" t="inlineStr"/>
      <c r="G7" s="6" t="inlineStr"/>
      <c r="H7" s="6" t="inlineStr"/>
      <c r="I7" s="5" t="inlineStr"/>
    </row>
    <row r="8" ht="22" customHeight="1">
      <c r="B8" s="28" t="n">
        <v>3</v>
      </c>
      <c r="C8" s="29" t="inlineStr">
        <is>
          <t>Criterion III: Research — publications, grants, patents</t>
        </is>
      </c>
      <c r="D8" s="21" t="inlineStr">
        <is>
          <t>DVV ready?</t>
        </is>
      </c>
      <c r="E8" s="21" t="inlineStr">
        <is>
          <t>In Progress</t>
        </is>
      </c>
      <c r="F8" s="21" t="inlineStr"/>
      <c r="G8" s="21" t="inlineStr"/>
      <c r="H8" s="21" t="inlineStr"/>
      <c r="I8" s="29" t="inlineStr"/>
    </row>
    <row r="9" ht="22" customHeight="1">
      <c r="B9" s="4" t="n">
        <v>4</v>
      </c>
      <c r="C9" s="5" t="inlineStr">
        <is>
          <t>Criterion IV: Infrastructure — audit done, data compiled</t>
        </is>
      </c>
      <c r="D9" s="6" t="inlineStr">
        <is>
          <t>DVV ready?</t>
        </is>
      </c>
      <c r="E9" s="6" t="inlineStr">
        <is>
          <t>In Progress</t>
        </is>
      </c>
      <c r="F9" s="6" t="inlineStr"/>
      <c r="G9" s="6" t="inlineStr"/>
      <c r="H9" s="6" t="inlineStr"/>
      <c r="I9" s="5" t="inlineStr"/>
    </row>
    <row r="10" ht="22" customHeight="1">
      <c r="B10" s="28" t="n">
        <v>5</v>
      </c>
      <c r="C10" s="29" t="inlineStr">
        <is>
          <t>Criterion V: Student Support — scholarship, placement data</t>
        </is>
      </c>
      <c r="D10" s="21" t="inlineStr">
        <is>
          <t>DVV ready?</t>
        </is>
      </c>
      <c r="E10" s="21" t="inlineStr">
        <is>
          <t>In Progress</t>
        </is>
      </c>
      <c r="F10" s="21" t="inlineStr"/>
      <c r="G10" s="21" t="inlineStr"/>
      <c r="H10" s="21" t="inlineStr"/>
      <c r="I10" s="29" t="inlineStr"/>
    </row>
    <row r="11" ht="22" customHeight="1">
      <c r="B11" s="4" t="n">
        <v>6</v>
      </c>
      <c r="C11" s="5" t="inlineStr">
        <is>
          <t>Criterion VI: Governance — policy docs, e-governance</t>
        </is>
      </c>
      <c r="D11" s="6" t="inlineStr">
        <is>
          <t>DVV ready?</t>
        </is>
      </c>
      <c r="E11" s="6" t="inlineStr">
        <is>
          <t>In Progress</t>
        </is>
      </c>
      <c r="F11" s="6" t="inlineStr"/>
      <c r="G11" s="6" t="inlineStr"/>
      <c r="H11" s="6" t="inlineStr"/>
      <c r="I11" s="5" t="inlineStr"/>
    </row>
    <row r="12" ht="22" customHeight="1">
      <c r="B12" s="28" t="n">
        <v>7</v>
      </c>
      <c r="C12" s="29" t="inlineStr">
        <is>
          <t>Criterion VII: Best Practices &amp; Distinctiveness — documented</t>
        </is>
      </c>
      <c r="D12" s="21" t="inlineStr">
        <is>
          <t>DVV ready?</t>
        </is>
      </c>
      <c r="E12" s="21" t="inlineStr">
        <is>
          <t>In Progress</t>
        </is>
      </c>
      <c r="F12" s="21" t="inlineStr"/>
      <c r="G12" s="21" t="inlineStr"/>
      <c r="H12" s="21" t="inlineStr"/>
      <c r="I12" s="29" t="inlineStr"/>
    </row>
    <row r="13" ht="22" customHeight="1">
      <c r="B13" s="4" t="n">
        <v>8</v>
      </c>
      <c r="C13" s="5" t="inlineStr">
        <is>
          <t>IQAC e-proceedings uploaded on NAAC portal</t>
        </is>
      </c>
      <c r="D13" s="6" t="inlineStr">
        <is>
          <t>Uploaded?</t>
        </is>
      </c>
      <c r="E13" s="6" t="inlineStr">
        <is>
          <t>In Progress</t>
        </is>
      </c>
      <c r="F13" s="6" t="inlineStr"/>
      <c r="G13" s="6" t="inlineStr"/>
      <c r="H13" s="6" t="inlineStr"/>
      <c r="I13" s="5" t="inlineStr"/>
    </row>
    <row r="14" ht="22" customHeight="1">
      <c r="B14" s="28" t="n">
        <v>9</v>
      </c>
      <c r="C14" s="29" t="inlineStr">
        <is>
          <t>AQAR for all preceding years submitted on time</t>
        </is>
      </c>
      <c r="D14" s="21" t="inlineStr">
        <is>
          <t>All years?</t>
        </is>
      </c>
      <c r="E14" s="21" t="inlineStr">
        <is>
          <t>In Progress</t>
        </is>
      </c>
      <c r="F14" s="21" t="inlineStr"/>
      <c r="G14" s="21" t="inlineStr"/>
      <c r="H14" s="21" t="inlineStr"/>
      <c r="I14" s="29" t="inlineStr"/>
    </row>
    <row r="15" ht="22" customHeight="1"/>
    <row r="16" ht="24" customHeight="1">
      <c r="B16" s="18" t="inlineStr">
        <is>
          <t>NBA PREPARATION — PROGRAMME-WISE</t>
        </is>
      </c>
    </row>
    <row r="17" ht="22" customHeight="1">
      <c r="B17" s="12" t="inlineStr">
        <is>
          <t>Sl.</t>
        </is>
      </c>
      <c r="C17" s="12" t="inlineStr">
        <is>
          <t>Milestone / Task</t>
        </is>
      </c>
      <c r="D17" s="12" t="inlineStr">
        <is>
          <t>Unit / Check</t>
        </is>
      </c>
      <c r="E17" s="12" t="inlineStr">
        <is>
          <t>Status
(Done/WIP/Pending)</t>
        </is>
      </c>
      <c r="F17" s="12" t="inlineStr">
        <is>
          <t>Responsible
Person</t>
        </is>
      </c>
      <c r="G17" s="12" t="inlineStr">
        <is>
          <t>Target Date</t>
        </is>
      </c>
      <c r="H17" s="12" t="inlineStr">
        <is>
          <t>Completion
Date</t>
        </is>
      </c>
      <c r="I17" s="12" t="inlineStr">
        <is>
          <t>Evidence Ref.</t>
        </is>
      </c>
    </row>
    <row r="18" ht="22" customHeight="1">
      <c r="B18" s="13" t="n">
        <v>1</v>
      </c>
      <c r="C18" s="14" t="inlineStr">
        <is>
          <t>CO-PO mapping completed for all courses</t>
        </is>
      </c>
      <c r="D18" s="15" t="inlineStr">
        <is>
          <t>% complete</t>
        </is>
      </c>
      <c r="E18" s="15" t="inlineStr">
        <is>
          <t>In Progress</t>
        </is>
      </c>
      <c r="F18" s="15" t="inlineStr"/>
      <c r="G18" s="15" t="inlineStr"/>
      <c r="H18" s="15" t="inlineStr"/>
      <c r="I18" s="14" t="inlineStr"/>
    </row>
    <row r="19" ht="22" customHeight="1">
      <c r="B19" s="4" t="n">
        <v>2</v>
      </c>
      <c r="C19" s="5" t="inlineStr">
        <is>
          <t>CO attainment (direct &amp; indirect) computed</t>
        </is>
      </c>
      <c r="D19" s="6" t="inlineStr">
        <is>
          <t>% complete</t>
        </is>
      </c>
      <c r="E19" s="6" t="inlineStr">
        <is>
          <t>In Progress</t>
        </is>
      </c>
      <c r="F19" s="6" t="inlineStr"/>
      <c r="G19" s="6" t="inlineStr"/>
      <c r="H19" s="6" t="inlineStr"/>
      <c r="I19" s="5" t="inlineStr"/>
    </row>
    <row r="20" ht="22" customHeight="1">
      <c r="B20" s="13" t="n">
        <v>3</v>
      </c>
      <c r="C20" s="14" t="inlineStr">
        <is>
          <t>PO attainment computed &amp; documented</t>
        </is>
      </c>
      <c r="D20" s="15" t="inlineStr">
        <is>
          <t>% complete</t>
        </is>
      </c>
      <c r="E20" s="15" t="inlineStr">
        <is>
          <t>In Progress</t>
        </is>
      </c>
      <c r="F20" s="15" t="inlineStr"/>
      <c r="G20" s="15" t="inlineStr"/>
      <c r="H20" s="15" t="inlineStr"/>
      <c r="I20" s="14" t="inlineStr"/>
    </row>
    <row r="21" ht="22" customHeight="1">
      <c r="B21" s="4" t="n">
        <v>4</v>
      </c>
      <c r="C21" s="5" t="inlineStr">
        <is>
          <t>Student performance data (3 years) compiled</t>
        </is>
      </c>
      <c r="D21" s="6" t="inlineStr">
        <is>
          <t>All years?</t>
        </is>
      </c>
      <c r="E21" s="6" t="inlineStr">
        <is>
          <t>In Progress</t>
        </is>
      </c>
      <c r="F21" s="6" t="inlineStr"/>
      <c r="G21" s="6" t="inlineStr"/>
      <c r="H21" s="6" t="inlineStr"/>
      <c r="I21" s="5" t="inlineStr"/>
    </row>
    <row r="22" ht="22" customHeight="1">
      <c r="B22" s="13" t="n">
        <v>5</v>
      </c>
      <c r="C22" s="14" t="inlineStr">
        <is>
          <t>Faculty credentials &amp; qualification data</t>
        </is>
      </c>
      <c r="D22" s="15" t="inlineStr">
        <is>
          <t>Compiled?</t>
        </is>
      </c>
      <c r="E22" s="15" t="inlineStr">
        <is>
          <t>In Progress</t>
        </is>
      </c>
      <c r="F22" s="15" t="inlineStr"/>
      <c r="G22" s="15" t="inlineStr"/>
      <c r="H22" s="15" t="inlineStr"/>
      <c r="I22" s="14" t="inlineStr"/>
    </row>
    <row r="23" ht="22" customHeight="1">
      <c r="B23" s="4" t="n">
        <v>6</v>
      </c>
      <c r="C23" s="5" t="inlineStr">
        <is>
          <t>Curriculum documents (as per NBA format)</t>
        </is>
      </c>
      <c r="D23" s="6" t="inlineStr">
        <is>
          <t>Submitted?</t>
        </is>
      </c>
      <c r="E23" s="6" t="inlineStr">
        <is>
          <t>In Progress</t>
        </is>
      </c>
      <c r="F23" s="6" t="inlineStr"/>
      <c r="G23" s="6" t="inlineStr"/>
      <c r="H23" s="6" t="inlineStr"/>
      <c r="I23" s="5" t="inlineStr"/>
    </row>
    <row r="24" ht="22" customHeight="1">
      <c r="B24" s="13" t="n">
        <v>7</v>
      </c>
      <c r="C24" s="14" t="inlineStr">
        <is>
          <t>SAR (Self-Assessment Report) drafted</t>
        </is>
      </c>
      <c r="D24" s="15" t="inlineStr">
        <is>
          <t>Draft ready?</t>
        </is>
      </c>
      <c r="E24" s="15" t="inlineStr">
        <is>
          <t>In Progress</t>
        </is>
      </c>
      <c r="F24" s="15" t="inlineStr"/>
      <c r="G24" s="15" t="inlineStr"/>
      <c r="H24" s="15" t="inlineStr"/>
      <c r="I24" s="14" t="inlineStr"/>
    </row>
    <row r="25" ht="22" customHeight="1">
      <c r="B25" s="4" t="n">
        <v>8</v>
      </c>
      <c r="C25" s="5" t="inlineStr">
        <is>
          <t>Mock NBA visit conducted internally</t>
        </is>
      </c>
      <c r="D25" s="6" t="inlineStr">
        <is>
          <t>Date done</t>
        </is>
      </c>
      <c r="E25" s="6" t="inlineStr">
        <is>
          <t>In Progress</t>
        </is>
      </c>
      <c r="F25" s="6" t="inlineStr"/>
      <c r="G25" s="6" t="inlineStr"/>
      <c r="H25" s="6" t="inlineStr"/>
      <c r="I25" s="5" t="inlineStr"/>
    </row>
    <row r="26" ht="22" customHeight="1"/>
    <row r="27" ht="24" customHeight="1">
      <c r="B27" s="30" t="inlineStr">
        <is>
          <t>NIRF RANKING PREPARATION</t>
        </is>
      </c>
    </row>
    <row r="28" ht="22" customHeight="1">
      <c r="B28" s="31" t="inlineStr">
        <is>
          <t>Sl.</t>
        </is>
      </c>
      <c r="C28" s="31" t="inlineStr">
        <is>
          <t>Milestone / Task</t>
        </is>
      </c>
      <c r="D28" s="31" t="inlineStr">
        <is>
          <t>Unit / Check</t>
        </is>
      </c>
      <c r="E28" s="31" t="inlineStr">
        <is>
          <t>Status
(Done/WIP/Pending)</t>
        </is>
      </c>
      <c r="F28" s="31" t="inlineStr">
        <is>
          <t>Responsible
Person</t>
        </is>
      </c>
      <c r="G28" s="31" t="inlineStr">
        <is>
          <t>Target Date</t>
        </is>
      </c>
      <c r="H28" s="31" t="inlineStr">
        <is>
          <t>Completion
Date</t>
        </is>
      </c>
      <c r="I28" s="31" t="inlineStr">
        <is>
          <t>Evidence Ref.</t>
        </is>
      </c>
    </row>
    <row r="29" ht="22" customHeight="1">
      <c r="B29" s="32" t="n">
        <v>1</v>
      </c>
      <c r="C29" s="33" t="inlineStr">
        <is>
          <t>Teaching, Learning &amp; Resources data</t>
        </is>
      </c>
      <c r="D29" s="34" t="inlineStr">
        <is>
          <t>Compiled?</t>
        </is>
      </c>
      <c r="E29" s="34" t="inlineStr">
        <is>
          <t>In Progress</t>
        </is>
      </c>
      <c r="F29" s="34" t="inlineStr"/>
      <c r="G29" s="34" t="inlineStr"/>
      <c r="H29" s="34" t="inlineStr"/>
      <c r="I29" s="33" t="inlineStr"/>
    </row>
    <row r="30" ht="22" customHeight="1">
      <c r="B30" s="4" t="n">
        <v>2</v>
      </c>
      <c r="C30" s="5" t="inlineStr">
        <is>
          <t>Research &amp; Professional Practice data</t>
        </is>
      </c>
      <c r="D30" s="6" t="inlineStr">
        <is>
          <t>Compiled?</t>
        </is>
      </c>
      <c r="E30" s="6" t="inlineStr">
        <is>
          <t>In Progress</t>
        </is>
      </c>
      <c r="F30" s="6" t="inlineStr"/>
      <c r="G30" s="6" t="inlineStr"/>
      <c r="H30" s="6" t="inlineStr"/>
      <c r="I30" s="5" t="inlineStr"/>
    </row>
    <row r="31" ht="22" customHeight="1">
      <c r="B31" s="32" t="n">
        <v>3</v>
      </c>
      <c r="C31" s="33" t="inlineStr">
        <is>
          <t>Graduation Outcomes data</t>
        </is>
      </c>
      <c r="D31" s="34" t="inlineStr">
        <is>
          <t>Compiled?</t>
        </is>
      </c>
      <c r="E31" s="34" t="inlineStr">
        <is>
          <t>In Progress</t>
        </is>
      </c>
      <c r="F31" s="34" t="inlineStr"/>
      <c r="G31" s="34" t="inlineStr"/>
      <c r="H31" s="34" t="inlineStr"/>
      <c r="I31" s="33" t="inlineStr"/>
    </row>
    <row r="32" ht="22" customHeight="1">
      <c r="B32" s="4" t="n">
        <v>4</v>
      </c>
      <c r="C32" s="5" t="inlineStr">
        <is>
          <t>Outreach &amp; Inclusivity data</t>
        </is>
      </c>
      <c r="D32" s="6" t="inlineStr">
        <is>
          <t>Compiled?</t>
        </is>
      </c>
      <c r="E32" s="6" t="inlineStr">
        <is>
          <t>In Progress</t>
        </is>
      </c>
      <c r="F32" s="6" t="inlineStr"/>
      <c r="G32" s="6" t="inlineStr"/>
      <c r="H32" s="6" t="inlineStr"/>
      <c r="I32" s="5" t="inlineStr"/>
    </row>
    <row r="33" ht="22" customHeight="1">
      <c r="B33" s="32" t="n">
        <v>5</v>
      </c>
      <c r="C33" s="33" t="inlineStr">
        <is>
          <t>Perception data (employer, academic peer)</t>
        </is>
      </c>
      <c r="D33" s="34" t="inlineStr">
        <is>
          <t>Compiled?</t>
        </is>
      </c>
      <c r="E33" s="34" t="inlineStr">
        <is>
          <t>In Progress</t>
        </is>
      </c>
      <c r="F33" s="34" t="inlineStr"/>
      <c r="G33" s="34" t="inlineStr"/>
      <c r="H33" s="34" t="inlineStr"/>
      <c r="I33" s="33" t="inlineStr"/>
    </row>
    <row r="34" ht="22" customHeight="1">
      <c r="B34" s="4" t="n">
        <v>6</v>
      </c>
      <c r="C34" s="5" t="inlineStr">
        <is>
          <t>NIRF portal submission completed</t>
        </is>
      </c>
      <c r="D34" s="6" t="inlineStr">
        <is>
          <t>Date submitted</t>
        </is>
      </c>
      <c r="E34" s="6" t="inlineStr">
        <is>
          <t>In Progress</t>
        </is>
      </c>
      <c r="F34" s="6" t="inlineStr"/>
      <c r="G34" s="6" t="inlineStr"/>
      <c r="H34" s="6" t="inlineStr"/>
      <c r="I34" s="5" t="inlineStr"/>
    </row>
    <row r="35" ht="22" customHeight="1"/>
    <row r="36" ht="22" customHeight="1">
      <c r="B36" s="16" t="inlineStr">
        <is>
          <t>Overall Accreditation Readiness Score: ___ / 100    Assessment by Peer Review Team on: _______    IQAC Sign-off: ___________________</t>
        </is>
      </c>
    </row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</sheetData>
  <mergeCells count="6">
    <mergeCell ref="B16:I16"/>
    <mergeCell ref="B2:I2"/>
    <mergeCell ref="B3:I3"/>
    <mergeCell ref="B36:I36"/>
    <mergeCell ref="B27:I27"/>
    <mergeCell ref="B4:I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5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32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IQ-20: IQAC RECOMMENDATIONS &amp; FOLLOW-UP REGISTER (CUMULATIVE)</t>
        </is>
      </c>
    </row>
    <row r="3" ht="25" customHeight="1">
      <c r="B3" s="2" t="inlineStr">
        <is>
          <t>Institution: _________________________  Maintained by: IQAC Coordinator    Last Updated: _______</t>
        </is>
      </c>
    </row>
    <row r="4" ht="25" customHeight="1">
      <c r="B4" s="72" t="inlineStr">
        <is>
          <t>IQAC Res.
No.</t>
        </is>
      </c>
      <c r="C4" s="72" t="inlineStr">
        <is>
          <t>Recommendation / Resolution (Summary)</t>
        </is>
      </c>
      <c r="D4" s="72" t="inlineStr">
        <is>
          <t>Category</t>
        </is>
      </c>
      <c r="E4" s="72" t="inlineStr">
        <is>
          <t>IQAC Meeting
No. &amp; Date</t>
        </is>
      </c>
      <c r="F4" s="72" t="inlineStr">
        <is>
          <t>Forwarded To</t>
        </is>
      </c>
      <c r="G4" s="72" t="inlineStr">
        <is>
          <t>Target
Date</t>
        </is>
      </c>
      <c r="H4" s="72" t="inlineStr">
        <is>
          <t>Implemented
Date</t>
        </is>
      </c>
      <c r="I4" s="72" t="inlineStr">
        <is>
          <t>Status</t>
        </is>
      </c>
    </row>
    <row r="5" ht="25" customHeight="1">
      <c r="B5" s="13" t="inlineStr">
        <is>
          <t>IQ/RES/2022/001</t>
        </is>
      </c>
      <c r="C5" s="14" t="inlineStr"/>
      <c r="D5" s="15" t="inlineStr">
        <is>
          <t>Teaching-Learning</t>
        </is>
      </c>
      <c r="E5" s="15" t="inlineStr"/>
      <c r="F5" s="15" t="inlineStr"/>
      <c r="G5" s="15" t="inlineStr"/>
      <c r="H5" s="15" t="inlineStr"/>
      <c r="I5" s="15" t="inlineStr">
        <is>
          <t>Pending</t>
        </is>
      </c>
    </row>
    <row r="6" ht="25" customHeight="1">
      <c r="B6" s="4" t="inlineStr">
        <is>
          <t>IQ/RES/2022/002</t>
        </is>
      </c>
      <c r="C6" s="5" t="inlineStr"/>
      <c r="D6" s="6" t="inlineStr">
        <is>
          <t>Research</t>
        </is>
      </c>
      <c r="E6" s="6" t="inlineStr"/>
      <c r="F6" s="6" t="inlineStr"/>
      <c r="G6" s="6" t="inlineStr"/>
      <c r="H6" s="6" t="inlineStr"/>
      <c r="I6" s="6" t="inlineStr">
        <is>
          <t>Pending</t>
        </is>
      </c>
    </row>
    <row r="7" ht="25" customHeight="1">
      <c r="B7" s="13" t="inlineStr">
        <is>
          <t>IQ/RES/2022/003</t>
        </is>
      </c>
      <c r="C7" s="14" t="inlineStr"/>
      <c r="D7" s="15" t="inlineStr">
        <is>
          <t>Infrastructure</t>
        </is>
      </c>
      <c r="E7" s="15" t="inlineStr"/>
      <c r="F7" s="15" t="inlineStr"/>
      <c r="G7" s="15" t="inlineStr"/>
      <c r="H7" s="15" t="inlineStr"/>
      <c r="I7" s="15" t="inlineStr">
        <is>
          <t>Pending</t>
        </is>
      </c>
    </row>
    <row r="8" ht="25" customHeight="1">
      <c r="B8" s="4" t="inlineStr">
        <is>
          <t>IQ/RES/2022/004</t>
        </is>
      </c>
      <c r="C8" s="5" t="inlineStr"/>
      <c r="D8" s="6" t="inlineStr">
        <is>
          <t>Student Support</t>
        </is>
      </c>
      <c r="E8" s="6" t="inlineStr"/>
      <c r="F8" s="6" t="inlineStr"/>
      <c r="G8" s="6" t="inlineStr"/>
      <c r="H8" s="6" t="inlineStr"/>
      <c r="I8" s="6" t="inlineStr">
        <is>
          <t>Pending</t>
        </is>
      </c>
    </row>
    <row r="9" ht="25" customHeight="1">
      <c r="B9" s="13" t="inlineStr">
        <is>
          <t>IQ/RES/2022/005</t>
        </is>
      </c>
      <c r="C9" s="14" t="inlineStr"/>
      <c r="D9" s="15" t="inlineStr">
        <is>
          <t>Governance</t>
        </is>
      </c>
      <c r="E9" s="15" t="inlineStr"/>
      <c r="F9" s="15" t="inlineStr"/>
      <c r="G9" s="15" t="inlineStr"/>
      <c r="H9" s="15" t="inlineStr"/>
      <c r="I9" s="15" t="inlineStr">
        <is>
          <t>Pending</t>
        </is>
      </c>
    </row>
    <row r="10" ht="25" customHeight="1">
      <c r="B10" s="4" t="inlineStr">
        <is>
          <t>IQ/RES/2022/006</t>
        </is>
      </c>
      <c r="C10" s="5" t="inlineStr"/>
      <c r="D10" s="6" t="inlineStr">
        <is>
          <t>Faculty Development</t>
        </is>
      </c>
      <c r="E10" s="6" t="inlineStr"/>
      <c r="F10" s="6" t="inlineStr"/>
      <c r="G10" s="6" t="inlineStr"/>
      <c r="H10" s="6" t="inlineStr"/>
      <c r="I10" s="6" t="inlineStr">
        <is>
          <t>Pending</t>
        </is>
      </c>
    </row>
    <row r="11" ht="25" customHeight="1">
      <c r="B11" s="13" t="inlineStr">
        <is>
          <t>IQ/RES/2022/007</t>
        </is>
      </c>
      <c r="C11" s="14" t="inlineStr"/>
      <c r="D11" s="15" t="inlineStr">
        <is>
          <t>Extension</t>
        </is>
      </c>
      <c r="E11" s="15" t="inlineStr"/>
      <c r="F11" s="15" t="inlineStr"/>
      <c r="G11" s="15" t="inlineStr"/>
      <c r="H11" s="15" t="inlineStr"/>
      <c r="I11" s="15" t="inlineStr">
        <is>
          <t>Pending</t>
        </is>
      </c>
    </row>
    <row r="12" ht="25" customHeight="1">
      <c r="B12" s="4" t="inlineStr">
        <is>
          <t>IQ/RES/2022/008</t>
        </is>
      </c>
      <c r="C12" s="5" t="inlineStr"/>
      <c r="D12" s="6" t="inlineStr">
        <is>
          <t>Green Campus</t>
        </is>
      </c>
      <c r="E12" s="6" t="inlineStr"/>
      <c r="F12" s="6" t="inlineStr"/>
      <c r="G12" s="6" t="inlineStr"/>
      <c r="H12" s="6" t="inlineStr"/>
      <c r="I12" s="6" t="inlineStr">
        <is>
          <t>Pending</t>
        </is>
      </c>
    </row>
    <row r="13" ht="25" customHeight="1">
      <c r="B13" s="13" t="inlineStr">
        <is>
          <t>IQ/RES/2022/009</t>
        </is>
      </c>
      <c r="C13" s="14" t="inlineStr"/>
      <c r="D13" s="15" t="inlineStr">
        <is>
          <t>Alumni</t>
        </is>
      </c>
      <c r="E13" s="15" t="inlineStr"/>
      <c r="F13" s="15" t="inlineStr"/>
      <c r="G13" s="15" t="inlineStr"/>
      <c r="H13" s="15" t="inlineStr"/>
      <c r="I13" s="15" t="inlineStr">
        <is>
          <t>Pending</t>
        </is>
      </c>
    </row>
    <row r="14" ht="25" customHeight="1">
      <c r="B14" s="4" t="inlineStr">
        <is>
          <t>IQ/RES/2022/010</t>
        </is>
      </c>
      <c r="C14" s="5" t="inlineStr"/>
      <c r="D14" s="6" t="inlineStr">
        <is>
          <t>Accreditation</t>
        </is>
      </c>
      <c r="E14" s="6" t="inlineStr"/>
      <c r="F14" s="6" t="inlineStr"/>
      <c r="G14" s="6" t="inlineStr"/>
      <c r="H14" s="6" t="inlineStr"/>
      <c r="I14" s="6" t="inlineStr">
        <is>
          <t>Pending</t>
        </is>
      </c>
    </row>
    <row r="15" ht="25" customHeight="1">
      <c r="B15" s="13" t="inlineStr">
        <is>
          <t>IQ/RES/2023/011</t>
        </is>
      </c>
      <c r="C15" s="14" t="inlineStr"/>
      <c r="D15" s="15" t="inlineStr">
        <is>
          <t>Best Practices</t>
        </is>
      </c>
      <c r="E15" s="15" t="inlineStr"/>
      <c r="F15" s="15" t="inlineStr"/>
      <c r="G15" s="15" t="inlineStr"/>
      <c r="H15" s="15" t="inlineStr"/>
      <c r="I15" s="15" t="inlineStr">
        <is>
          <t>Pending</t>
        </is>
      </c>
    </row>
    <row r="16" ht="25" customHeight="1">
      <c r="B16" s="4" t="inlineStr">
        <is>
          <t>IQ/RES/2023/012</t>
        </is>
      </c>
      <c r="C16" s="5" t="inlineStr"/>
      <c r="D16" s="6" t="inlineStr">
        <is>
          <t>Others</t>
        </is>
      </c>
      <c r="E16" s="6" t="inlineStr"/>
      <c r="F16" s="6" t="inlineStr"/>
      <c r="G16" s="6" t="inlineStr"/>
      <c r="H16" s="6" t="inlineStr"/>
      <c r="I16" s="6" t="inlineStr">
        <is>
          <t>Pending</t>
        </is>
      </c>
    </row>
    <row r="17" ht="25" customHeight="1">
      <c r="B17" s="13" t="inlineStr">
        <is>
          <t>IQ/RES/2023/013</t>
        </is>
      </c>
      <c r="C17" s="14" t="inlineStr"/>
      <c r="D17" s="15" t="inlineStr">
        <is>
          <t>Teaching-Learning</t>
        </is>
      </c>
      <c r="E17" s="15" t="inlineStr"/>
      <c r="F17" s="15" t="inlineStr"/>
      <c r="G17" s="15" t="inlineStr"/>
      <c r="H17" s="15" t="inlineStr"/>
      <c r="I17" s="15" t="inlineStr">
        <is>
          <t>Pending</t>
        </is>
      </c>
    </row>
    <row r="18" ht="25" customHeight="1">
      <c r="B18" s="4" t="inlineStr">
        <is>
          <t>IQ/RES/2023/014</t>
        </is>
      </c>
      <c r="C18" s="5" t="inlineStr"/>
      <c r="D18" s="6" t="inlineStr">
        <is>
          <t>Research</t>
        </is>
      </c>
      <c r="E18" s="6" t="inlineStr"/>
      <c r="F18" s="6" t="inlineStr"/>
      <c r="G18" s="6" t="inlineStr"/>
      <c r="H18" s="6" t="inlineStr"/>
      <c r="I18" s="6" t="inlineStr">
        <is>
          <t>Pending</t>
        </is>
      </c>
    </row>
    <row r="19" ht="25" customHeight="1">
      <c r="B19" s="13" t="inlineStr">
        <is>
          <t>IQ/RES/2023/015</t>
        </is>
      </c>
      <c r="C19" s="14" t="inlineStr"/>
      <c r="D19" s="15" t="inlineStr">
        <is>
          <t>Infrastructure</t>
        </is>
      </c>
      <c r="E19" s="15" t="inlineStr"/>
      <c r="F19" s="15" t="inlineStr"/>
      <c r="G19" s="15" t="inlineStr"/>
      <c r="H19" s="15" t="inlineStr"/>
      <c r="I19" s="15" t="inlineStr">
        <is>
          <t>Pending</t>
        </is>
      </c>
    </row>
    <row r="20" ht="25" customHeight="1">
      <c r="B20" s="4" t="inlineStr">
        <is>
          <t>IQ/RES/2023/016</t>
        </is>
      </c>
      <c r="C20" s="5" t="inlineStr"/>
      <c r="D20" s="6" t="inlineStr">
        <is>
          <t>Student Support</t>
        </is>
      </c>
      <c r="E20" s="6" t="inlineStr"/>
      <c r="F20" s="6" t="inlineStr"/>
      <c r="G20" s="6" t="inlineStr"/>
      <c r="H20" s="6" t="inlineStr"/>
      <c r="I20" s="6" t="inlineStr">
        <is>
          <t>Pending</t>
        </is>
      </c>
    </row>
    <row r="21" ht="25" customHeight="1">
      <c r="B21" s="13" t="inlineStr">
        <is>
          <t>IQ/RES/2023/017</t>
        </is>
      </c>
      <c r="C21" s="14" t="inlineStr"/>
      <c r="D21" s="15" t="inlineStr">
        <is>
          <t>Governance</t>
        </is>
      </c>
      <c r="E21" s="15" t="inlineStr"/>
      <c r="F21" s="15" t="inlineStr"/>
      <c r="G21" s="15" t="inlineStr"/>
      <c r="H21" s="15" t="inlineStr"/>
      <c r="I21" s="15" t="inlineStr">
        <is>
          <t>Pending</t>
        </is>
      </c>
    </row>
    <row r="22" ht="25" customHeight="1">
      <c r="B22" s="4" t="inlineStr">
        <is>
          <t>IQ/RES/2023/018</t>
        </is>
      </c>
      <c r="C22" s="5" t="inlineStr"/>
      <c r="D22" s="6" t="inlineStr">
        <is>
          <t>Faculty Development</t>
        </is>
      </c>
      <c r="E22" s="6" t="inlineStr"/>
      <c r="F22" s="6" t="inlineStr"/>
      <c r="G22" s="6" t="inlineStr"/>
      <c r="H22" s="6" t="inlineStr"/>
      <c r="I22" s="6" t="inlineStr">
        <is>
          <t>Pending</t>
        </is>
      </c>
    </row>
    <row r="23" ht="25" customHeight="1">
      <c r="B23" s="13" t="inlineStr">
        <is>
          <t>IQ/RES/2023/019</t>
        </is>
      </c>
      <c r="C23" s="14" t="inlineStr"/>
      <c r="D23" s="15" t="inlineStr">
        <is>
          <t>Extension</t>
        </is>
      </c>
      <c r="E23" s="15" t="inlineStr"/>
      <c r="F23" s="15" t="inlineStr"/>
      <c r="G23" s="15" t="inlineStr"/>
      <c r="H23" s="15" t="inlineStr"/>
      <c r="I23" s="15" t="inlineStr">
        <is>
          <t>Pending</t>
        </is>
      </c>
    </row>
    <row r="24" ht="25" customHeight="1">
      <c r="B24" s="4" t="inlineStr">
        <is>
          <t>IQ/RES/2023/020</t>
        </is>
      </c>
      <c r="C24" s="5" t="inlineStr"/>
      <c r="D24" s="6" t="inlineStr">
        <is>
          <t>Green Campus</t>
        </is>
      </c>
      <c r="E24" s="6" t="inlineStr"/>
      <c r="F24" s="6" t="inlineStr"/>
      <c r="G24" s="6" t="inlineStr"/>
      <c r="H24" s="6" t="inlineStr"/>
      <c r="I24" s="6" t="inlineStr">
        <is>
          <t>Pending</t>
        </is>
      </c>
    </row>
    <row r="25" ht="25" customHeight="1">
      <c r="B25" s="13" t="inlineStr">
        <is>
          <t>IQ/RES/2024/021</t>
        </is>
      </c>
      <c r="C25" s="14" t="inlineStr"/>
      <c r="D25" s="15" t="inlineStr">
        <is>
          <t>Alumni</t>
        </is>
      </c>
      <c r="E25" s="15" t="inlineStr"/>
      <c r="F25" s="15" t="inlineStr"/>
      <c r="G25" s="15" t="inlineStr"/>
      <c r="H25" s="15" t="inlineStr"/>
      <c r="I25" s="15" t="inlineStr">
        <is>
          <t>Pending</t>
        </is>
      </c>
    </row>
    <row r="26" ht="25" customHeight="1">
      <c r="B26" s="4" t="inlineStr">
        <is>
          <t>IQ/RES/2024/022</t>
        </is>
      </c>
      <c r="C26" s="5" t="inlineStr"/>
      <c r="D26" s="6" t="inlineStr">
        <is>
          <t>Accreditation</t>
        </is>
      </c>
      <c r="E26" s="6" t="inlineStr"/>
      <c r="F26" s="6" t="inlineStr"/>
      <c r="G26" s="6" t="inlineStr"/>
      <c r="H26" s="6" t="inlineStr"/>
      <c r="I26" s="6" t="inlineStr">
        <is>
          <t>Pending</t>
        </is>
      </c>
    </row>
    <row r="27" ht="25" customHeight="1">
      <c r="B27" s="13" t="inlineStr">
        <is>
          <t>IQ/RES/2024/023</t>
        </is>
      </c>
      <c r="C27" s="14" t="inlineStr"/>
      <c r="D27" s="15" t="inlineStr">
        <is>
          <t>Best Practices</t>
        </is>
      </c>
      <c r="E27" s="15" t="inlineStr"/>
      <c r="F27" s="15" t="inlineStr"/>
      <c r="G27" s="15" t="inlineStr"/>
      <c r="H27" s="15" t="inlineStr"/>
      <c r="I27" s="15" t="inlineStr">
        <is>
          <t>Pending</t>
        </is>
      </c>
    </row>
    <row r="28" ht="25" customHeight="1">
      <c r="B28" s="4" t="inlineStr">
        <is>
          <t>IQ/RES/2024/024</t>
        </is>
      </c>
      <c r="C28" s="5" t="inlineStr"/>
      <c r="D28" s="6" t="inlineStr">
        <is>
          <t>Others</t>
        </is>
      </c>
      <c r="E28" s="6" t="inlineStr"/>
      <c r="F28" s="6" t="inlineStr"/>
      <c r="G28" s="6" t="inlineStr"/>
      <c r="H28" s="6" t="inlineStr"/>
      <c r="I28" s="6" t="inlineStr">
        <is>
          <t>Pending</t>
        </is>
      </c>
    </row>
    <row r="29" ht="25" customHeight="1">
      <c r="B29" s="13" t="inlineStr">
        <is>
          <t>IQ/RES/2024/025</t>
        </is>
      </c>
      <c r="C29" s="14" t="inlineStr"/>
      <c r="D29" s="15" t="inlineStr">
        <is>
          <t>Teaching-Learning</t>
        </is>
      </c>
      <c r="E29" s="15" t="inlineStr"/>
      <c r="F29" s="15" t="inlineStr"/>
      <c r="G29" s="15" t="inlineStr"/>
      <c r="H29" s="15" t="inlineStr"/>
      <c r="I29" s="15" t="inlineStr">
        <is>
          <t>Pending</t>
        </is>
      </c>
    </row>
    <row r="30" ht="25" customHeight="1">
      <c r="B30" s="4" t="inlineStr">
        <is>
          <t>IQ/RES/2024/026</t>
        </is>
      </c>
      <c r="C30" s="5" t="inlineStr"/>
      <c r="D30" s="6" t="inlineStr">
        <is>
          <t>Research</t>
        </is>
      </c>
      <c r="E30" s="6" t="inlineStr"/>
      <c r="F30" s="6" t="inlineStr"/>
      <c r="G30" s="6" t="inlineStr"/>
      <c r="H30" s="6" t="inlineStr"/>
      <c r="I30" s="6" t="inlineStr">
        <is>
          <t>Pending</t>
        </is>
      </c>
    </row>
    <row r="31" ht="25" customHeight="1">
      <c r="B31" s="13" t="inlineStr">
        <is>
          <t>IQ/RES/2024/027</t>
        </is>
      </c>
      <c r="C31" s="14" t="inlineStr"/>
      <c r="D31" s="15" t="inlineStr">
        <is>
          <t>Infrastructure</t>
        </is>
      </c>
      <c r="E31" s="15" t="inlineStr"/>
      <c r="F31" s="15" t="inlineStr"/>
      <c r="G31" s="15" t="inlineStr"/>
      <c r="H31" s="15" t="inlineStr"/>
      <c r="I31" s="15" t="inlineStr">
        <is>
          <t>Pending</t>
        </is>
      </c>
    </row>
    <row r="32" ht="25" customHeight="1">
      <c r="B32" s="4" t="inlineStr">
        <is>
          <t>IQ/RES/2024/028</t>
        </is>
      </c>
      <c r="C32" s="5" t="inlineStr"/>
      <c r="D32" s="6" t="inlineStr">
        <is>
          <t>Student Support</t>
        </is>
      </c>
      <c r="E32" s="6" t="inlineStr"/>
      <c r="F32" s="6" t="inlineStr"/>
      <c r="G32" s="6" t="inlineStr"/>
      <c r="H32" s="6" t="inlineStr"/>
      <c r="I32" s="6" t="inlineStr">
        <is>
          <t>Pending</t>
        </is>
      </c>
    </row>
    <row r="33" ht="25" customHeight="1">
      <c r="B33" s="13" t="inlineStr">
        <is>
          <t>IQ/RES/2024/029</t>
        </is>
      </c>
      <c r="C33" s="14" t="inlineStr"/>
      <c r="D33" s="15" t="inlineStr">
        <is>
          <t>Governance</t>
        </is>
      </c>
      <c r="E33" s="15" t="inlineStr"/>
      <c r="F33" s="15" t="inlineStr"/>
      <c r="G33" s="15" t="inlineStr"/>
      <c r="H33" s="15" t="inlineStr"/>
      <c r="I33" s="15" t="inlineStr">
        <is>
          <t>Pending</t>
        </is>
      </c>
    </row>
    <row r="34" ht="25" customHeight="1">
      <c r="B34" s="4" t="inlineStr">
        <is>
          <t>IQ/RES/2024/030</t>
        </is>
      </c>
      <c r="C34" s="5" t="inlineStr"/>
      <c r="D34" s="6" t="inlineStr">
        <is>
          <t>Faculty Development</t>
        </is>
      </c>
      <c r="E34" s="6" t="inlineStr"/>
      <c r="F34" s="6" t="inlineStr"/>
      <c r="G34" s="6" t="inlineStr"/>
      <c r="H34" s="6" t="inlineStr"/>
      <c r="I34" s="6" t="inlineStr">
        <is>
          <t>Pending</t>
        </is>
      </c>
    </row>
    <row r="35" ht="25" customHeight="1">
      <c r="B35" s="13" t="inlineStr">
        <is>
          <t>IQ/RES/2025/031</t>
        </is>
      </c>
      <c r="C35" s="14" t="inlineStr"/>
      <c r="D35" s="15" t="inlineStr">
        <is>
          <t>Extension</t>
        </is>
      </c>
      <c r="E35" s="15" t="inlineStr"/>
      <c r="F35" s="15" t="inlineStr"/>
      <c r="G35" s="15" t="inlineStr"/>
      <c r="H35" s="15" t="inlineStr"/>
      <c r="I35" s="15" t="inlineStr">
        <is>
          <t>Pending</t>
        </is>
      </c>
    </row>
    <row r="36" ht="25" customHeight="1">
      <c r="B36" s="4" t="inlineStr">
        <is>
          <t>IQ/RES/2025/032</t>
        </is>
      </c>
      <c r="C36" s="5" t="inlineStr"/>
      <c r="D36" s="6" t="inlineStr">
        <is>
          <t>Green Campus</t>
        </is>
      </c>
      <c r="E36" s="6" t="inlineStr"/>
      <c r="F36" s="6" t="inlineStr"/>
      <c r="G36" s="6" t="inlineStr"/>
      <c r="H36" s="6" t="inlineStr"/>
      <c r="I36" s="6" t="inlineStr">
        <is>
          <t>Pending</t>
        </is>
      </c>
    </row>
    <row r="37" ht="25" customHeight="1">
      <c r="B37" s="13" t="inlineStr">
        <is>
          <t>IQ/RES/2025/033</t>
        </is>
      </c>
      <c r="C37" s="14" t="inlineStr"/>
      <c r="D37" s="15" t="inlineStr">
        <is>
          <t>Alumni</t>
        </is>
      </c>
      <c r="E37" s="15" t="inlineStr"/>
      <c r="F37" s="15" t="inlineStr"/>
      <c r="G37" s="15" t="inlineStr"/>
      <c r="H37" s="15" t="inlineStr"/>
      <c r="I37" s="15" t="inlineStr">
        <is>
          <t>Pending</t>
        </is>
      </c>
    </row>
    <row r="38" ht="25" customHeight="1">
      <c r="B38" s="4" t="inlineStr">
        <is>
          <t>IQ/RES/2025/034</t>
        </is>
      </c>
      <c r="C38" s="5" t="inlineStr"/>
      <c r="D38" s="6" t="inlineStr">
        <is>
          <t>Accreditation</t>
        </is>
      </c>
      <c r="E38" s="6" t="inlineStr"/>
      <c r="F38" s="6" t="inlineStr"/>
      <c r="G38" s="6" t="inlineStr"/>
      <c r="H38" s="6" t="inlineStr"/>
      <c r="I38" s="6" t="inlineStr">
        <is>
          <t>Pending</t>
        </is>
      </c>
    </row>
    <row r="39" ht="25" customHeight="1">
      <c r="B39" s="13" t="inlineStr">
        <is>
          <t>IQ/RES/2025/035</t>
        </is>
      </c>
      <c r="C39" s="14" t="inlineStr"/>
      <c r="D39" s="15" t="inlineStr">
        <is>
          <t>Best Practices</t>
        </is>
      </c>
      <c r="E39" s="15" t="inlineStr"/>
      <c r="F39" s="15" t="inlineStr"/>
      <c r="G39" s="15" t="inlineStr"/>
      <c r="H39" s="15" t="inlineStr"/>
      <c r="I39" s="15" t="inlineStr">
        <is>
          <t>Pending</t>
        </is>
      </c>
    </row>
    <row r="40" ht="25" customHeight="1">
      <c r="B40" s="4" t="inlineStr">
        <is>
          <t>IQ/RES/2025/036</t>
        </is>
      </c>
      <c r="C40" s="5" t="inlineStr"/>
      <c r="D40" s="6" t="inlineStr">
        <is>
          <t>Others</t>
        </is>
      </c>
      <c r="E40" s="6" t="inlineStr"/>
      <c r="F40" s="6" t="inlineStr"/>
      <c r="G40" s="6" t="inlineStr"/>
      <c r="H40" s="6" t="inlineStr"/>
      <c r="I40" s="6" t="inlineStr">
        <is>
          <t>Pending</t>
        </is>
      </c>
    </row>
    <row r="41" ht="25" customHeight="1">
      <c r="B41" s="13" t="inlineStr">
        <is>
          <t>IQ/RES/2025/037</t>
        </is>
      </c>
      <c r="C41" s="14" t="inlineStr"/>
      <c r="D41" s="15" t="inlineStr">
        <is>
          <t>Teaching-Learning</t>
        </is>
      </c>
      <c r="E41" s="15" t="inlineStr"/>
      <c r="F41" s="15" t="inlineStr"/>
      <c r="G41" s="15" t="inlineStr"/>
      <c r="H41" s="15" t="inlineStr"/>
      <c r="I41" s="15" t="inlineStr">
        <is>
          <t>Pending</t>
        </is>
      </c>
    </row>
    <row r="42" ht="25" customHeight="1">
      <c r="B42" s="4" t="inlineStr">
        <is>
          <t>IQ/RES/2025/038</t>
        </is>
      </c>
      <c r="C42" s="5" t="inlineStr"/>
      <c r="D42" s="6" t="inlineStr">
        <is>
          <t>Research</t>
        </is>
      </c>
      <c r="E42" s="6" t="inlineStr"/>
      <c r="F42" s="6" t="inlineStr"/>
      <c r="G42" s="6" t="inlineStr"/>
      <c r="H42" s="6" t="inlineStr"/>
      <c r="I42" s="6" t="inlineStr">
        <is>
          <t>Pending</t>
        </is>
      </c>
    </row>
    <row r="43" ht="25" customHeight="1"/>
    <row r="44" ht="24" customHeight="1">
      <c r="B44" s="73" t="inlineStr">
        <is>
          <t>REGISTER STATISTICS</t>
        </is>
      </c>
    </row>
    <row r="45" ht="25" customHeight="1">
      <c r="B45" s="24" t="inlineStr">
        <is>
          <t>Total IQAC Resolutions Logged</t>
        </is>
      </c>
      <c r="F45" s="25">
        <f>COUNTA(B5:B42)</f>
        <v/>
      </c>
    </row>
    <row r="46" ht="25" customHeight="1">
      <c r="B46" s="26" t="inlineStr">
        <is>
          <t>Implemented</t>
        </is>
      </c>
      <c r="F46" s="27">
        <f>COUNTIF(I5:I42,"Implemented")</f>
        <v/>
      </c>
    </row>
    <row r="47" ht="25" customHeight="1">
      <c r="B47" s="24" t="inlineStr">
        <is>
          <t>In Progress</t>
        </is>
      </c>
      <c r="F47" s="25">
        <f>COUNTIF(I5:I42,"In Progress")</f>
        <v/>
      </c>
    </row>
    <row r="48" ht="25" customHeight="1">
      <c r="B48" s="26" t="inlineStr">
        <is>
          <t>Pending / Not Started</t>
        </is>
      </c>
      <c r="F48" s="27">
        <f>COUNTIF(I5:I42,"Pending")</f>
        <v/>
      </c>
    </row>
    <row r="49" ht="25" customHeight="1">
      <c r="B49" s="24" t="inlineStr">
        <is>
          <t>Deferred</t>
        </is>
      </c>
      <c r="F49" s="25">
        <f>COUNTIF(I5:I42,"Deferred")</f>
        <v/>
      </c>
    </row>
    <row r="50" ht="25" customHeight="1">
      <c r="B50" s="26" t="inlineStr">
        <is>
          <t>Dropped / Not Applicable</t>
        </is>
      </c>
      <c r="F50" s="27">
        <f>COUNTIF(I5:I42,"Dropped")</f>
        <v/>
      </c>
    </row>
    <row r="51" ht="25" customHeight="1">
      <c r="B51" s="24" t="inlineStr">
        <is>
          <t>Overall Implementation Rate (%)</t>
        </is>
      </c>
      <c r="F51" s="25">
        <f>IFERROR(ROUND(C46/C45*100,1),"")</f>
        <v/>
      </c>
    </row>
    <row r="53">
      <c r="B53" s="22" t="inlineStr">
        <is>
          <t>Register certified by: IQAC Coordinator ___________________    Head of Institution ___________________    Date: ___________________</t>
        </is>
      </c>
    </row>
  </sheetData>
  <mergeCells count="18">
    <mergeCell ref="B45:E45"/>
    <mergeCell ref="F50:I50"/>
    <mergeCell ref="B44:I44"/>
    <mergeCell ref="B53:I53"/>
    <mergeCell ref="B49:E49"/>
    <mergeCell ref="B50:E50"/>
    <mergeCell ref="B2:I2"/>
    <mergeCell ref="B48:E48"/>
    <mergeCell ref="F47:I47"/>
    <mergeCell ref="F48:I48"/>
    <mergeCell ref="B3:I3"/>
    <mergeCell ref="B47:E47"/>
    <mergeCell ref="B51:E51"/>
    <mergeCell ref="F51:I51"/>
    <mergeCell ref="F49:I49"/>
    <mergeCell ref="B46:E46"/>
    <mergeCell ref="F45:I45"/>
    <mergeCell ref="F46:I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2026-04-19T04:49:22Z</dcterms:created>
  <dcterms:modified xmlns:dcterms="http://purl.org/dc/terms/" xmlns:xsi="http://www.w3.org/2001/XMLSchema-instance" xsi:type="dcterms:W3CDTF">2026-04-19T04:49:23Z</dcterms:modified>
</cp:coreProperties>
</file>