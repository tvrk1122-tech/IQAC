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AD-01 Committee Register" sheetId="2" state="visible" r:id="rId2"/>
    <sheet xmlns:r="http://schemas.openxmlformats.org/officeDocument/2006/relationships" name="AD-02 Seat Matrix" sheetId="3" state="visible" r:id="rId3"/>
    <sheet xmlns:r="http://schemas.openxmlformats.org/officeDocument/2006/relationships" name="AD-03 Programme Info" sheetId="4" state="visible" r:id="rId4"/>
    <sheet xmlns:r="http://schemas.openxmlformats.org/officeDocument/2006/relationships" name="AD-04 Application Register" sheetId="5" state="visible" r:id="rId5"/>
    <sheet xmlns:r="http://schemas.openxmlformats.org/officeDocument/2006/relationships" name="AD-05 Merit List" sheetId="6" state="visible" r:id="rId6"/>
    <sheet xmlns:r="http://schemas.openxmlformats.org/officeDocument/2006/relationships" name="AD-06 Counselling Register" sheetId="7" state="visible" r:id="rId7"/>
    <sheet xmlns:r="http://schemas.openxmlformats.org/officeDocument/2006/relationships" name="AD-07 Document Verification" sheetId="8" state="visible" r:id="rId8"/>
    <sheet xmlns:r="http://schemas.openxmlformats.org/officeDocument/2006/relationships" name="AD-08 Admission Register" sheetId="9" state="visible" r:id="rId9"/>
    <sheet xmlns:r="http://schemas.openxmlformats.org/officeDocument/2006/relationships" name="AD-09 Reservation Compliance" sheetId="10" state="visible" r:id="rId10"/>
    <sheet xmlns:r="http://schemas.openxmlformats.org/officeDocument/2006/relationships" name="AD-10 Fee Collection" sheetId="11" state="visible" r:id="rId11"/>
    <sheet xmlns:r="http://schemas.openxmlformats.org/officeDocument/2006/relationships" name="AD-11 Waiting List" sheetId="12" state="visible" r:id="rId12"/>
    <sheet xmlns:r="http://schemas.openxmlformats.org/officeDocument/2006/relationships" name="AD-12 Lateral Entry" sheetId="13" state="visible" r:id="rId13"/>
    <sheet xmlns:r="http://schemas.openxmlformats.org/officeDocument/2006/relationships" name="AD-13 NRI &amp; Mgmt Quota" sheetId="14" state="visible" r:id="rId14"/>
    <sheet xmlns:r="http://schemas.openxmlformats.org/officeDocument/2006/relationships" name="AD-14 Cancellation &amp; Refund" sheetId="15" state="visible" r:id="rId15"/>
    <sheet xmlns:r="http://schemas.openxmlformats.org/officeDocument/2006/relationships" name="AD-15 Final Admission Report" sheetId="16" state="visible" r:id="rId16"/>
    <sheet xmlns:r="http://schemas.openxmlformats.org/officeDocument/2006/relationships" name="AD-16 Grievance Register" sheetId="17" state="visible" r:id="rId17"/>
    <sheet xmlns:r="http://schemas.openxmlformats.org/officeDocument/2006/relationships" name="AD-17 Marketing &amp; Outreach" sheetId="18" state="visible" r:id="rId18"/>
    <sheet xmlns:r="http://schemas.openxmlformats.org/officeDocument/2006/relationships" name="AD-18 Meeting Minutes &amp; ATR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color rgb="001A4072"/>
      <sz val="9"/>
    </font>
    <font>
      <name val="Arial"/>
      <b val="1"/>
      <color rgb="00FFFFFF"/>
      <sz val="11"/>
    </font>
    <font>
      <name val="Arial"/>
      <b val="1"/>
      <color rgb="000F172A"/>
      <sz val="10"/>
    </font>
    <font>
      <name val="Arial"/>
      <color rgb="000F172A"/>
      <sz val="10"/>
    </font>
    <font>
      <name val="Arial"/>
      <color rgb="0064748B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713F12"/>
      <sz val="9"/>
    </font>
    <font>
      <name val="Arial"/>
      <b val="1"/>
      <color rgb="00713F12"/>
      <sz val="10"/>
    </font>
    <font>
      <name val="Arial"/>
      <b val="1"/>
      <color rgb="001A4072"/>
      <sz val="10"/>
    </font>
    <font>
      <name val="Arial"/>
      <color rgb="00BE123C"/>
      <sz val="10"/>
    </font>
    <font>
      <name val="Arial"/>
      <b val="1"/>
      <color rgb="00BE123C"/>
      <sz val="10"/>
    </font>
    <font>
      <name val="Arial"/>
      <color rgb="0064748B"/>
      <sz val="10"/>
    </font>
    <font>
      <name val="Arial"/>
      <b val="1"/>
      <color rgb="0078350F"/>
      <sz val="10"/>
    </font>
    <font>
      <name val="Arial"/>
      <color rgb="000F172A"/>
      <sz val="9"/>
    </font>
  </fonts>
  <fills count="2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D6E8FA"/>
      </patternFill>
    </fill>
    <fill>
      <patternFill patternType="solid">
        <fgColor rgb="00D97706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A4072"/>
      </patternFill>
    </fill>
    <fill>
      <patternFill patternType="solid">
        <fgColor rgb="00FEF3C7"/>
      </patternFill>
    </fill>
    <fill>
      <patternFill patternType="solid">
        <fgColor rgb="000E7490"/>
      </patternFill>
    </fill>
    <fill>
      <patternFill patternType="solid">
        <fgColor rgb="00CFFAFE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DCFCE7"/>
      </patternFill>
    </fill>
    <fill>
      <patternFill patternType="solid">
        <fgColor rgb="00166534"/>
      </patternFill>
    </fill>
    <fill>
      <patternFill patternType="solid">
        <fgColor rgb="006D28D9"/>
      </patternFill>
    </fill>
    <fill>
      <patternFill patternType="solid">
        <fgColor rgb="00EDE9FE"/>
      </patternFill>
    </fill>
    <fill>
      <patternFill patternType="solid">
        <fgColor rgb="00B45309"/>
      </patternFill>
    </fill>
    <fill>
      <patternFill patternType="solid">
        <fgColor rgb="004338CA"/>
      </patternFill>
    </fill>
    <fill>
      <patternFill patternType="solid">
        <fgColor rgb="00E0E7FF"/>
      </patternFill>
    </fill>
    <fill>
      <patternFill patternType="solid">
        <fgColor rgb="00BE123C"/>
      </patternFill>
    </fill>
    <fill>
      <patternFill patternType="solid">
        <fgColor rgb="00FFE4E6"/>
      </patternFill>
    </fill>
    <fill>
      <patternFill patternType="solid">
        <fgColor rgb="00C2410C"/>
      </patternFill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0" fillId="5" borderId="1" pivotButton="0" quotePrefix="0" xfId="0"/>
    <xf numFmtId="0" fontId="4" fillId="10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3" fillId="11" borderId="0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2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17" borderId="0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4" fillId="8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5" fillId="19" borderId="1" applyAlignment="1" pivotButton="0" quotePrefix="0" xfId="0">
      <alignment horizontal="left" vertical="center" wrapText="1"/>
    </xf>
    <xf numFmtId="0" fontId="5" fillId="19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5" fillId="21" borderId="1" applyAlignment="1" pivotButton="0" quotePrefix="0" xfId="0">
      <alignment horizontal="left" vertical="center" wrapText="1"/>
    </xf>
    <xf numFmtId="0" fontId="5" fillId="21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left" vertical="center" wrapText="1"/>
    </xf>
    <xf numFmtId="0" fontId="0" fillId="21" borderId="1" pivotButton="0" quotePrefix="0" xfId="0"/>
    <xf numFmtId="0" fontId="8" fillId="22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left" vertical="center" wrapText="1"/>
    </xf>
    <xf numFmtId="0" fontId="5" fillId="23" borderId="1" applyAlignment="1" pivotButton="0" quotePrefix="0" xfId="0">
      <alignment horizontal="center" vertical="center" wrapText="1"/>
    </xf>
    <xf numFmtId="0" fontId="3" fillId="17" borderId="0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3" fillId="14" borderId="0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 wrapText="1"/>
    </xf>
    <xf numFmtId="0" fontId="16" fillId="1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44" customWidth="1" min="3" max="3"/>
    <col width="30" customWidth="1" min="4" max="4"/>
    <col width="18" customWidth="1" min="5" max="5"/>
    <col width="3" customWidth="1" min="6" max="6"/>
  </cols>
  <sheetData>
    <row r="1" ht="10" customHeight="1"/>
    <row r="2" ht="72" customHeight="1">
      <c r="B2" s="1" t="inlineStr">
        <is>
          <t>ADMISSION COMMITTEE
Data Collection Formats — Master Workbook</t>
        </is>
      </c>
    </row>
    <row r="3" ht="28" customHeight="1">
      <c r="B3" s="2" t="inlineStr">
        <is>
          <t>Institution: _________________________  Admission Officer: _____________  A.Y.: _______  Version: _____</t>
        </is>
      </c>
    </row>
    <row r="4" ht="22" customHeight="1">
      <c r="B4" s="3" t="inlineStr">
        <is>
          <t>Form No.</t>
        </is>
      </c>
      <c r="C4" s="3" t="inlineStr">
        <is>
          <t>Format / Form Title</t>
        </is>
      </c>
      <c r="D4" s="3" t="inlineStr">
        <is>
          <t>Purpose / Usage</t>
        </is>
      </c>
      <c r="E4" s="3" t="inlineStr">
        <is>
          <t>Frequency / Stage</t>
        </is>
      </c>
    </row>
    <row r="5" ht="22" customHeight="1">
      <c r="B5" s="4" t="inlineStr">
        <is>
          <t>AD-01</t>
        </is>
      </c>
      <c r="C5" s="5" t="inlineStr">
        <is>
          <t>Admission Committee Composition Register</t>
        </is>
      </c>
      <c r="D5" s="5" t="inlineStr">
        <is>
          <t>Record committee members, roles &amp; responsibilities</t>
        </is>
      </c>
      <c r="E5" s="6" t="inlineStr">
        <is>
          <t>Annual</t>
        </is>
      </c>
    </row>
    <row r="6" ht="22" customHeight="1">
      <c r="B6" s="7" t="inlineStr">
        <is>
          <t>AD-02</t>
        </is>
      </c>
      <c r="C6" s="8" t="inlineStr">
        <is>
          <t>Admission Policy &amp; Seat Matrix</t>
        </is>
      </c>
      <c r="D6" s="8" t="inlineStr">
        <is>
          <t>Document approved seat matrix, reservations &amp; policy</t>
        </is>
      </c>
      <c r="E6" s="9" t="inlineStr">
        <is>
          <t>Annual (Pre-Admission)</t>
        </is>
      </c>
    </row>
    <row r="7" ht="22" customHeight="1">
      <c r="B7" s="4" t="inlineStr">
        <is>
          <t>AD-03</t>
        </is>
      </c>
      <c r="C7" s="5" t="inlineStr">
        <is>
          <t>Prospectus &amp; Programme Information Sheet</t>
        </is>
      </c>
      <c r="D7" s="5" t="inlineStr">
        <is>
          <t>Capture all programme details, eligibility &amp; fee info</t>
        </is>
      </c>
      <c r="E7" s="6" t="inlineStr">
        <is>
          <t>Annual</t>
        </is>
      </c>
    </row>
    <row r="8" ht="22" customHeight="1">
      <c r="B8" s="7" t="inlineStr">
        <is>
          <t>AD-04</t>
        </is>
      </c>
      <c r="C8" s="8" t="inlineStr">
        <is>
          <t>Application Receipt &amp; Scrutiny Register</t>
        </is>
      </c>
      <c r="D8" s="8" t="inlineStr">
        <is>
          <t>Log, verify &amp; track all incoming applications</t>
        </is>
      </c>
      <c r="E8" s="9" t="inlineStr">
        <is>
          <t>During Admission</t>
        </is>
      </c>
    </row>
    <row r="9" ht="22" customHeight="1">
      <c r="B9" s="4" t="inlineStr">
        <is>
          <t>AD-05</t>
        </is>
      </c>
      <c r="C9" s="5" t="inlineStr">
        <is>
          <t>Entrance Exam / Merit List Register</t>
        </is>
      </c>
      <c r="D9" s="5" t="inlineStr">
        <is>
          <t>Record entrance scores, rank lists &amp; merit compilation</t>
        </is>
      </c>
      <c r="E9" s="6" t="inlineStr">
        <is>
          <t>Pre-Counselling</t>
        </is>
      </c>
    </row>
    <row r="10" ht="22" customHeight="1">
      <c r="B10" s="7" t="inlineStr">
        <is>
          <t>AD-06</t>
        </is>
      </c>
      <c r="C10" s="8" t="inlineStr">
        <is>
          <t>Counselling Schedule &amp; Allotment Register</t>
        </is>
      </c>
      <c r="D10" s="8" t="inlineStr">
        <is>
          <t>Plan &amp; record counselling sessions &amp; seat allotments</t>
        </is>
      </c>
      <c r="E10" s="9" t="inlineStr">
        <is>
          <t>Counselling Phase</t>
        </is>
      </c>
    </row>
    <row r="11" ht="22" customHeight="1">
      <c r="B11" s="4" t="inlineStr">
        <is>
          <t>AD-07</t>
        </is>
      </c>
      <c r="C11" s="5" t="inlineStr">
        <is>
          <t>Document Verification Checklist</t>
        </is>
      </c>
      <c r="D11" s="5" t="inlineStr">
        <is>
          <t>Verify mandatory documents for each admitted student</t>
        </is>
      </c>
      <c r="E11" s="6" t="inlineStr">
        <is>
          <t>At Admission</t>
        </is>
      </c>
    </row>
    <row r="12" ht="22" customHeight="1">
      <c r="B12" s="7" t="inlineStr">
        <is>
          <t>AD-08</t>
        </is>
      </c>
      <c r="C12" s="8" t="inlineStr">
        <is>
          <t>Student Admission Form (Master Register)</t>
        </is>
      </c>
      <c r="D12" s="8" t="inlineStr">
        <is>
          <t>Capture complete demographic &amp; academic profile of admit</t>
        </is>
      </c>
      <c r="E12" s="9" t="inlineStr">
        <is>
          <t>At Admission</t>
        </is>
      </c>
    </row>
    <row r="13" ht="22" customHeight="1">
      <c r="B13" s="4" t="inlineStr">
        <is>
          <t>AD-09</t>
        </is>
      </c>
      <c r="C13" s="5" t="inlineStr">
        <is>
          <t>Category &amp; Reservation Compliance Register</t>
        </is>
      </c>
      <c r="D13" s="5" t="inlineStr">
        <is>
          <t>Track SC/ST/OBC/EWS/PH seat filling &amp; compliance</t>
        </is>
      </c>
      <c r="E13" s="6" t="inlineStr">
        <is>
          <t>During &amp; Post Admission</t>
        </is>
      </c>
    </row>
    <row r="14" ht="22" customHeight="1">
      <c r="B14" s="7" t="inlineStr">
        <is>
          <t>AD-10</t>
        </is>
      </c>
      <c r="C14" s="8" t="inlineStr">
        <is>
          <t>Fee Collection &amp; Concession Register</t>
        </is>
      </c>
      <c r="D14" s="8" t="inlineStr">
        <is>
          <t>Record fee paid, concessions granted &amp; pending dues</t>
        </is>
      </c>
      <c r="E14" s="9" t="inlineStr">
        <is>
          <t>During Admission</t>
        </is>
      </c>
    </row>
    <row r="15" ht="22" customHeight="1">
      <c r="B15" s="4" t="inlineStr">
        <is>
          <t>AD-11</t>
        </is>
      </c>
      <c r="C15" s="5" t="inlineStr">
        <is>
          <t>Waiting List Management Register</t>
        </is>
      </c>
      <c r="D15" s="5" t="inlineStr">
        <is>
          <t>Manage upgradation, withdrawals &amp; waitlist movement</t>
        </is>
      </c>
      <c r="E15" s="6" t="inlineStr">
        <is>
          <t>Post Counselling</t>
        </is>
      </c>
    </row>
    <row r="16" ht="22" customHeight="1">
      <c r="B16" s="7" t="inlineStr">
        <is>
          <t>AD-12</t>
        </is>
      </c>
      <c r="C16" s="8" t="inlineStr">
        <is>
          <t>Lateral Entry Admission Register</t>
        </is>
      </c>
      <c r="D16" s="8" t="inlineStr">
        <is>
          <t>Track all lateral / second year direct admissions</t>
        </is>
      </c>
      <c r="E16" s="9" t="inlineStr">
        <is>
          <t>Lateral Admission Phase</t>
        </is>
      </c>
    </row>
    <row r="17" ht="22" customHeight="1">
      <c r="B17" s="4" t="inlineStr">
        <is>
          <t>AD-13</t>
        </is>
      </c>
      <c r="C17" s="5" t="inlineStr">
        <is>
          <t>NRI / Management Quota Register</t>
        </is>
      </c>
      <c r="D17" s="5" t="inlineStr">
        <is>
          <t>Record NRI, management &amp; paid seat admissions</t>
        </is>
      </c>
      <c r="E17" s="6" t="inlineStr">
        <is>
          <t>During Admission</t>
        </is>
      </c>
    </row>
    <row r="18" ht="22" customHeight="1">
      <c r="B18" s="7" t="inlineStr">
        <is>
          <t>AD-14</t>
        </is>
      </c>
      <c r="C18" s="8" t="inlineStr">
        <is>
          <t>Admission Cancellation &amp; Refund Register</t>
        </is>
      </c>
      <c r="D18" s="8" t="inlineStr">
        <is>
          <t>Process withdrawals, cancellations &amp; fee refund tracking</t>
        </is>
      </c>
      <c r="E18" s="9" t="inlineStr">
        <is>
          <t>Continuous</t>
        </is>
      </c>
    </row>
    <row r="19" ht="22" customHeight="1">
      <c r="B19" s="4" t="inlineStr">
        <is>
          <t>AD-15</t>
        </is>
      </c>
      <c r="C19" s="5" t="inlineStr">
        <is>
          <t>Final Admission Confirmation &amp; Reporting</t>
        </is>
      </c>
      <c r="D19" s="5" t="inlineStr">
        <is>
          <t>Compile final admission statistics for regulatory reporting</t>
        </is>
      </c>
      <c r="E19" s="6" t="inlineStr">
        <is>
          <t>Post Admission</t>
        </is>
      </c>
    </row>
    <row r="20" ht="22" customHeight="1">
      <c r="B20" s="7" t="inlineStr">
        <is>
          <t>AD-16</t>
        </is>
      </c>
      <c r="C20" s="8" t="inlineStr">
        <is>
          <t>Admission Grievance Register</t>
        </is>
      </c>
      <c r="D20" s="8" t="inlineStr">
        <is>
          <t>Log, resolve &amp; track admission-related grievances</t>
        </is>
      </c>
      <c r="E20" s="9" t="inlineStr">
        <is>
          <t>During &amp; Post Admission</t>
        </is>
      </c>
    </row>
    <row r="21" ht="22" customHeight="1">
      <c r="B21" s="4" t="inlineStr">
        <is>
          <t>AD-17</t>
        </is>
      </c>
      <c r="C21" s="5" t="inlineStr">
        <is>
          <t>Marketing &amp; Outreach Activity Register</t>
        </is>
      </c>
      <c r="D21" s="5" t="inlineStr">
        <is>
          <t>Track admission marketing campaigns &amp; school visits</t>
        </is>
      </c>
      <c r="E21" s="6" t="inlineStr">
        <is>
          <t>Pre-Admission</t>
        </is>
      </c>
    </row>
    <row r="22" ht="22" customHeight="1">
      <c r="B22" s="7" t="inlineStr">
        <is>
          <t>AD-18</t>
        </is>
      </c>
      <c r="C22" s="8" t="inlineStr">
        <is>
          <t>Admission Committee Meeting Minutes &amp; ATR</t>
        </is>
      </c>
      <c r="D22" s="8" t="inlineStr">
        <is>
          <t>Record decisions, resolutions &amp; action tracking</t>
        </is>
      </c>
      <c r="E22" s="9" t="inlineStr">
        <is>
          <t>Each Meeting</t>
        </is>
      </c>
    </row>
    <row r="23" ht="22" customHeight="1">
      <c r="B23" s="10" t="inlineStr">
        <is>
          <t>• Admission Committee oversees UG/PG/Ph.D. admissions — regulatory compliance, merit &amp; counselling.</t>
        </is>
      </c>
    </row>
    <row r="24" ht="22" customHeight="1">
      <c r="B24" s="10" t="inlineStr">
        <is>
          <t>• All formats must comply with AICTE/UGC norms, State Govt. rules &amp; University admission guidelines.</t>
        </is>
      </c>
    </row>
    <row r="25" ht="22" customHeight="1">
      <c r="B25" s="10" t="inlineStr">
        <is>
          <t>• Seat matrix, reservation roster &amp; merit lists must be publicly displayed as per RTI and regulatory requirements.</t>
        </is>
      </c>
    </row>
    <row r="26" ht="22" customHeight="1">
      <c r="B26" s="10" t="inlineStr">
        <is>
          <t>• Fee refund policy must follow AICTE / UGC guidelines; all refunds must be processed within stipulated timelines.</t>
        </is>
      </c>
    </row>
    <row r="27" ht="22" customHeight="1">
      <c r="B27" s="10" t="inlineStr">
        <is>
          <t>• Documents must be verified against originals; digital records to be maintained in parallel.</t>
        </is>
      </c>
    </row>
    <row r="28" ht="22" customHeight="1">
      <c r="B28" s="10" t="inlineStr">
        <is>
          <t>• Admission data feeds into IQAC AQAR, AICTE/UGC mandatory disclosure and NIRF data submission.</t>
        </is>
      </c>
    </row>
    <row r="29" ht="22" customHeight="1"/>
    <row r="30" ht="22" customHeight="1"/>
  </sheetData>
  <mergeCells count="8">
    <mergeCell ref="B23:E23"/>
    <mergeCell ref="B26:E26"/>
    <mergeCell ref="B27:E27"/>
    <mergeCell ref="B25:E25"/>
    <mergeCell ref="B3:E3"/>
    <mergeCell ref="B2:E2"/>
    <mergeCell ref="B24:E2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6" customWidth="1" min="3" max="3"/>
    <col width="22" customWidth="1" min="4" max="4"/>
    <col width="18" customWidth="1" min="5" max="5"/>
    <col width="14" customWidth="1" min="6" max="6"/>
    <col width="14" customWidth="1" min="7" max="7"/>
    <col width="16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AD-01: ADMISSION COMMITTEE COMPOSITION REGISTER</t>
        </is>
      </c>
    </row>
    <row r="3" ht="25" customHeight="1">
      <c r="B3" s="2" t="inlineStr">
        <is>
          <t>Institution: _________________________  A.Y.: _______  Constituted on: _______  Ref. Order No.: _______</t>
        </is>
      </c>
    </row>
    <row r="4" ht="25" customHeight="1">
      <c r="B4" s="12" t="inlineStr">
        <is>
          <t>Sl.</t>
        </is>
      </c>
      <c r="C4" s="12" t="inlineStr">
        <is>
          <t>Name</t>
        </is>
      </c>
      <c r="D4" s="12" t="inlineStr">
        <is>
          <t>Designation</t>
        </is>
      </c>
      <c r="E4" s="12" t="inlineStr">
        <is>
          <t>Role in Committee</t>
        </is>
      </c>
      <c r="F4" s="12" t="inlineStr">
        <is>
          <t>Department</t>
        </is>
      </c>
      <c r="G4" s="12" t="inlineStr">
        <is>
          <t>Contact / Email</t>
        </is>
      </c>
      <c r="H4" s="12" t="inlineStr">
        <is>
          <t>Responsibility Area</t>
        </is>
      </c>
      <c r="I4" s="12" t="inlineStr">
        <is>
          <t>Signature</t>
        </is>
      </c>
    </row>
    <row r="5" ht="22" customHeight="1">
      <c r="B5" s="13" t="n">
        <v>1</v>
      </c>
      <c r="C5" s="14" t="inlineStr"/>
      <c r="D5" s="14" t="inlineStr">
        <is>
          <t>Principal / Director</t>
        </is>
      </c>
      <c r="E5" s="13" t="inlineStr">
        <is>
          <t>Chairperson</t>
        </is>
      </c>
      <c r="F5" s="15" t="inlineStr"/>
      <c r="G5" s="14" t="inlineStr"/>
      <c r="H5" s="14" t="inlineStr">
        <is>
          <t>Overall Admission Oversight</t>
        </is>
      </c>
      <c r="I5" s="15" t="inlineStr"/>
    </row>
    <row r="6" ht="22" customHeight="1">
      <c r="B6" s="4" t="n">
        <v>2</v>
      </c>
      <c r="C6" s="5" t="inlineStr"/>
      <c r="D6" s="5" t="inlineStr">
        <is>
          <t>Admissions In-charge / Registrar</t>
        </is>
      </c>
      <c r="E6" s="4" t="inlineStr">
        <is>
          <t>Admission Officer</t>
        </is>
      </c>
      <c r="F6" s="6" t="inlineStr"/>
      <c r="G6" s="5" t="inlineStr"/>
      <c r="H6" s="5" t="inlineStr">
        <is>
          <t>Day-to-day Coordination</t>
        </is>
      </c>
      <c r="I6" s="6" t="inlineStr"/>
    </row>
    <row r="7" ht="22" customHeight="1">
      <c r="B7" s="13" t="n">
        <v>3</v>
      </c>
      <c r="C7" s="14" t="inlineStr"/>
      <c r="D7" s="14" t="inlineStr">
        <is>
          <t>Senior Faculty</t>
        </is>
      </c>
      <c r="E7" s="13" t="inlineStr">
        <is>
          <t>Convener — UG</t>
        </is>
      </c>
      <c r="F7" s="15" t="inlineStr"/>
      <c r="G7" s="14" t="inlineStr"/>
      <c r="H7" s="14" t="inlineStr">
        <is>
          <t>UG Admission Process</t>
        </is>
      </c>
      <c r="I7" s="15" t="inlineStr"/>
    </row>
    <row r="8" ht="22" customHeight="1">
      <c r="B8" s="4" t="n">
        <v>4</v>
      </c>
      <c r="C8" s="5" t="inlineStr"/>
      <c r="D8" s="5" t="inlineStr">
        <is>
          <t>Senior Faculty / HoD</t>
        </is>
      </c>
      <c r="E8" s="4" t="inlineStr">
        <is>
          <t>Convener — PG</t>
        </is>
      </c>
      <c r="F8" s="6" t="inlineStr"/>
      <c r="G8" s="5" t="inlineStr"/>
      <c r="H8" s="5" t="inlineStr">
        <is>
          <t>PG Admission Process</t>
        </is>
      </c>
      <c r="I8" s="6" t="inlineStr"/>
    </row>
    <row r="9" ht="22" customHeight="1">
      <c r="B9" s="13" t="n">
        <v>5</v>
      </c>
      <c r="C9" s="14" t="inlineStr"/>
      <c r="D9" s="14" t="inlineStr">
        <is>
          <t>Finance Officer</t>
        </is>
      </c>
      <c r="E9" s="13" t="inlineStr">
        <is>
          <t>Finance Representative</t>
        </is>
      </c>
      <c r="F9" s="15" t="inlineStr"/>
      <c r="G9" s="14" t="inlineStr"/>
      <c r="H9" s="14" t="inlineStr">
        <is>
          <t>Fee Structure &amp; Collection</t>
        </is>
      </c>
      <c r="I9" s="15" t="inlineStr"/>
    </row>
    <row r="10" ht="22" customHeight="1">
      <c r="B10" s="4" t="n">
        <v>6</v>
      </c>
      <c r="C10" s="5" t="inlineStr"/>
      <c r="D10" s="5" t="inlineStr">
        <is>
          <t>Accounts Section Head</t>
        </is>
      </c>
      <c r="E10" s="4" t="inlineStr">
        <is>
          <t>Accounts Representative</t>
        </is>
      </c>
      <c r="F10" s="6" t="inlineStr"/>
      <c r="G10" s="5" t="inlineStr"/>
      <c r="H10" s="5" t="inlineStr">
        <is>
          <t>Fee Receipts &amp; Refunds</t>
        </is>
      </c>
      <c r="I10" s="6" t="inlineStr"/>
    </row>
    <row r="11" ht="22" customHeight="1">
      <c r="B11" s="13" t="n">
        <v>7</v>
      </c>
      <c r="C11" s="14" t="inlineStr"/>
      <c r="D11" s="14" t="inlineStr">
        <is>
          <t>Legal Advisor / Compliance Head</t>
        </is>
      </c>
      <c r="E11" s="13" t="inlineStr">
        <is>
          <t>Legal / Compliance</t>
        </is>
      </c>
      <c r="F11" s="15" t="inlineStr"/>
      <c r="G11" s="14" t="inlineStr"/>
      <c r="H11" s="14" t="inlineStr">
        <is>
          <t>Regulatory Compliance</t>
        </is>
      </c>
      <c r="I11" s="15" t="inlineStr"/>
    </row>
    <row r="12" ht="22" customHeight="1">
      <c r="B12" s="4" t="n">
        <v>8</v>
      </c>
      <c r="C12" s="5" t="inlineStr"/>
      <c r="D12" s="5" t="inlineStr">
        <is>
          <t>SC/ST Cell In-charge</t>
        </is>
      </c>
      <c r="E12" s="4" t="inlineStr">
        <is>
          <t>SC/ST Cell Coordinator</t>
        </is>
      </c>
      <c r="F12" s="6" t="inlineStr"/>
      <c r="G12" s="5" t="inlineStr"/>
      <c r="H12" s="5" t="inlineStr">
        <is>
          <t>Reservation Compliance</t>
        </is>
      </c>
      <c r="I12" s="6" t="inlineStr"/>
    </row>
    <row r="13" ht="22" customHeight="1">
      <c r="B13" s="13" t="n">
        <v>9</v>
      </c>
      <c r="C13" s="14" t="inlineStr"/>
      <c r="D13" s="14" t="inlineStr">
        <is>
          <t>Women's Cell Coordinator</t>
        </is>
      </c>
      <c r="E13" s="13" t="inlineStr">
        <is>
          <t>Women's Cell Rep.</t>
        </is>
      </c>
      <c r="F13" s="15" t="inlineStr"/>
      <c r="G13" s="14" t="inlineStr"/>
      <c r="H13" s="14" t="inlineStr">
        <is>
          <t>Women Applicant Support</t>
        </is>
      </c>
      <c r="I13" s="15" t="inlineStr"/>
    </row>
    <row r="14" ht="22" customHeight="1">
      <c r="B14" s="4" t="n">
        <v>10</v>
      </c>
      <c r="C14" s="5" t="inlineStr"/>
      <c r="D14" s="5" t="inlineStr">
        <is>
          <t>MIS / IT Coordinator</t>
        </is>
      </c>
      <c r="E14" s="4" t="inlineStr">
        <is>
          <t>IT / Data Officer</t>
        </is>
      </c>
      <c r="F14" s="6" t="inlineStr"/>
      <c r="G14" s="5" t="inlineStr"/>
      <c r="H14" s="5" t="inlineStr">
        <is>
          <t>Admission Software &amp; Data</t>
        </is>
      </c>
      <c r="I14" s="6" t="inlineStr"/>
    </row>
    <row r="15" ht="22" customHeight="1">
      <c r="B15" s="13" t="n">
        <v>11</v>
      </c>
      <c r="C15" s="14" t="inlineStr"/>
      <c r="D15" s="14" t="inlineStr">
        <is>
          <t>CGRC Member</t>
        </is>
      </c>
      <c r="E15" s="13" t="inlineStr">
        <is>
          <t>Grievance Officer</t>
        </is>
      </c>
      <c r="F15" s="15" t="inlineStr"/>
      <c r="G15" s="14" t="inlineStr"/>
      <c r="H15" s="14" t="inlineStr">
        <is>
          <t>Admission Grievances</t>
        </is>
      </c>
      <c r="I15" s="15" t="inlineStr"/>
    </row>
    <row r="16" ht="22" customHeight="1">
      <c r="B16" s="4" t="n">
        <v>12</v>
      </c>
      <c r="C16" s="5" t="inlineStr"/>
      <c r="D16" s="5" t="inlineStr">
        <is>
          <t>University Representative</t>
        </is>
      </c>
      <c r="E16" s="4" t="inlineStr">
        <is>
          <t>University Nominee</t>
        </is>
      </c>
      <c r="F16" s="6" t="inlineStr"/>
      <c r="G16" s="5" t="inlineStr"/>
      <c r="H16" s="5" t="inlineStr">
        <is>
          <t>University Norms Compliance</t>
        </is>
      </c>
      <c r="I16" s="6" t="inlineStr"/>
    </row>
    <row r="17" ht="22" customHeight="1"/>
    <row r="18" ht="20" customHeight="1">
      <c r="B18" s="16" t="inlineStr">
        <is>
          <t>Admission Committee must be constituted before the start of admissions. Order must be on record and shared with University / AICTE as required.</t>
        </is>
      </c>
    </row>
    <row r="19" ht="22" customHeight="1"/>
    <row r="20" ht="22" customHeight="1"/>
    <row r="21" ht="22" customHeight="1"/>
  </sheetData>
  <mergeCells count="3">
    <mergeCell ref="B18:I18"/>
    <mergeCell ref="B3:I3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3" customWidth="1" min="15" max="15"/>
  </cols>
  <sheetData>
    <row r="1" ht="10" customHeight="1"/>
    <row r="2" ht="48" customHeight="1">
      <c r="B2" s="11" t="inlineStr">
        <is>
          <t>AD-02: APPROVED SEAT MATRIX &amp; RESERVATION ROSTER</t>
        </is>
      </c>
    </row>
    <row r="3" ht="25" customHeight="1">
      <c r="B3" s="2" t="inlineStr">
        <is>
          <t>A.Y.: _______  AICTE Approved Intake: _______  University Approved: _______  Govt. Notification Ref.: _______</t>
        </is>
      </c>
    </row>
    <row r="4" ht="30" customHeight="1">
      <c r="B4" s="12" t="inlineStr">
        <is>
          <t>Programme</t>
        </is>
      </c>
      <c r="C4" s="12" t="inlineStr">
        <is>
          <t>Category / Degree</t>
        </is>
      </c>
      <c r="D4" s="12" t="inlineStr">
        <is>
          <t>Total
Sanctioned
Intake</t>
        </is>
      </c>
      <c r="E4" s="12" t="inlineStr">
        <is>
          <t>General
(Unreserved)</t>
        </is>
      </c>
      <c r="F4" s="12" t="inlineStr">
        <is>
          <t>OBC
(State)</t>
        </is>
      </c>
      <c r="G4" s="12" t="inlineStr">
        <is>
          <t>SC</t>
        </is>
      </c>
      <c r="H4" s="12" t="inlineStr">
        <is>
          <t>ST</t>
        </is>
      </c>
      <c r="I4" s="12" t="inlineStr">
        <is>
          <t>EWS</t>
        </is>
      </c>
      <c r="J4" s="12" t="inlineStr">
        <is>
          <t>PH /
Divyangjan</t>
        </is>
      </c>
      <c r="K4" s="12" t="inlineStr">
        <is>
          <t>NRI
Quota</t>
        </is>
      </c>
      <c r="L4" s="12" t="inlineStr">
        <is>
          <t>Mgmt.
Quota</t>
        </is>
      </c>
      <c r="M4" s="12" t="inlineStr">
        <is>
          <t>Lateral
Entry</t>
        </is>
      </c>
      <c r="N4" s="12" t="inlineStr">
        <is>
          <t>Filled
(Actual)</t>
        </is>
      </c>
    </row>
    <row r="5" ht="22" customHeight="1">
      <c r="B5" s="17" t="inlineStr">
        <is>
          <t>B.E. / B.Tech — CSE</t>
        </is>
      </c>
      <c r="C5" s="15" t="inlineStr">
        <is>
          <t>UG Engineering</t>
        </is>
      </c>
      <c r="D5" s="15" t="inlineStr">
        <is>
          <t>120</t>
        </is>
      </c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>
        <f>IFERROR(SUM(E5:M5),"")</f>
        <v/>
      </c>
    </row>
    <row r="6" ht="22" customHeight="1">
      <c r="B6" s="18" t="inlineStr">
        <is>
          <t>B.E. / B.Tech — ECE</t>
        </is>
      </c>
      <c r="C6" s="6" t="inlineStr">
        <is>
          <t>UG Engineering</t>
        </is>
      </c>
      <c r="D6" s="6" t="inlineStr">
        <is>
          <t>60</t>
        </is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>
        <f>IFERROR(SUM(E6:M6),"")</f>
        <v/>
      </c>
    </row>
    <row r="7" ht="22" customHeight="1">
      <c r="B7" s="17" t="inlineStr">
        <is>
          <t>B.E. / B.Tech — EEE</t>
        </is>
      </c>
      <c r="C7" s="15" t="inlineStr">
        <is>
          <t>UG Engineering</t>
        </is>
      </c>
      <c r="D7" s="15" t="inlineStr">
        <is>
          <t>60</t>
        </is>
      </c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>
        <f>IFERROR(SUM(E7:M7),"")</f>
        <v/>
      </c>
    </row>
    <row r="8" ht="22" customHeight="1">
      <c r="B8" s="18" t="inlineStr">
        <is>
          <t>B.E. / B.Tech — MECH</t>
        </is>
      </c>
      <c r="C8" s="6" t="inlineStr">
        <is>
          <t>UG Engineering</t>
        </is>
      </c>
      <c r="D8" s="6" t="inlineStr">
        <is>
          <t>60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>
        <f>IFERROR(SUM(E8:M8),"")</f>
        <v/>
      </c>
    </row>
    <row r="9" ht="22" customHeight="1">
      <c r="B9" s="17" t="inlineStr">
        <is>
          <t>B.E. / B.Tech — CIVIL</t>
        </is>
      </c>
      <c r="C9" s="15" t="inlineStr">
        <is>
          <t>UG Engineering</t>
        </is>
      </c>
      <c r="D9" s="15" t="inlineStr">
        <is>
          <t>60</t>
        </is>
      </c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>
        <f>IFERROR(SUM(E9:M9),"")</f>
        <v/>
      </c>
    </row>
    <row r="10" ht="22" customHeight="1">
      <c r="B10" s="18" t="inlineStr">
        <is>
          <t>M.E. / M.Tech — CSE</t>
        </is>
      </c>
      <c r="C10" s="6" t="inlineStr">
        <is>
          <t>PG Engineering</t>
        </is>
      </c>
      <c r="D10" s="6" t="inlineStr">
        <is>
          <t>18</t>
        </is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>
        <f>IFERROR(SUM(E10:M10),"")</f>
        <v/>
      </c>
    </row>
    <row r="11" ht="22" customHeight="1">
      <c r="B11" s="17" t="inlineStr">
        <is>
          <t>M.E. / M.Tech — ECE</t>
        </is>
      </c>
      <c r="C11" s="15" t="inlineStr">
        <is>
          <t>PG Engineering</t>
        </is>
      </c>
      <c r="D11" s="15" t="inlineStr">
        <is>
          <t>18</t>
        </is>
      </c>
      <c r="E11" s="15" t="inlineStr"/>
      <c r="F11" s="15" t="inlineStr"/>
      <c r="G11" s="15" t="inlineStr"/>
      <c r="H11" s="15" t="inlineStr"/>
      <c r="I11" s="15" t="inlineStr"/>
      <c r="J11" s="15" t="inlineStr"/>
      <c r="K11" s="15" t="inlineStr"/>
      <c r="L11" s="15" t="inlineStr"/>
      <c r="M11" s="15" t="inlineStr"/>
      <c r="N11" s="15">
        <f>IFERROR(SUM(E11:M11),"")</f>
        <v/>
      </c>
    </row>
    <row r="12" ht="22" customHeight="1">
      <c r="B12" s="18" t="inlineStr">
        <is>
          <t>MBA</t>
        </is>
      </c>
      <c r="C12" s="6" t="inlineStr">
        <is>
          <t>PG Management</t>
        </is>
      </c>
      <c r="D12" s="6" t="inlineStr">
        <is>
          <t>60</t>
        </is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>
        <f>IFERROR(SUM(E12:M12),"")</f>
        <v/>
      </c>
    </row>
    <row r="13" ht="22" customHeight="1">
      <c r="B13" s="17" t="inlineStr">
        <is>
          <t>MCA</t>
        </is>
      </c>
      <c r="C13" s="15" t="inlineStr">
        <is>
          <t>PG Computer App.</t>
        </is>
      </c>
      <c r="D13" s="15" t="inlineStr">
        <is>
          <t>30</t>
        </is>
      </c>
      <c r="E13" s="15" t="inlineStr"/>
      <c r="F13" s="15" t="inlineStr"/>
      <c r="G13" s="15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>
        <f>IFERROR(SUM(E13:M13),"")</f>
        <v/>
      </c>
    </row>
    <row r="14" ht="22" customHeight="1">
      <c r="B14" s="18" t="inlineStr">
        <is>
          <t>B.Sc.</t>
        </is>
      </c>
      <c r="C14" s="6" t="inlineStr">
        <is>
          <t>UG Science</t>
        </is>
      </c>
      <c r="D14" s="6" t="inlineStr">
        <is>
          <t>60</t>
        </is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>
        <f>IFERROR(SUM(E14:M14),"")</f>
        <v/>
      </c>
    </row>
    <row r="15" ht="22" customHeight="1">
      <c r="B15" s="17" t="inlineStr">
        <is>
          <t>B.Com.</t>
        </is>
      </c>
      <c r="C15" s="15" t="inlineStr">
        <is>
          <t>UG Commerce</t>
        </is>
      </c>
      <c r="D15" s="15" t="inlineStr">
        <is>
          <t>60</t>
        </is>
      </c>
      <c r="E15" s="15" t="inlineStr"/>
      <c r="F15" s="15" t="inlineStr"/>
      <c r="G15" s="15" t="inlineStr"/>
      <c r="H15" s="15" t="inlineStr"/>
      <c r="I15" s="15" t="inlineStr"/>
      <c r="J15" s="15" t="inlineStr"/>
      <c r="K15" s="15" t="inlineStr"/>
      <c r="L15" s="15" t="inlineStr"/>
      <c r="M15" s="15" t="inlineStr"/>
      <c r="N15" s="15">
        <f>IFERROR(SUM(E15:M15),"")</f>
        <v/>
      </c>
    </row>
    <row r="16" ht="22" customHeight="1">
      <c r="B16" s="18" t="inlineStr">
        <is>
          <t>B.A.</t>
        </is>
      </c>
      <c r="C16" s="6" t="inlineStr">
        <is>
          <t>UG Arts</t>
        </is>
      </c>
      <c r="D16" s="6" t="inlineStr">
        <is>
          <t>60</t>
        </is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>
        <f>IFERROR(SUM(E16:M16),"")</f>
        <v/>
      </c>
    </row>
    <row r="17" ht="22" customHeight="1">
      <c r="B17" s="17" t="inlineStr">
        <is>
          <t>Ph.D. — All Departments</t>
        </is>
      </c>
      <c r="C17" s="15" t="inlineStr">
        <is>
          <t>Research</t>
        </is>
      </c>
      <c r="D17" s="15" t="inlineStr">
        <is>
          <t>20</t>
        </is>
      </c>
      <c r="E17" s="15" t="inlineStr"/>
      <c r="F17" s="15" t="inlineStr"/>
      <c r="G17" s="15" t="inlineStr"/>
      <c r="H17" s="15" t="inlineStr"/>
      <c r="I17" s="15" t="inlineStr"/>
      <c r="J17" s="15" t="inlineStr"/>
      <c r="K17" s="15" t="inlineStr"/>
      <c r="L17" s="15" t="inlineStr"/>
      <c r="M17" s="15" t="inlineStr"/>
      <c r="N17" s="15">
        <f>IFERROR(SUM(E17:M17),"")</f>
        <v/>
      </c>
    </row>
    <row r="18" ht="22" customHeight="1">
      <c r="B18" s="19" t="inlineStr">
        <is>
          <t>INSTITUTION TOTAL</t>
        </is>
      </c>
      <c r="D18" s="20">
        <f>IFERROR(SUM(D5:D17),"")</f>
        <v/>
      </c>
      <c r="E18" s="20">
        <f>IFERROR(SUM(E5:E17),"")</f>
        <v/>
      </c>
      <c r="F18" s="20">
        <f>IFERROR(SUM(F5:F17),"")</f>
        <v/>
      </c>
      <c r="G18" s="20">
        <f>IFERROR(SUM(G5:G17),"")</f>
        <v/>
      </c>
      <c r="H18" s="20">
        <f>IFERROR(SUM(H5:H17),"")</f>
        <v/>
      </c>
      <c r="I18" s="20">
        <f>IFERROR(SUM(I5:I17),"")</f>
        <v/>
      </c>
      <c r="J18" s="20">
        <f>IFERROR(SUM(J5:J17),"")</f>
        <v/>
      </c>
      <c r="K18" s="20">
        <f>IFERROR(SUM(K5:K17),"")</f>
        <v/>
      </c>
      <c r="L18" s="20">
        <f>IFERROR(SUM(L5:L17),"")</f>
        <v/>
      </c>
      <c r="M18" s="20">
        <f>IFERROR(SUM(M5:M17),"")</f>
        <v/>
      </c>
      <c r="N18" s="20">
        <f>IFERROR(SUM(N5:N17),"")</f>
        <v/>
      </c>
    </row>
    <row r="19" ht="22" customHeight="1"/>
    <row r="20" ht="24" customHeight="1">
      <c r="B20" s="21" t="inlineStr">
        <is>
          <t>RESERVATION PERCENTAGE — REFERENCE TABLE (As per State/Central Norms)</t>
        </is>
      </c>
    </row>
    <row r="21" ht="22" customHeight="1">
      <c r="B21" s="22" t="inlineStr">
        <is>
          <t>Category</t>
        </is>
      </c>
      <c r="C21" s="22" t="inlineStr">
        <is>
          <t>Reservation %</t>
        </is>
      </c>
      <c r="D21" s="22" t="inlineStr">
        <is>
          <t>Applicable to</t>
        </is>
      </c>
      <c r="E21" s="22" t="inlineStr">
        <is>
          <t>Roster No. Series</t>
        </is>
      </c>
      <c r="F21" s="22" t="inlineStr">
        <is>
          <t>Authority</t>
        </is>
      </c>
      <c r="G21" s="22" t="inlineStr">
        <is>
          <t>Relaxation in Min. Marks</t>
        </is>
      </c>
      <c r="H21" s="22" t="inlineStr">
        <is>
          <t>Age Relaxation</t>
        </is>
      </c>
      <c r="I21" s="22" t="inlineStr">
        <is>
          <t>Other Benefits</t>
        </is>
      </c>
      <c r="J21" s="22" t="inlineStr"/>
      <c r="K21" s="22" t="inlineStr"/>
      <c r="L21" s="22" t="inlineStr"/>
      <c r="M21" s="22" t="inlineStr"/>
      <c r="N21" s="22" t="inlineStr"/>
    </row>
    <row r="22" ht="22" customHeight="1">
      <c r="B22" s="23" t="inlineStr">
        <is>
          <t>SC</t>
        </is>
      </c>
      <c r="C22" s="24" t="inlineStr">
        <is>
          <t>15%</t>
        </is>
      </c>
      <c r="D22" s="24" t="inlineStr">
        <is>
          <t>All Govt. / Aided</t>
        </is>
      </c>
      <c r="E22" s="24" t="inlineStr">
        <is>
          <t>1-15</t>
        </is>
      </c>
      <c r="F22" s="24" t="inlineStr">
        <is>
          <t>State Govt. Act</t>
        </is>
      </c>
      <c r="G22" s="24" t="inlineStr">
        <is>
          <t>5%</t>
        </is>
      </c>
      <c r="H22" s="24" t="inlineStr">
        <is>
          <t>5 years</t>
        </is>
      </c>
      <c r="I22" s="24" t="inlineStr">
        <is>
          <t>Fee concession</t>
        </is>
      </c>
      <c r="J22" s="25" t="n"/>
      <c r="K22" s="25" t="n"/>
      <c r="L22" s="25" t="n"/>
      <c r="M22" s="25" t="n"/>
      <c r="N22" s="25" t="n"/>
    </row>
    <row r="23" ht="22" customHeight="1">
      <c r="B23" s="4" t="inlineStr">
        <is>
          <t>ST</t>
        </is>
      </c>
      <c r="C23" s="6" t="inlineStr">
        <is>
          <t>7.5%</t>
        </is>
      </c>
      <c r="D23" s="6" t="inlineStr">
        <is>
          <t>All Govt. / Aided</t>
        </is>
      </c>
      <c r="E23" s="6" t="inlineStr">
        <is>
          <t>16-22</t>
        </is>
      </c>
      <c r="F23" s="6" t="inlineStr">
        <is>
          <t>State Govt. Act</t>
        </is>
      </c>
      <c r="G23" s="6" t="inlineStr">
        <is>
          <t>5%</t>
        </is>
      </c>
      <c r="H23" s="6" t="inlineStr">
        <is>
          <t>5 years</t>
        </is>
      </c>
      <c r="I23" s="6" t="inlineStr">
        <is>
          <t>Fee concession</t>
        </is>
      </c>
      <c r="J23" s="26" t="n"/>
      <c r="K23" s="26" t="n"/>
      <c r="L23" s="26" t="n"/>
      <c r="M23" s="26" t="n"/>
      <c r="N23" s="26" t="n"/>
    </row>
    <row r="24" ht="22" customHeight="1">
      <c r="B24" s="23" t="inlineStr">
        <is>
          <t>OBC (Non-Creamy Layer)</t>
        </is>
      </c>
      <c r="C24" s="24" t="inlineStr">
        <is>
          <t>27%</t>
        </is>
      </c>
      <c r="D24" s="24" t="inlineStr">
        <is>
          <t>Govt. / Aided</t>
        </is>
      </c>
      <c r="E24" s="24" t="inlineStr">
        <is>
          <t>23-49</t>
        </is>
      </c>
      <c r="F24" s="24" t="inlineStr">
        <is>
          <t>OBC Act / State</t>
        </is>
      </c>
      <c r="G24" s="24" t="inlineStr">
        <is>
          <t>Nil</t>
        </is>
      </c>
      <c r="H24" s="24" t="inlineStr">
        <is>
          <t>3 years</t>
        </is>
      </c>
      <c r="I24" s="24" t="inlineStr">
        <is>
          <t>Varies</t>
        </is>
      </c>
      <c r="J24" s="25" t="n"/>
      <c r="K24" s="25" t="n"/>
      <c r="L24" s="25" t="n"/>
      <c r="M24" s="25" t="n"/>
      <c r="N24" s="25" t="n"/>
    </row>
    <row r="25" ht="22" customHeight="1">
      <c r="B25" s="4" t="inlineStr">
        <is>
          <t>EWS (General)</t>
        </is>
      </c>
      <c r="C25" s="6" t="inlineStr">
        <is>
          <t>10%</t>
        </is>
      </c>
      <c r="D25" s="6" t="inlineStr">
        <is>
          <t>All</t>
        </is>
      </c>
      <c r="E25" s="6" t="inlineStr">
        <is>
          <t>50-59</t>
        </is>
      </c>
      <c r="F25" s="6" t="inlineStr">
        <is>
          <t>104th CAA 2019</t>
        </is>
      </c>
      <c r="G25" s="6" t="inlineStr">
        <is>
          <t>Nil</t>
        </is>
      </c>
      <c r="H25" s="6" t="inlineStr">
        <is>
          <t>Nil</t>
        </is>
      </c>
      <c r="I25" s="6" t="inlineStr">
        <is>
          <t>Nil</t>
        </is>
      </c>
      <c r="J25" s="26" t="n"/>
      <c r="K25" s="26" t="n"/>
      <c r="L25" s="26" t="n"/>
      <c r="M25" s="26" t="n"/>
      <c r="N25" s="26" t="n"/>
    </row>
    <row r="26" ht="22" customHeight="1">
      <c r="B26" s="23" t="inlineStr">
        <is>
          <t>PH / Divyangjan</t>
        </is>
      </c>
      <c r="C26" s="24" t="inlineStr">
        <is>
          <t>5% horizontal</t>
        </is>
      </c>
      <c r="D26" s="24" t="inlineStr">
        <is>
          <t>All</t>
        </is>
      </c>
      <c r="E26" s="24" t="inlineStr">
        <is>
          <t>Horizontal</t>
        </is>
      </c>
      <c r="F26" s="24" t="inlineStr">
        <is>
          <t>RPWD Act 2016</t>
        </is>
      </c>
      <c r="G26" s="24" t="inlineStr">
        <is>
          <t>Varies</t>
        </is>
      </c>
      <c r="H26" s="24" t="inlineStr">
        <is>
          <t>5–10 years</t>
        </is>
      </c>
      <c r="I26" s="24" t="inlineStr">
        <is>
          <t>Asst. device</t>
        </is>
      </c>
      <c r="J26" s="25" t="n"/>
      <c r="K26" s="25" t="n"/>
      <c r="L26" s="25" t="n"/>
      <c r="M26" s="25" t="n"/>
      <c r="N26" s="25" t="n"/>
    </row>
    <row r="27" ht="22" customHeight="1">
      <c r="B27" s="4" t="inlineStr">
        <is>
          <t>Management Quota</t>
        </is>
      </c>
      <c r="C27" s="6" t="inlineStr">
        <is>
          <t>As approved</t>
        </is>
      </c>
      <c r="D27" s="6" t="inlineStr">
        <is>
          <t>Private Unaided</t>
        </is>
      </c>
      <c r="E27" s="6" t="inlineStr">
        <is>
          <t>—</t>
        </is>
      </c>
      <c r="F27" s="6" t="inlineStr">
        <is>
          <t>AICTE / University</t>
        </is>
      </c>
      <c r="G27" s="6" t="inlineStr">
        <is>
          <t>As per policy</t>
        </is>
      </c>
      <c r="H27" s="6" t="inlineStr">
        <is>
          <t>—</t>
        </is>
      </c>
      <c r="I27" s="6" t="inlineStr">
        <is>
          <t>—</t>
        </is>
      </c>
      <c r="J27" s="26" t="n"/>
      <c r="K27" s="26" t="n"/>
      <c r="L27" s="26" t="n"/>
      <c r="M27" s="26" t="n"/>
      <c r="N27" s="26" t="n"/>
    </row>
    <row r="28" ht="22" customHeight="1">
      <c r="B28" s="23" t="inlineStr">
        <is>
          <t>NRI Quota</t>
        </is>
      </c>
      <c r="C28" s="24" t="inlineStr">
        <is>
          <t>As approved</t>
        </is>
      </c>
      <c r="D28" s="24" t="inlineStr">
        <is>
          <t>Private Unaided</t>
        </is>
      </c>
      <c r="E28" s="24" t="inlineStr">
        <is>
          <t>—</t>
        </is>
      </c>
      <c r="F28" s="24" t="inlineStr">
        <is>
          <t>University / AICTE</t>
        </is>
      </c>
      <c r="G28" s="24" t="inlineStr">
        <is>
          <t>As per policy</t>
        </is>
      </c>
      <c r="H28" s="24" t="inlineStr">
        <is>
          <t>—</t>
        </is>
      </c>
      <c r="I28" s="24" t="inlineStr">
        <is>
          <t>—</t>
        </is>
      </c>
      <c r="J28" s="25" t="n"/>
      <c r="K28" s="25" t="n"/>
      <c r="L28" s="25" t="n"/>
      <c r="M28" s="25" t="n"/>
      <c r="N28" s="25" t="n"/>
    </row>
    <row r="29" ht="22" customHeight="1"/>
  </sheetData>
  <mergeCells count="4">
    <mergeCell ref="B18:C18"/>
    <mergeCell ref="B3:N3"/>
    <mergeCell ref="B2:N2"/>
    <mergeCell ref="B20:N2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30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3" customWidth="1" min="9" max="9"/>
  </cols>
  <sheetData>
    <row r="1" ht="10" customHeight="1"/>
    <row r="2" ht="48" customHeight="1">
      <c r="B2" s="11" t="inlineStr">
        <is>
          <t>AD-03: PROGRAMME INFORMATION SHEET (FOR PROSPECTUS &amp; COUNSELLING)</t>
        </is>
      </c>
    </row>
    <row r="3" ht="25" customHeight="1">
      <c r="B3" s="2" t="inlineStr">
        <is>
          <t>A.Y.: _______  Admission Officer: ___________________  Approved by: ___________________  Date: _______</t>
        </is>
      </c>
    </row>
    <row r="4" ht="22" customHeight="1">
      <c r="B4" s="12" t="inlineStr">
        <is>
          <t>Programme</t>
        </is>
      </c>
      <c r="C4" s="12" t="inlineStr">
        <is>
          <t>Degree / Type</t>
        </is>
      </c>
      <c r="D4" s="12" t="inlineStr">
        <is>
          <t>Duration</t>
        </is>
      </c>
      <c r="E4" s="12" t="inlineStr">
        <is>
          <t>Eligibility Criteria</t>
        </is>
      </c>
      <c r="F4" s="12" t="inlineStr">
        <is>
          <t>Min. Marks %</t>
        </is>
      </c>
      <c r="G4" s="12" t="inlineStr">
        <is>
          <t>Entrance Required</t>
        </is>
      </c>
      <c r="H4" s="12" t="inlineStr">
        <is>
          <t>Annual Fee (₹)</t>
        </is>
      </c>
    </row>
    <row r="5" ht="22" customHeight="1">
      <c r="B5" s="17" t="inlineStr">
        <is>
          <t>B.E. / B.Tech (CSE)</t>
        </is>
      </c>
      <c r="C5" s="15" t="inlineStr">
        <is>
          <t>UG Engineering</t>
        </is>
      </c>
      <c r="D5" s="15" t="inlineStr">
        <is>
          <t>4 Years</t>
        </is>
      </c>
      <c r="E5" s="14" t="inlineStr">
        <is>
          <t>10+2 with PCM</t>
        </is>
      </c>
      <c r="F5" s="15" t="inlineStr">
        <is>
          <t>60% (55% SC/ST)</t>
        </is>
      </c>
      <c r="G5" s="15" t="inlineStr">
        <is>
          <t>JEE Main / State CET</t>
        </is>
      </c>
      <c r="H5" s="15" t="inlineStr">
        <is>
          <t>₹ ___</t>
        </is>
      </c>
    </row>
    <row r="6" ht="22" customHeight="1">
      <c r="B6" s="18" t="inlineStr">
        <is>
          <t>B.E. / B.Tech (ECE)</t>
        </is>
      </c>
      <c r="C6" s="6" t="inlineStr">
        <is>
          <t>UG Engineering</t>
        </is>
      </c>
      <c r="D6" s="6" t="inlineStr">
        <is>
          <t>4 Years</t>
        </is>
      </c>
      <c r="E6" s="5" t="inlineStr">
        <is>
          <t>10+2 with PCM</t>
        </is>
      </c>
      <c r="F6" s="6" t="inlineStr">
        <is>
          <t>60% (55% SC/ST)</t>
        </is>
      </c>
      <c r="G6" s="6" t="inlineStr">
        <is>
          <t>JEE Main / State CET</t>
        </is>
      </c>
      <c r="H6" s="6" t="inlineStr">
        <is>
          <t>₹ ___</t>
        </is>
      </c>
    </row>
    <row r="7" ht="22" customHeight="1">
      <c r="B7" s="17" t="inlineStr">
        <is>
          <t>B.E. / B.Tech (EEE)</t>
        </is>
      </c>
      <c r="C7" s="15" t="inlineStr">
        <is>
          <t>UG Engineering</t>
        </is>
      </c>
      <c r="D7" s="15" t="inlineStr">
        <is>
          <t>4 Years</t>
        </is>
      </c>
      <c r="E7" s="14" t="inlineStr">
        <is>
          <t>10+2 with PCM</t>
        </is>
      </c>
      <c r="F7" s="15" t="inlineStr">
        <is>
          <t>60% (55% SC/ST)</t>
        </is>
      </c>
      <c r="G7" s="15" t="inlineStr">
        <is>
          <t>JEE Main / State CET</t>
        </is>
      </c>
      <c r="H7" s="15" t="inlineStr">
        <is>
          <t>₹ ___</t>
        </is>
      </c>
    </row>
    <row r="8" ht="22" customHeight="1">
      <c r="B8" s="18" t="inlineStr">
        <is>
          <t>B.E. / B.Tech (MECH)</t>
        </is>
      </c>
      <c r="C8" s="6" t="inlineStr">
        <is>
          <t>UG Engineering</t>
        </is>
      </c>
      <c r="D8" s="6" t="inlineStr">
        <is>
          <t>4 Years</t>
        </is>
      </c>
      <c r="E8" s="5" t="inlineStr">
        <is>
          <t>10+2 with PCM</t>
        </is>
      </c>
      <c r="F8" s="6" t="inlineStr">
        <is>
          <t>60% (55% SC/ST)</t>
        </is>
      </c>
      <c r="G8" s="6" t="inlineStr">
        <is>
          <t>JEE Main / State CET</t>
        </is>
      </c>
      <c r="H8" s="6" t="inlineStr">
        <is>
          <t>₹ ___</t>
        </is>
      </c>
    </row>
    <row r="9" ht="22" customHeight="1">
      <c r="B9" s="17" t="inlineStr">
        <is>
          <t>B.E. / B.Tech (CIVIL)</t>
        </is>
      </c>
      <c r="C9" s="15" t="inlineStr">
        <is>
          <t>UG Engineering</t>
        </is>
      </c>
      <c r="D9" s="15" t="inlineStr">
        <is>
          <t>4 Years</t>
        </is>
      </c>
      <c r="E9" s="14" t="inlineStr">
        <is>
          <t>10+2 with PCM</t>
        </is>
      </c>
      <c r="F9" s="15" t="inlineStr">
        <is>
          <t>60% (55% SC/ST)</t>
        </is>
      </c>
      <c r="G9" s="15" t="inlineStr">
        <is>
          <t>JEE Main / State CET</t>
        </is>
      </c>
      <c r="H9" s="15" t="inlineStr">
        <is>
          <t>₹ ___</t>
        </is>
      </c>
    </row>
    <row r="10" ht="22" customHeight="1">
      <c r="B10" s="18" t="inlineStr">
        <is>
          <t>M.E. / M.Tech</t>
        </is>
      </c>
      <c r="C10" s="6" t="inlineStr">
        <is>
          <t>PG Engineering</t>
        </is>
      </c>
      <c r="D10" s="6" t="inlineStr">
        <is>
          <t>2 Years</t>
        </is>
      </c>
      <c r="E10" s="5" t="inlineStr">
        <is>
          <t>B.E./B.Tech in relevant branch</t>
        </is>
      </c>
      <c r="F10" s="6" t="inlineStr">
        <is>
          <t>60%</t>
        </is>
      </c>
      <c r="G10" s="6" t="inlineStr">
        <is>
          <t>GATE / State PG CET</t>
        </is>
      </c>
      <c r="H10" s="6" t="inlineStr">
        <is>
          <t>₹ ___</t>
        </is>
      </c>
    </row>
    <row r="11" ht="22" customHeight="1">
      <c r="B11" s="17" t="inlineStr">
        <is>
          <t>MBA</t>
        </is>
      </c>
      <c r="C11" s="15" t="inlineStr">
        <is>
          <t>PG Management</t>
        </is>
      </c>
      <c r="D11" s="15" t="inlineStr">
        <is>
          <t>2 Years</t>
        </is>
      </c>
      <c r="E11" s="14" t="inlineStr">
        <is>
          <t>Any UG Degree (min 50%)</t>
        </is>
      </c>
      <c r="F11" s="15" t="inlineStr">
        <is>
          <t>50%</t>
        </is>
      </c>
      <c r="G11" s="15" t="inlineStr">
        <is>
          <t>CAT/MAT/CMAT/State</t>
        </is>
      </c>
      <c r="H11" s="15" t="inlineStr">
        <is>
          <t>₹ ___</t>
        </is>
      </c>
    </row>
    <row r="12" ht="22" customHeight="1">
      <c r="B12" s="18" t="inlineStr">
        <is>
          <t>MCA</t>
        </is>
      </c>
      <c r="C12" s="6" t="inlineStr">
        <is>
          <t>PG Computer App.</t>
        </is>
      </c>
      <c r="D12" s="6" t="inlineStr">
        <is>
          <t>2 Years</t>
        </is>
      </c>
      <c r="E12" s="5" t="inlineStr">
        <is>
          <t>BCA / B.Sc. (CS/IT/Maths)</t>
        </is>
      </c>
      <c r="F12" s="6" t="inlineStr">
        <is>
          <t>55%</t>
        </is>
      </c>
      <c r="G12" s="6" t="inlineStr">
        <is>
          <t>State MCA CET</t>
        </is>
      </c>
      <c r="H12" s="6" t="inlineStr">
        <is>
          <t>₹ ___</t>
        </is>
      </c>
    </row>
    <row r="13" ht="22" customHeight="1">
      <c r="B13" s="17" t="inlineStr">
        <is>
          <t>B.Sc.</t>
        </is>
      </c>
      <c r="C13" s="15" t="inlineStr">
        <is>
          <t>UG Science</t>
        </is>
      </c>
      <c r="D13" s="15" t="inlineStr">
        <is>
          <t>3 Years</t>
        </is>
      </c>
      <c r="E13" s="14" t="inlineStr">
        <is>
          <t>10+2 with Science</t>
        </is>
      </c>
      <c r="F13" s="15" t="inlineStr">
        <is>
          <t>55%</t>
        </is>
      </c>
      <c r="G13" s="15" t="inlineStr">
        <is>
          <t>Merit Based</t>
        </is>
      </c>
      <c r="H13" s="15" t="inlineStr">
        <is>
          <t>₹ ___</t>
        </is>
      </c>
    </row>
    <row r="14" ht="22" customHeight="1">
      <c r="B14" s="18" t="inlineStr">
        <is>
          <t>B.Com.</t>
        </is>
      </c>
      <c r="C14" s="6" t="inlineStr">
        <is>
          <t>UG Commerce</t>
        </is>
      </c>
      <c r="D14" s="6" t="inlineStr">
        <is>
          <t>3 Years</t>
        </is>
      </c>
      <c r="E14" s="5" t="inlineStr">
        <is>
          <t>10+2 (any stream)</t>
        </is>
      </c>
      <c r="F14" s="6" t="inlineStr">
        <is>
          <t>50%</t>
        </is>
      </c>
      <c r="G14" s="6" t="inlineStr">
        <is>
          <t>Merit Based</t>
        </is>
      </c>
      <c r="H14" s="6" t="inlineStr">
        <is>
          <t>₹ ___</t>
        </is>
      </c>
    </row>
    <row r="15" ht="22" customHeight="1">
      <c r="B15" s="17" t="inlineStr">
        <is>
          <t>B.A.</t>
        </is>
      </c>
      <c r="C15" s="15" t="inlineStr">
        <is>
          <t>UG Arts</t>
        </is>
      </c>
      <c r="D15" s="15" t="inlineStr">
        <is>
          <t>3 Years</t>
        </is>
      </c>
      <c r="E15" s="14" t="inlineStr">
        <is>
          <t>10+2 (any stream)</t>
        </is>
      </c>
      <c r="F15" s="15" t="inlineStr">
        <is>
          <t>45%</t>
        </is>
      </c>
      <c r="G15" s="15" t="inlineStr">
        <is>
          <t>Merit Based</t>
        </is>
      </c>
      <c r="H15" s="15" t="inlineStr">
        <is>
          <t>₹ ___</t>
        </is>
      </c>
    </row>
    <row r="16" ht="22" customHeight="1">
      <c r="B16" s="18" t="inlineStr">
        <is>
          <t>Ph.D.</t>
        </is>
      </c>
      <c r="C16" s="6" t="inlineStr">
        <is>
          <t>Research</t>
        </is>
      </c>
      <c r="D16" s="6" t="inlineStr">
        <is>
          <t>3–5 Years</t>
        </is>
      </c>
      <c r="E16" s="5" t="inlineStr">
        <is>
          <t>Master's Degree (55%)</t>
        </is>
      </c>
      <c r="F16" s="6" t="inlineStr">
        <is>
          <t>55%</t>
        </is>
      </c>
      <c r="G16" s="6" t="inlineStr">
        <is>
          <t>NET/JRF or Inst. Test</t>
        </is>
      </c>
      <c r="H16" s="6" t="inlineStr">
        <is>
          <t>₹ ___</t>
        </is>
      </c>
    </row>
    <row r="17" ht="22" customHeight="1"/>
    <row r="18" ht="24" customHeight="1">
      <c r="B18" s="21" t="inlineStr">
        <is>
          <t>FEE STRUCTURE — COMPONENT-WISE</t>
        </is>
      </c>
    </row>
    <row r="19" ht="22" customHeight="1">
      <c r="B19" s="22" t="inlineStr">
        <is>
          <t>Fee Component</t>
        </is>
      </c>
      <c r="C19" s="22" t="inlineStr">
        <is>
          <t>UG Engineering (₹)</t>
        </is>
      </c>
      <c r="D19" s="22" t="inlineStr">
        <is>
          <t>PG Engineering (₹)</t>
        </is>
      </c>
      <c r="E19" s="22" t="inlineStr">
        <is>
          <t>MBA (₹)</t>
        </is>
      </c>
      <c r="F19" s="22" t="inlineStr">
        <is>
          <t>MCA (₹)</t>
        </is>
      </c>
      <c r="G19" s="22" t="inlineStr">
        <is>
          <t>UG Others (₹)</t>
        </is>
      </c>
      <c r="H19" s="22" t="inlineStr">
        <is>
          <t>Ph.D. (₹)</t>
        </is>
      </c>
    </row>
    <row r="20" ht="22" customHeight="1">
      <c r="B20" s="27" t="inlineStr">
        <is>
          <t>Tuition Fee</t>
        </is>
      </c>
      <c r="C20" s="24" t="inlineStr"/>
      <c r="D20" s="24" t="inlineStr"/>
      <c r="E20" s="24" t="inlineStr"/>
      <c r="F20" s="24" t="inlineStr"/>
      <c r="G20" s="24" t="inlineStr"/>
      <c r="H20" s="24" t="inlineStr"/>
    </row>
    <row r="21" ht="22" customHeight="1">
      <c r="B21" s="18" t="inlineStr">
        <is>
          <t>University Registration Fee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 ht="22" customHeight="1">
      <c r="B22" s="27" t="inlineStr">
        <is>
          <t>Examination Fee</t>
        </is>
      </c>
      <c r="C22" s="24" t="inlineStr"/>
      <c r="D22" s="24" t="inlineStr"/>
      <c r="E22" s="24" t="inlineStr"/>
      <c r="F22" s="24" t="inlineStr"/>
      <c r="G22" s="24" t="inlineStr"/>
      <c r="H22" s="24" t="inlineStr"/>
    </row>
    <row r="23" ht="22" customHeight="1">
      <c r="B23" s="18" t="inlineStr">
        <is>
          <t>Library Fee</t>
        </is>
      </c>
      <c r="C23" s="6" t="inlineStr"/>
      <c r="D23" s="6" t="inlineStr"/>
      <c r="E23" s="6" t="inlineStr"/>
      <c r="F23" s="6" t="inlineStr"/>
      <c r="G23" s="6" t="inlineStr"/>
      <c r="H23" s="6" t="inlineStr"/>
    </row>
    <row r="24" ht="22" customHeight="1">
      <c r="B24" s="27" t="inlineStr">
        <is>
          <t>Laboratory Fee</t>
        </is>
      </c>
      <c r="C24" s="24" t="inlineStr"/>
      <c r="D24" s="24" t="inlineStr"/>
      <c r="E24" s="24" t="inlineStr"/>
      <c r="F24" s="24" t="inlineStr"/>
      <c r="G24" s="24" t="inlineStr"/>
      <c r="H24" s="24" t="inlineStr"/>
    </row>
    <row r="25" ht="22" customHeight="1">
      <c r="B25" s="18" t="inlineStr">
        <is>
          <t>Sports &amp; Cultural Fee</t>
        </is>
      </c>
      <c r="C25" s="6" t="inlineStr"/>
      <c r="D25" s="6" t="inlineStr"/>
      <c r="E25" s="6" t="inlineStr"/>
      <c r="F25" s="6" t="inlineStr"/>
      <c r="G25" s="6" t="inlineStr"/>
      <c r="H25" s="6" t="inlineStr"/>
    </row>
    <row r="26" ht="22" customHeight="1">
      <c r="B26" s="27" t="inlineStr">
        <is>
          <t>Student Association Fee</t>
        </is>
      </c>
      <c r="C26" s="24" t="inlineStr"/>
      <c r="D26" s="24" t="inlineStr"/>
      <c r="E26" s="24" t="inlineStr"/>
      <c r="F26" s="24" t="inlineStr"/>
      <c r="G26" s="24" t="inlineStr"/>
      <c r="H26" s="24" t="inlineStr"/>
    </row>
    <row r="27" ht="22" customHeight="1">
      <c r="B27" s="18" t="inlineStr">
        <is>
          <t>IT / Computer Lab Fee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 ht="22" customHeight="1">
      <c r="B28" s="27" t="inlineStr">
        <is>
          <t>Caution Deposit (Refundable)</t>
        </is>
      </c>
      <c r="C28" s="24" t="inlineStr"/>
      <c r="D28" s="24" t="inlineStr"/>
      <c r="E28" s="24" t="inlineStr"/>
      <c r="F28" s="24" t="inlineStr"/>
      <c r="G28" s="24" t="inlineStr"/>
      <c r="H28" s="24" t="inlineStr"/>
    </row>
    <row r="29" ht="22" customHeight="1">
      <c r="B29" s="18" t="inlineStr">
        <is>
          <t>Miscellaneous Fee</t>
        </is>
      </c>
      <c r="C29" s="6" t="inlineStr"/>
      <c r="D29" s="6" t="inlineStr"/>
      <c r="E29" s="6" t="inlineStr"/>
      <c r="F29" s="6" t="inlineStr"/>
      <c r="G29" s="6" t="inlineStr"/>
      <c r="H29" s="6" t="inlineStr"/>
    </row>
    <row r="30" ht="22" customHeight="1">
      <c r="B30" s="28" t="inlineStr">
        <is>
          <t>TOTAL ANNUAL FEE</t>
        </is>
      </c>
      <c r="C30" s="20">
        <f>IFERROR(SUM(C20:C29),)</f>
        <v/>
      </c>
      <c r="D30" s="20">
        <f>IFERROR(SUM(D20:D29),)</f>
        <v/>
      </c>
      <c r="E30" s="20">
        <f>IFERROR(SUM(E20:E29),)</f>
        <v/>
      </c>
      <c r="F30" s="20">
        <f>IFERROR(SUM(F20:F29),)</f>
        <v/>
      </c>
      <c r="G30" s="20">
        <f>IFERROR(SUM(G20:G29),)</f>
        <v/>
      </c>
      <c r="H30" s="20">
        <f>IFERROR(SUM(H20:H29),)</f>
        <v/>
      </c>
    </row>
    <row r="31" ht="22" customHeight="1"/>
    <row r="32" ht="24" customHeight="1">
      <c r="B32" s="29" t="inlineStr">
        <is>
          <t>ADMISSION CALENDAR — KEY DATES</t>
        </is>
      </c>
    </row>
    <row r="33" ht="22" customHeight="1">
      <c r="B33" s="30" t="inlineStr">
        <is>
          <t>Event / Activity</t>
        </is>
      </c>
      <c r="C33" s="30" t="inlineStr">
        <is>
          <t>Start Date</t>
        </is>
      </c>
      <c r="D33" s="30" t="inlineStr">
        <is>
          <t>End Date</t>
        </is>
      </c>
      <c r="E33" s="30" t="inlineStr">
        <is>
          <t>Mode</t>
        </is>
      </c>
      <c r="F33" s="30" t="inlineStr">
        <is>
          <t>Responsible</t>
        </is>
      </c>
      <c r="G33" s="30" t="inlineStr">
        <is>
          <t>Remarks</t>
        </is>
      </c>
      <c r="H33" s="30" t="inlineStr">
        <is>
          <t>Status</t>
        </is>
      </c>
    </row>
    <row r="34" ht="22" customHeight="1">
      <c r="B34" s="31" t="inlineStr">
        <is>
          <t>Prospectus / Application Release</t>
        </is>
      </c>
      <c r="C34" s="32" t="inlineStr"/>
      <c r="D34" s="32" t="inlineStr"/>
      <c r="E34" s="32" t="inlineStr"/>
      <c r="F34" s="32" t="inlineStr"/>
      <c r="G34" s="33" t="inlineStr"/>
      <c r="H34" s="32" t="inlineStr">
        <is>
          <t>Pending</t>
        </is>
      </c>
    </row>
    <row r="35" ht="22" customHeight="1">
      <c r="B35" s="18" t="inlineStr">
        <is>
          <t>Last Date for Application Submission</t>
        </is>
      </c>
      <c r="C35" s="6" t="inlineStr"/>
      <c r="D35" s="6" t="inlineStr"/>
      <c r="E35" s="6" t="inlineStr"/>
      <c r="F35" s="6" t="inlineStr"/>
      <c r="G35" s="5" t="inlineStr"/>
      <c r="H35" s="6" t="inlineStr">
        <is>
          <t>Pending</t>
        </is>
      </c>
    </row>
    <row r="36" ht="22" customHeight="1">
      <c r="B36" s="31" t="inlineStr">
        <is>
          <t>Scrutiny &amp; Shortlisting</t>
        </is>
      </c>
      <c r="C36" s="32" t="inlineStr"/>
      <c r="D36" s="32" t="inlineStr"/>
      <c r="E36" s="32" t="inlineStr"/>
      <c r="F36" s="32" t="inlineStr"/>
      <c r="G36" s="33" t="inlineStr"/>
      <c r="H36" s="32" t="inlineStr">
        <is>
          <t>Pending</t>
        </is>
      </c>
    </row>
    <row r="37" ht="22" customHeight="1">
      <c r="B37" s="18" t="inlineStr">
        <is>
          <t>Entrance Test / CET</t>
        </is>
      </c>
      <c r="C37" s="6" t="inlineStr"/>
      <c r="D37" s="6" t="inlineStr"/>
      <c r="E37" s="6" t="inlineStr"/>
      <c r="F37" s="6" t="inlineStr"/>
      <c r="G37" s="5" t="inlineStr"/>
      <c r="H37" s="6" t="inlineStr">
        <is>
          <t>Pending</t>
        </is>
      </c>
    </row>
    <row r="38" ht="22" customHeight="1">
      <c r="B38" s="31" t="inlineStr">
        <is>
          <t>Merit List Publication (Round 1)</t>
        </is>
      </c>
      <c r="C38" s="32" t="inlineStr"/>
      <c r="D38" s="32" t="inlineStr"/>
      <c r="E38" s="32" t="inlineStr"/>
      <c r="F38" s="32" t="inlineStr"/>
      <c r="G38" s="33" t="inlineStr"/>
      <c r="H38" s="32" t="inlineStr">
        <is>
          <t>Pending</t>
        </is>
      </c>
    </row>
    <row r="39" ht="22" customHeight="1">
      <c r="B39" s="18" t="inlineStr">
        <is>
          <t>Counselling — Round 1</t>
        </is>
      </c>
      <c r="C39" s="6" t="inlineStr"/>
      <c r="D39" s="6" t="inlineStr"/>
      <c r="E39" s="6" t="inlineStr"/>
      <c r="F39" s="6" t="inlineStr"/>
      <c r="G39" s="5" t="inlineStr"/>
      <c r="H39" s="6" t="inlineStr">
        <is>
          <t>Pending</t>
        </is>
      </c>
    </row>
    <row r="40" ht="22" customHeight="1">
      <c r="B40" s="31" t="inlineStr">
        <is>
          <t>Merit List Publication (Round 2)</t>
        </is>
      </c>
      <c r="C40" s="32" t="inlineStr"/>
      <c r="D40" s="32" t="inlineStr"/>
      <c r="E40" s="32" t="inlineStr"/>
      <c r="F40" s="32" t="inlineStr"/>
      <c r="G40" s="33" t="inlineStr"/>
      <c r="H40" s="32" t="inlineStr">
        <is>
          <t>Pending</t>
        </is>
      </c>
    </row>
    <row r="41" ht="22" customHeight="1">
      <c r="B41" s="18" t="inlineStr">
        <is>
          <t>Counselling — Round 2</t>
        </is>
      </c>
      <c r="C41" s="6" t="inlineStr"/>
      <c r="D41" s="6" t="inlineStr"/>
      <c r="E41" s="6" t="inlineStr"/>
      <c r="F41" s="6" t="inlineStr"/>
      <c r="G41" s="5" t="inlineStr"/>
      <c r="H41" s="6" t="inlineStr">
        <is>
          <t>Pending</t>
        </is>
      </c>
    </row>
    <row r="42" ht="22" customHeight="1">
      <c r="B42" s="31" t="inlineStr">
        <is>
          <t>Document Verification</t>
        </is>
      </c>
      <c r="C42" s="32" t="inlineStr"/>
      <c r="D42" s="32" t="inlineStr"/>
      <c r="E42" s="32" t="inlineStr"/>
      <c r="F42" s="32" t="inlineStr"/>
      <c r="G42" s="33" t="inlineStr"/>
      <c r="H42" s="32" t="inlineStr">
        <is>
          <t>Pending</t>
        </is>
      </c>
    </row>
    <row r="43" ht="22" customHeight="1">
      <c r="B43" s="18" t="inlineStr">
        <is>
          <t>Fee Payment Deadline</t>
        </is>
      </c>
      <c r="C43" s="6" t="inlineStr"/>
      <c r="D43" s="6" t="inlineStr"/>
      <c r="E43" s="6" t="inlineStr"/>
      <c r="F43" s="6" t="inlineStr"/>
      <c r="G43" s="5" t="inlineStr"/>
      <c r="H43" s="6" t="inlineStr">
        <is>
          <t>Pending</t>
        </is>
      </c>
    </row>
    <row r="44" ht="22" customHeight="1">
      <c r="B44" s="31" t="inlineStr">
        <is>
          <t>Commencement of Classes</t>
        </is>
      </c>
      <c r="C44" s="32" t="inlineStr"/>
      <c r="D44" s="32" t="inlineStr"/>
      <c r="E44" s="32" t="inlineStr"/>
      <c r="F44" s="32" t="inlineStr"/>
      <c r="G44" s="33" t="inlineStr"/>
      <c r="H44" s="32" t="inlineStr">
        <is>
          <t>Pending</t>
        </is>
      </c>
    </row>
    <row r="45" ht="22" customHeight="1">
      <c r="B45" s="18" t="inlineStr">
        <is>
          <t>Spot Admissions (if any)</t>
        </is>
      </c>
      <c r="C45" s="6" t="inlineStr"/>
      <c r="D45" s="6" t="inlineStr"/>
      <c r="E45" s="6" t="inlineStr"/>
      <c r="F45" s="6" t="inlineStr"/>
      <c r="G45" s="5" t="inlineStr"/>
      <c r="H45" s="6" t="inlineStr">
        <is>
          <t>Pending</t>
        </is>
      </c>
    </row>
    <row r="46" ht="22" customHeight="1"/>
    <row r="47" ht="22" customHeight="1"/>
    <row r="48" ht="22" customHeight="1"/>
    <row r="49" ht="22" customHeight="1"/>
  </sheetData>
  <mergeCells count="4">
    <mergeCell ref="B3:H3"/>
    <mergeCell ref="B32:H32"/>
    <mergeCell ref="B2:H2"/>
    <mergeCell ref="B18:H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1" t="inlineStr">
        <is>
          <t>AD-04: APPLICATION RECEIPT &amp; SCRUTINY REGISTER</t>
        </is>
      </c>
    </row>
    <row r="3" ht="25" customHeight="1">
      <c r="B3" s="2" t="inlineStr">
        <is>
          <t>Programme: ___________________  A.Y.: _______  Application Mode: Online / Offline  Deadline: _______</t>
        </is>
      </c>
    </row>
    <row r="4" ht="30" customHeight="1">
      <c r="B4" s="12" t="inlineStr">
        <is>
          <t>App. No.</t>
        </is>
      </c>
      <c r="C4" s="12" t="inlineStr">
        <is>
          <t>Applicant Name</t>
        </is>
      </c>
      <c r="D4" s="12" t="inlineStr">
        <is>
          <t>Programme Applied</t>
        </is>
      </c>
      <c r="E4" s="12" t="inlineStr">
        <is>
          <t>Category
(Gen/OBC/SC/ST/EWS)</t>
        </is>
      </c>
      <c r="F4" s="12" t="inlineStr">
        <is>
          <t>Entrance Score
/ %</t>
        </is>
      </c>
      <c r="G4" s="12" t="inlineStr">
        <is>
          <t>Qualifying
Marks %</t>
        </is>
      </c>
      <c r="H4" s="12" t="inlineStr">
        <is>
          <t>Documents
Submitted</t>
        </is>
      </c>
      <c r="I4" s="12" t="inlineStr">
        <is>
          <t>Fee Paid
(Y/N)</t>
        </is>
      </c>
      <c r="J4" s="12" t="inlineStr">
        <is>
          <t>Scrutiny
Status</t>
        </is>
      </c>
      <c r="K4" s="12" t="inlineStr">
        <is>
          <t>Remarks</t>
        </is>
      </c>
    </row>
    <row r="5" ht="22" customHeight="1">
      <c r="B5" s="13" t="inlineStr">
        <is>
          <t>APP/2024/0001</t>
        </is>
      </c>
      <c r="C5" s="14" t="inlineStr"/>
      <c r="D5" s="15" t="inlineStr"/>
      <c r="E5" s="15" t="inlineStr"/>
      <c r="F5" s="15" t="inlineStr"/>
      <c r="G5" s="15" t="inlineStr"/>
      <c r="H5" s="15" t="inlineStr"/>
      <c r="I5" s="15" t="inlineStr">
        <is>
          <t>Y</t>
        </is>
      </c>
      <c r="J5" s="15" t="inlineStr">
        <is>
          <t>Eligible</t>
        </is>
      </c>
      <c r="K5" s="14" t="inlineStr"/>
    </row>
    <row r="6" ht="22" customHeight="1">
      <c r="B6" s="4" t="inlineStr">
        <is>
          <t>APP/2024/0002</t>
        </is>
      </c>
      <c r="C6" s="5" t="inlineStr"/>
      <c r="D6" s="6" t="inlineStr"/>
      <c r="E6" s="6" t="inlineStr"/>
      <c r="F6" s="6" t="inlineStr"/>
      <c r="G6" s="6" t="inlineStr"/>
      <c r="H6" s="6" t="inlineStr"/>
      <c r="I6" s="6" t="inlineStr">
        <is>
          <t>Y</t>
        </is>
      </c>
      <c r="J6" s="6" t="inlineStr">
        <is>
          <t>Ineligible — Marks</t>
        </is>
      </c>
      <c r="K6" s="5" t="inlineStr"/>
    </row>
    <row r="7" ht="22" customHeight="1">
      <c r="B7" s="13" t="inlineStr">
        <is>
          <t>APP/2024/0003</t>
        </is>
      </c>
      <c r="C7" s="14" t="inlineStr"/>
      <c r="D7" s="15" t="inlineStr"/>
      <c r="E7" s="15" t="inlineStr"/>
      <c r="F7" s="15" t="inlineStr"/>
      <c r="G7" s="15" t="inlineStr"/>
      <c r="H7" s="15" t="inlineStr"/>
      <c r="I7" s="15" t="inlineStr">
        <is>
          <t>Y</t>
        </is>
      </c>
      <c r="J7" s="15" t="inlineStr">
        <is>
          <t>Ineligible — Docs</t>
        </is>
      </c>
      <c r="K7" s="14" t="inlineStr"/>
    </row>
    <row r="8" ht="22" customHeight="1">
      <c r="B8" s="4" t="inlineStr">
        <is>
          <t>APP/2024/0004</t>
        </is>
      </c>
      <c r="C8" s="5" t="inlineStr"/>
      <c r="D8" s="6" t="inlineStr"/>
      <c r="E8" s="6" t="inlineStr"/>
      <c r="F8" s="6" t="inlineStr"/>
      <c r="G8" s="6" t="inlineStr"/>
      <c r="H8" s="6" t="inlineStr"/>
      <c r="I8" s="6" t="inlineStr">
        <is>
          <t>Y</t>
        </is>
      </c>
      <c r="J8" s="6" t="inlineStr">
        <is>
          <t>Pending Docs</t>
        </is>
      </c>
      <c r="K8" s="5" t="inlineStr"/>
    </row>
    <row r="9" ht="22" customHeight="1">
      <c r="B9" s="13" t="inlineStr">
        <is>
          <t>APP/2024/0005</t>
        </is>
      </c>
      <c r="C9" s="14" t="inlineStr"/>
      <c r="D9" s="15" t="inlineStr"/>
      <c r="E9" s="15" t="inlineStr"/>
      <c r="F9" s="15" t="inlineStr"/>
      <c r="G9" s="15" t="inlineStr"/>
      <c r="H9" s="15" t="inlineStr"/>
      <c r="I9" s="15" t="inlineStr">
        <is>
          <t>Y</t>
        </is>
      </c>
      <c r="J9" s="15" t="inlineStr">
        <is>
          <t>Shortlisted</t>
        </is>
      </c>
      <c r="K9" s="14" t="inlineStr"/>
    </row>
    <row r="10" ht="22" customHeight="1">
      <c r="B10" s="4" t="inlineStr">
        <is>
          <t>APP/2024/0006</t>
        </is>
      </c>
      <c r="C10" s="5" t="inlineStr"/>
      <c r="D10" s="6" t="inlineStr"/>
      <c r="E10" s="6" t="inlineStr"/>
      <c r="F10" s="6" t="inlineStr"/>
      <c r="G10" s="6" t="inlineStr"/>
      <c r="H10" s="6" t="inlineStr"/>
      <c r="I10" s="6" t="inlineStr">
        <is>
          <t>Y</t>
        </is>
      </c>
      <c r="J10" s="6" t="inlineStr">
        <is>
          <t>Eligible</t>
        </is>
      </c>
      <c r="K10" s="5" t="inlineStr"/>
    </row>
    <row r="11" ht="22" customHeight="1">
      <c r="B11" s="13" t="inlineStr">
        <is>
          <t>APP/2024/0007</t>
        </is>
      </c>
      <c r="C11" s="14" t="inlineStr"/>
      <c r="D11" s="15" t="inlineStr"/>
      <c r="E11" s="15" t="inlineStr"/>
      <c r="F11" s="15" t="inlineStr"/>
      <c r="G11" s="15" t="inlineStr"/>
      <c r="H11" s="15" t="inlineStr"/>
      <c r="I11" s="15" t="inlineStr">
        <is>
          <t>Y</t>
        </is>
      </c>
      <c r="J11" s="15" t="inlineStr">
        <is>
          <t>Ineligible — Marks</t>
        </is>
      </c>
      <c r="K11" s="14" t="inlineStr"/>
    </row>
    <row r="12" ht="22" customHeight="1">
      <c r="B12" s="4" t="inlineStr">
        <is>
          <t>APP/2024/0008</t>
        </is>
      </c>
      <c r="C12" s="5" t="inlineStr"/>
      <c r="D12" s="6" t="inlineStr"/>
      <c r="E12" s="6" t="inlineStr"/>
      <c r="F12" s="6" t="inlineStr"/>
      <c r="G12" s="6" t="inlineStr"/>
      <c r="H12" s="6" t="inlineStr"/>
      <c r="I12" s="6" t="inlineStr">
        <is>
          <t>Y</t>
        </is>
      </c>
      <c r="J12" s="6" t="inlineStr">
        <is>
          <t>Ineligible — Docs</t>
        </is>
      </c>
      <c r="K12" s="5" t="inlineStr"/>
    </row>
    <row r="13" ht="22" customHeight="1">
      <c r="B13" s="13" t="inlineStr">
        <is>
          <t>APP/2024/0009</t>
        </is>
      </c>
      <c r="C13" s="14" t="inlineStr"/>
      <c r="D13" s="15" t="inlineStr"/>
      <c r="E13" s="15" t="inlineStr"/>
      <c r="F13" s="15" t="inlineStr"/>
      <c r="G13" s="15" t="inlineStr"/>
      <c r="H13" s="15" t="inlineStr"/>
      <c r="I13" s="15" t="inlineStr">
        <is>
          <t>Y</t>
        </is>
      </c>
      <c r="J13" s="15" t="inlineStr">
        <is>
          <t>Pending Docs</t>
        </is>
      </c>
      <c r="K13" s="14" t="inlineStr"/>
    </row>
    <row r="14" ht="22" customHeight="1">
      <c r="B14" s="4" t="inlineStr">
        <is>
          <t>APP/2024/0010</t>
        </is>
      </c>
      <c r="C14" s="5" t="inlineStr"/>
      <c r="D14" s="6" t="inlineStr"/>
      <c r="E14" s="6" t="inlineStr"/>
      <c r="F14" s="6" t="inlineStr"/>
      <c r="G14" s="6" t="inlineStr"/>
      <c r="H14" s="6" t="inlineStr"/>
      <c r="I14" s="6" t="inlineStr">
        <is>
          <t>Y</t>
        </is>
      </c>
      <c r="J14" s="6" t="inlineStr">
        <is>
          <t>Shortlisted</t>
        </is>
      </c>
      <c r="K14" s="5" t="inlineStr"/>
    </row>
    <row r="15" ht="22" customHeight="1">
      <c r="B15" s="13" t="inlineStr">
        <is>
          <t>APP/2024/0011</t>
        </is>
      </c>
      <c r="C15" s="14" t="inlineStr"/>
      <c r="D15" s="15" t="inlineStr"/>
      <c r="E15" s="15" t="inlineStr"/>
      <c r="F15" s="15" t="inlineStr"/>
      <c r="G15" s="15" t="inlineStr"/>
      <c r="H15" s="15" t="inlineStr"/>
      <c r="I15" s="15" t="inlineStr">
        <is>
          <t>Y</t>
        </is>
      </c>
      <c r="J15" s="15" t="inlineStr">
        <is>
          <t>Eligible</t>
        </is>
      </c>
      <c r="K15" s="14" t="inlineStr"/>
    </row>
    <row r="16" ht="22" customHeight="1">
      <c r="B16" s="4" t="inlineStr">
        <is>
          <t>APP/2024/0012</t>
        </is>
      </c>
      <c r="C16" s="5" t="inlineStr"/>
      <c r="D16" s="6" t="inlineStr"/>
      <c r="E16" s="6" t="inlineStr"/>
      <c r="F16" s="6" t="inlineStr"/>
      <c r="G16" s="6" t="inlineStr"/>
      <c r="H16" s="6" t="inlineStr"/>
      <c r="I16" s="6" t="inlineStr">
        <is>
          <t>Y</t>
        </is>
      </c>
      <c r="J16" s="6" t="inlineStr">
        <is>
          <t>Ineligible — Marks</t>
        </is>
      </c>
      <c r="K16" s="5" t="inlineStr"/>
    </row>
    <row r="17" ht="22" customHeight="1">
      <c r="B17" s="13" t="inlineStr">
        <is>
          <t>APP/2024/0013</t>
        </is>
      </c>
      <c r="C17" s="14" t="inlineStr"/>
      <c r="D17" s="15" t="inlineStr"/>
      <c r="E17" s="15" t="inlineStr"/>
      <c r="F17" s="15" t="inlineStr"/>
      <c r="G17" s="15" t="inlineStr"/>
      <c r="H17" s="15" t="inlineStr"/>
      <c r="I17" s="15" t="inlineStr">
        <is>
          <t>Y</t>
        </is>
      </c>
      <c r="J17" s="15" t="inlineStr">
        <is>
          <t>Ineligible — Docs</t>
        </is>
      </c>
      <c r="K17" s="14" t="inlineStr"/>
    </row>
    <row r="18" ht="22" customHeight="1">
      <c r="B18" s="4" t="inlineStr">
        <is>
          <t>APP/2024/0014</t>
        </is>
      </c>
      <c r="C18" s="5" t="inlineStr"/>
      <c r="D18" s="6" t="inlineStr"/>
      <c r="E18" s="6" t="inlineStr"/>
      <c r="F18" s="6" t="inlineStr"/>
      <c r="G18" s="6" t="inlineStr"/>
      <c r="H18" s="6" t="inlineStr"/>
      <c r="I18" s="6" t="inlineStr">
        <is>
          <t>Y</t>
        </is>
      </c>
      <c r="J18" s="6" t="inlineStr">
        <is>
          <t>Pending Docs</t>
        </is>
      </c>
      <c r="K18" s="5" t="inlineStr"/>
    </row>
    <row r="19" ht="22" customHeight="1">
      <c r="B19" s="13" t="inlineStr">
        <is>
          <t>APP/2025/0015</t>
        </is>
      </c>
      <c r="C19" s="14" t="inlineStr"/>
      <c r="D19" s="15" t="inlineStr"/>
      <c r="E19" s="15" t="inlineStr"/>
      <c r="F19" s="15" t="inlineStr"/>
      <c r="G19" s="15" t="inlineStr"/>
      <c r="H19" s="15" t="inlineStr"/>
      <c r="I19" s="15" t="inlineStr">
        <is>
          <t>Y</t>
        </is>
      </c>
      <c r="J19" s="15" t="inlineStr">
        <is>
          <t>Shortlisted</t>
        </is>
      </c>
      <c r="K19" s="14" t="inlineStr"/>
    </row>
    <row r="20" ht="22" customHeight="1">
      <c r="B20" s="4" t="inlineStr">
        <is>
          <t>APP/2025/0016</t>
        </is>
      </c>
      <c r="C20" s="5" t="inlineStr"/>
      <c r="D20" s="6" t="inlineStr"/>
      <c r="E20" s="6" t="inlineStr"/>
      <c r="F20" s="6" t="inlineStr"/>
      <c r="G20" s="6" t="inlineStr"/>
      <c r="H20" s="6" t="inlineStr"/>
      <c r="I20" s="6" t="inlineStr">
        <is>
          <t>Y</t>
        </is>
      </c>
      <c r="J20" s="6" t="inlineStr">
        <is>
          <t>Eligible</t>
        </is>
      </c>
      <c r="K20" s="5" t="inlineStr"/>
    </row>
    <row r="21" ht="22" customHeight="1">
      <c r="B21" s="13" t="inlineStr">
        <is>
          <t>APP/2025/0017</t>
        </is>
      </c>
      <c r="C21" s="14" t="inlineStr"/>
      <c r="D21" s="15" t="inlineStr"/>
      <c r="E21" s="15" t="inlineStr"/>
      <c r="F21" s="15" t="inlineStr"/>
      <c r="G21" s="15" t="inlineStr"/>
      <c r="H21" s="15" t="inlineStr"/>
      <c r="I21" s="15" t="inlineStr">
        <is>
          <t>Y</t>
        </is>
      </c>
      <c r="J21" s="15" t="inlineStr">
        <is>
          <t>Ineligible — Marks</t>
        </is>
      </c>
      <c r="K21" s="14" t="inlineStr"/>
    </row>
    <row r="22" ht="22" customHeight="1">
      <c r="B22" s="4" t="inlineStr">
        <is>
          <t>APP/2025/0018</t>
        </is>
      </c>
      <c r="C22" s="5" t="inlineStr"/>
      <c r="D22" s="6" t="inlineStr"/>
      <c r="E22" s="6" t="inlineStr"/>
      <c r="F22" s="6" t="inlineStr"/>
      <c r="G22" s="6" t="inlineStr"/>
      <c r="H22" s="6" t="inlineStr"/>
      <c r="I22" s="6" t="inlineStr">
        <is>
          <t>Y</t>
        </is>
      </c>
      <c r="J22" s="6" t="inlineStr">
        <is>
          <t>Ineligible — Docs</t>
        </is>
      </c>
      <c r="K22" s="5" t="inlineStr"/>
    </row>
    <row r="23" ht="22" customHeight="1">
      <c r="B23" s="13" t="inlineStr">
        <is>
          <t>APP/2025/0019</t>
        </is>
      </c>
      <c r="C23" s="14" t="inlineStr"/>
      <c r="D23" s="15" t="inlineStr"/>
      <c r="E23" s="15" t="inlineStr"/>
      <c r="F23" s="15" t="inlineStr"/>
      <c r="G23" s="15" t="inlineStr"/>
      <c r="H23" s="15" t="inlineStr"/>
      <c r="I23" s="15" t="inlineStr">
        <is>
          <t>Y</t>
        </is>
      </c>
      <c r="J23" s="15" t="inlineStr">
        <is>
          <t>Pending Docs</t>
        </is>
      </c>
      <c r="K23" s="14" t="inlineStr"/>
    </row>
    <row r="24" ht="22" customHeight="1">
      <c r="B24" s="4" t="inlineStr">
        <is>
          <t>APP/2025/0020</t>
        </is>
      </c>
      <c r="C24" s="5" t="inlineStr"/>
      <c r="D24" s="6" t="inlineStr"/>
      <c r="E24" s="6" t="inlineStr"/>
      <c r="F24" s="6" t="inlineStr"/>
      <c r="G24" s="6" t="inlineStr"/>
      <c r="H24" s="6" t="inlineStr"/>
      <c r="I24" s="6" t="inlineStr">
        <is>
          <t>Y</t>
        </is>
      </c>
      <c r="J24" s="6" t="inlineStr">
        <is>
          <t>Shortlisted</t>
        </is>
      </c>
      <c r="K24" s="5" t="inlineStr"/>
    </row>
    <row r="25" ht="22" customHeight="1">
      <c r="B25" s="13" t="inlineStr">
        <is>
          <t>APP/2025/0021</t>
        </is>
      </c>
      <c r="C25" s="14" t="inlineStr"/>
      <c r="D25" s="15" t="inlineStr"/>
      <c r="E25" s="15" t="inlineStr"/>
      <c r="F25" s="15" t="inlineStr"/>
      <c r="G25" s="15" t="inlineStr"/>
      <c r="H25" s="15" t="inlineStr"/>
      <c r="I25" s="15" t="inlineStr">
        <is>
          <t>Y</t>
        </is>
      </c>
      <c r="J25" s="15" t="inlineStr">
        <is>
          <t>Eligible</t>
        </is>
      </c>
      <c r="K25" s="14" t="inlineStr"/>
    </row>
    <row r="26" ht="22" customHeight="1">
      <c r="B26" s="4" t="inlineStr">
        <is>
          <t>APP/2025/0022</t>
        </is>
      </c>
      <c r="C26" s="5" t="inlineStr"/>
      <c r="D26" s="6" t="inlineStr"/>
      <c r="E26" s="6" t="inlineStr"/>
      <c r="F26" s="6" t="inlineStr"/>
      <c r="G26" s="6" t="inlineStr"/>
      <c r="H26" s="6" t="inlineStr"/>
      <c r="I26" s="6" t="inlineStr">
        <is>
          <t>Y</t>
        </is>
      </c>
      <c r="J26" s="6" t="inlineStr">
        <is>
          <t>Ineligible — Marks</t>
        </is>
      </c>
      <c r="K26" s="5" t="inlineStr"/>
    </row>
    <row r="27" ht="22" customHeight="1">
      <c r="B27" s="13" t="inlineStr">
        <is>
          <t>APP/2025/0023</t>
        </is>
      </c>
      <c r="C27" s="14" t="inlineStr"/>
      <c r="D27" s="15" t="inlineStr"/>
      <c r="E27" s="15" t="inlineStr"/>
      <c r="F27" s="15" t="inlineStr"/>
      <c r="G27" s="15" t="inlineStr"/>
      <c r="H27" s="15" t="inlineStr"/>
      <c r="I27" s="15" t="inlineStr">
        <is>
          <t>Y</t>
        </is>
      </c>
      <c r="J27" s="15" t="inlineStr">
        <is>
          <t>Ineligible — Docs</t>
        </is>
      </c>
      <c r="K27" s="14" t="inlineStr"/>
    </row>
    <row r="28" ht="22" customHeight="1">
      <c r="B28" s="4" t="inlineStr">
        <is>
          <t>APP/2025/0024</t>
        </is>
      </c>
      <c r="C28" s="5" t="inlineStr"/>
      <c r="D28" s="6" t="inlineStr"/>
      <c r="E28" s="6" t="inlineStr"/>
      <c r="F28" s="6" t="inlineStr"/>
      <c r="G28" s="6" t="inlineStr"/>
      <c r="H28" s="6" t="inlineStr"/>
      <c r="I28" s="6" t="inlineStr">
        <is>
          <t>Y</t>
        </is>
      </c>
      <c r="J28" s="6" t="inlineStr">
        <is>
          <t>Pending Docs</t>
        </is>
      </c>
      <c r="K28" s="5" t="inlineStr"/>
    </row>
    <row r="29" ht="22" customHeight="1">
      <c r="B29" s="13" t="inlineStr">
        <is>
          <t>APP/2025/0025</t>
        </is>
      </c>
      <c r="C29" s="14" t="inlineStr"/>
      <c r="D29" s="15" t="inlineStr"/>
      <c r="E29" s="15" t="inlineStr"/>
      <c r="F29" s="15" t="inlineStr"/>
      <c r="G29" s="15" t="inlineStr"/>
      <c r="H29" s="15" t="inlineStr"/>
      <c r="I29" s="15" t="inlineStr">
        <is>
          <t>Y</t>
        </is>
      </c>
      <c r="J29" s="15" t="inlineStr">
        <is>
          <t>Shortlisted</t>
        </is>
      </c>
      <c r="K29" s="14" t="inlineStr"/>
    </row>
    <row r="30" ht="22" customHeight="1">
      <c r="B30" s="4" t="inlineStr">
        <is>
          <t>APP/2025/0026</t>
        </is>
      </c>
      <c r="C30" s="5" t="inlineStr"/>
      <c r="D30" s="6" t="inlineStr"/>
      <c r="E30" s="6" t="inlineStr"/>
      <c r="F30" s="6" t="inlineStr"/>
      <c r="G30" s="6" t="inlineStr"/>
      <c r="H30" s="6" t="inlineStr"/>
      <c r="I30" s="6" t="inlineStr">
        <is>
          <t>Y</t>
        </is>
      </c>
      <c r="J30" s="6" t="inlineStr">
        <is>
          <t>Eligible</t>
        </is>
      </c>
      <c r="K30" s="5" t="inlineStr"/>
    </row>
    <row r="31" ht="22" customHeight="1">
      <c r="B31" s="13" t="inlineStr">
        <is>
          <t>APP/2025/0027</t>
        </is>
      </c>
      <c r="C31" s="14" t="inlineStr"/>
      <c r="D31" s="15" t="inlineStr"/>
      <c r="E31" s="15" t="inlineStr"/>
      <c r="F31" s="15" t="inlineStr"/>
      <c r="G31" s="15" t="inlineStr"/>
      <c r="H31" s="15" t="inlineStr"/>
      <c r="I31" s="15" t="inlineStr">
        <is>
          <t>Y</t>
        </is>
      </c>
      <c r="J31" s="15" t="inlineStr">
        <is>
          <t>Ineligible — Marks</t>
        </is>
      </c>
      <c r="K31" s="14" t="inlineStr"/>
    </row>
    <row r="32" ht="22" customHeight="1">
      <c r="B32" s="4" t="inlineStr">
        <is>
          <t>APP/2025/0028</t>
        </is>
      </c>
      <c r="C32" s="5" t="inlineStr"/>
      <c r="D32" s="6" t="inlineStr"/>
      <c r="E32" s="6" t="inlineStr"/>
      <c r="F32" s="6" t="inlineStr"/>
      <c r="G32" s="6" t="inlineStr"/>
      <c r="H32" s="6" t="inlineStr"/>
      <c r="I32" s="6" t="inlineStr">
        <is>
          <t>Y</t>
        </is>
      </c>
      <c r="J32" s="6" t="inlineStr">
        <is>
          <t>Ineligible — Docs</t>
        </is>
      </c>
      <c r="K32" s="5" t="inlineStr"/>
    </row>
    <row r="33" ht="22" customHeight="1"/>
    <row r="34" ht="24" customHeight="1">
      <c r="B34" s="21" t="inlineStr">
        <is>
          <t>APPLICATION SUMMARY STATISTICS</t>
        </is>
      </c>
    </row>
    <row r="35" ht="22" customHeight="1">
      <c r="B35" s="27" t="inlineStr">
        <is>
          <t>Total Applications Received</t>
        </is>
      </c>
      <c r="F35" s="34">
        <f>COUNTA(B5:B32)</f>
        <v/>
      </c>
    </row>
    <row r="36" ht="22" customHeight="1">
      <c r="B36" s="18" t="inlineStr">
        <is>
          <t>Eligible Applicants</t>
        </is>
      </c>
      <c r="F36" s="35">
        <f>COUNTIF(J5:J32,"Eligible")</f>
        <v/>
      </c>
    </row>
    <row r="37" ht="22" customHeight="1">
      <c r="B37" s="27" t="inlineStr">
        <is>
          <t>Shortlisted for Counselling</t>
        </is>
      </c>
      <c r="F37" s="34">
        <f>COUNTIF(J5:J32,"Shortlisted")</f>
        <v/>
      </c>
    </row>
    <row r="38" ht="22" customHeight="1">
      <c r="B38" s="18" t="inlineStr">
        <is>
          <t>Ineligible (Marks)</t>
        </is>
      </c>
      <c r="F38" s="35">
        <f>COUNTIF(J5:J32,"Ineligible — Marks")</f>
        <v/>
      </c>
    </row>
    <row r="39" ht="22" customHeight="1">
      <c r="B39" s="27" t="inlineStr">
        <is>
          <t>Ineligible (Documents)</t>
        </is>
      </c>
      <c r="F39" s="34">
        <f>COUNTIF(J5:J32,"Ineligible — Docs")</f>
        <v/>
      </c>
    </row>
    <row r="40">
      <c r="B40" s="18" t="inlineStr">
        <is>
          <t>Pending Documents</t>
        </is>
      </c>
      <c r="F40" s="35">
        <f>COUNTIF(J5:J32,"Pending Docs")</f>
        <v/>
      </c>
    </row>
    <row r="41">
      <c r="B41" s="27" t="inlineStr">
        <is>
          <t>Shortlisting Rate (%)</t>
        </is>
      </c>
      <c r="F41" s="34">
        <f>IFERROR(ROUND(C40/C35*100,1),"")</f>
        <v/>
      </c>
    </row>
  </sheetData>
  <mergeCells count="17">
    <mergeCell ref="B36:E36"/>
    <mergeCell ref="B40:E40"/>
    <mergeCell ref="B41:E41"/>
    <mergeCell ref="F38:K38"/>
    <mergeCell ref="B35:E35"/>
    <mergeCell ref="F36:K36"/>
    <mergeCell ref="B37:E37"/>
    <mergeCell ref="B38:E38"/>
    <mergeCell ref="F40:K40"/>
    <mergeCell ref="F41:K41"/>
    <mergeCell ref="B39:E39"/>
    <mergeCell ref="F35:K35"/>
    <mergeCell ref="B2:K2"/>
    <mergeCell ref="B34:K34"/>
    <mergeCell ref="F39:K39"/>
    <mergeCell ref="B3:K3"/>
    <mergeCell ref="F37:K3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3" customWidth="1" min="13" max="13"/>
  </cols>
  <sheetData>
    <row r="1" ht="10" customHeight="1"/>
    <row r="2" ht="48" customHeight="1">
      <c r="B2" s="11" t="inlineStr">
        <is>
          <t>AD-05: ENTRANCE / MERIT LIST COMPILATION REGISTER</t>
        </is>
      </c>
    </row>
    <row r="3" ht="25" customHeight="1">
      <c r="B3" s="2" t="inlineStr">
        <is>
          <t>Programme: ___________________  Round: _______  A.Y.: _______  Published on: _______</t>
        </is>
      </c>
    </row>
    <row r="4" ht="30" customHeight="1">
      <c r="B4" s="36" t="inlineStr">
        <is>
          <t>Merit
Rank</t>
        </is>
      </c>
      <c r="C4" s="36" t="inlineStr">
        <is>
          <t>Applicant Name</t>
        </is>
      </c>
      <c r="D4" s="36" t="inlineStr">
        <is>
          <t>App. No.</t>
        </is>
      </c>
      <c r="E4" s="36" t="inlineStr">
        <is>
          <t>Category</t>
        </is>
      </c>
      <c r="F4" s="36" t="inlineStr">
        <is>
          <t>10th %</t>
        </is>
      </c>
      <c r="G4" s="36" t="inlineStr">
        <is>
          <t>12th %</t>
        </is>
      </c>
      <c r="H4" s="36" t="inlineStr">
        <is>
          <t>Entrance
Score</t>
        </is>
      </c>
      <c r="I4" s="36" t="inlineStr">
        <is>
          <t>Entrance
Rank</t>
        </is>
      </c>
      <c r="J4" s="36" t="inlineStr">
        <is>
          <t>Merit
Score</t>
        </is>
      </c>
      <c r="K4" s="36" t="inlineStr">
        <is>
          <t>Eligible
Programme</t>
        </is>
      </c>
      <c r="L4" s="36" t="inlineStr">
        <is>
          <t>Remarks</t>
        </is>
      </c>
    </row>
    <row r="5" ht="22" customHeight="1">
      <c r="B5" s="37" t="n">
        <v>1</v>
      </c>
      <c r="C5" s="38" t="inlineStr"/>
      <c r="D5" s="39" t="inlineStr">
        <is>
          <t>APP/2024/0001</t>
        </is>
      </c>
      <c r="E5" s="39" t="inlineStr">
        <is>
          <t>General</t>
        </is>
      </c>
      <c r="F5" s="39" t="inlineStr"/>
      <c r="G5" s="39" t="inlineStr"/>
      <c r="H5" s="39" t="inlineStr"/>
      <c r="I5" s="39" t="inlineStr"/>
      <c r="J5" s="39" t="inlineStr"/>
      <c r="K5" s="39" t="inlineStr"/>
      <c r="L5" s="38" t="inlineStr"/>
    </row>
    <row r="6" ht="22" customHeight="1">
      <c r="B6" s="4" t="n">
        <v>2</v>
      </c>
      <c r="C6" s="5" t="inlineStr"/>
      <c r="D6" s="6" t="inlineStr">
        <is>
          <t>APP/2024/0002</t>
        </is>
      </c>
      <c r="E6" s="6" t="inlineStr">
        <is>
          <t>General</t>
        </is>
      </c>
      <c r="F6" s="6" t="inlineStr"/>
      <c r="G6" s="6" t="inlineStr"/>
      <c r="H6" s="6" t="inlineStr"/>
      <c r="I6" s="6" t="inlineStr"/>
      <c r="J6" s="6" t="inlineStr"/>
      <c r="K6" s="6" t="inlineStr"/>
      <c r="L6" s="5" t="inlineStr"/>
    </row>
    <row r="7" ht="22" customHeight="1">
      <c r="B7" s="37" t="n">
        <v>3</v>
      </c>
      <c r="C7" s="38" t="inlineStr"/>
      <c r="D7" s="39" t="inlineStr">
        <is>
          <t>APP/2024/0003</t>
        </is>
      </c>
      <c r="E7" s="39" t="inlineStr">
        <is>
          <t>General</t>
        </is>
      </c>
      <c r="F7" s="39" t="inlineStr"/>
      <c r="G7" s="39" t="inlineStr"/>
      <c r="H7" s="39" t="inlineStr"/>
      <c r="I7" s="39" t="inlineStr"/>
      <c r="J7" s="39" t="inlineStr"/>
      <c r="K7" s="39" t="inlineStr"/>
      <c r="L7" s="38" t="inlineStr"/>
    </row>
    <row r="8" ht="22" customHeight="1">
      <c r="B8" s="4" t="n">
        <v>4</v>
      </c>
      <c r="C8" s="5" t="inlineStr"/>
      <c r="D8" s="6" t="inlineStr">
        <is>
          <t>APP/2024/0004</t>
        </is>
      </c>
      <c r="E8" s="6" t="inlineStr">
        <is>
          <t>General</t>
        </is>
      </c>
      <c r="F8" s="6" t="inlineStr"/>
      <c r="G8" s="6" t="inlineStr"/>
      <c r="H8" s="6" t="inlineStr"/>
      <c r="I8" s="6" t="inlineStr"/>
      <c r="J8" s="6" t="inlineStr"/>
      <c r="K8" s="6" t="inlineStr"/>
      <c r="L8" s="5" t="inlineStr"/>
    </row>
    <row r="9" ht="22" customHeight="1">
      <c r="B9" s="37" t="n">
        <v>5</v>
      </c>
      <c r="C9" s="38" t="inlineStr"/>
      <c r="D9" s="39" t="inlineStr">
        <is>
          <t>APP/2024/0005</t>
        </is>
      </c>
      <c r="E9" s="39" t="inlineStr">
        <is>
          <t>General</t>
        </is>
      </c>
      <c r="F9" s="39" t="inlineStr"/>
      <c r="G9" s="39" t="inlineStr"/>
      <c r="H9" s="39" t="inlineStr"/>
      <c r="I9" s="39" t="inlineStr"/>
      <c r="J9" s="39" t="inlineStr"/>
      <c r="K9" s="39" t="inlineStr"/>
      <c r="L9" s="38" t="inlineStr"/>
    </row>
    <row r="10" ht="22" customHeight="1">
      <c r="B10" s="4" t="n">
        <v>6</v>
      </c>
      <c r="C10" s="5" t="inlineStr"/>
      <c r="D10" s="6" t="inlineStr">
        <is>
          <t>APP/2024/0006</t>
        </is>
      </c>
      <c r="E10" s="6" t="inlineStr">
        <is>
          <t>General</t>
        </is>
      </c>
      <c r="F10" s="6" t="inlineStr"/>
      <c r="G10" s="6" t="inlineStr"/>
      <c r="H10" s="6" t="inlineStr"/>
      <c r="I10" s="6" t="inlineStr"/>
      <c r="J10" s="6" t="inlineStr"/>
      <c r="K10" s="6" t="inlineStr"/>
      <c r="L10" s="5" t="inlineStr"/>
    </row>
    <row r="11" ht="22" customHeight="1">
      <c r="B11" s="37" t="n">
        <v>7</v>
      </c>
      <c r="C11" s="38" t="inlineStr"/>
      <c r="D11" s="39" t="inlineStr">
        <is>
          <t>APP/2024/0007</t>
        </is>
      </c>
      <c r="E11" s="39" t="inlineStr">
        <is>
          <t>General</t>
        </is>
      </c>
      <c r="F11" s="39" t="inlineStr"/>
      <c r="G11" s="39" t="inlineStr"/>
      <c r="H11" s="39" t="inlineStr"/>
      <c r="I11" s="39" t="inlineStr"/>
      <c r="J11" s="39" t="inlineStr"/>
      <c r="K11" s="39" t="inlineStr"/>
      <c r="L11" s="38" t="inlineStr"/>
    </row>
    <row r="12" ht="22" customHeight="1">
      <c r="B12" s="4" t="n">
        <v>8</v>
      </c>
      <c r="C12" s="5" t="inlineStr"/>
      <c r="D12" s="6" t="inlineStr">
        <is>
          <t>APP/2024/0008</t>
        </is>
      </c>
      <c r="E12" s="6" t="inlineStr">
        <is>
          <t>General</t>
        </is>
      </c>
      <c r="F12" s="6" t="inlineStr"/>
      <c r="G12" s="6" t="inlineStr"/>
      <c r="H12" s="6" t="inlineStr"/>
      <c r="I12" s="6" t="inlineStr"/>
      <c r="J12" s="6" t="inlineStr"/>
      <c r="K12" s="6" t="inlineStr"/>
      <c r="L12" s="5" t="inlineStr"/>
    </row>
    <row r="13" ht="22" customHeight="1">
      <c r="B13" s="37" t="n">
        <v>9</v>
      </c>
      <c r="C13" s="38" t="inlineStr"/>
      <c r="D13" s="39" t="inlineStr">
        <is>
          <t>APP/2024/0009</t>
        </is>
      </c>
      <c r="E13" s="39" t="inlineStr">
        <is>
          <t>General</t>
        </is>
      </c>
      <c r="F13" s="39" t="inlineStr"/>
      <c r="G13" s="39" t="inlineStr"/>
      <c r="H13" s="39" t="inlineStr"/>
      <c r="I13" s="39" t="inlineStr"/>
      <c r="J13" s="39" t="inlineStr"/>
      <c r="K13" s="39" t="inlineStr"/>
      <c r="L13" s="38" t="inlineStr"/>
    </row>
    <row r="14" ht="22" customHeight="1">
      <c r="B14" s="4" t="n">
        <v>10</v>
      </c>
      <c r="C14" s="5" t="inlineStr"/>
      <c r="D14" s="6" t="inlineStr">
        <is>
          <t>APP/2024/0010</t>
        </is>
      </c>
      <c r="E14" s="6" t="inlineStr">
        <is>
          <t>General</t>
        </is>
      </c>
      <c r="F14" s="6" t="inlineStr"/>
      <c r="G14" s="6" t="inlineStr"/>
      <c r="H14" s="6" t="inlineStr"/>
      <c r="I14" s="6" t="inlineStr"/>
      <c r="J14" s="6" t="inlineStr"/>
      <c r="K14" s="6" t="inlineStr"/>
      <c r="L14" s="5" t="inlineStr"/>
    </row>
    <row r="15" ht="22" customHeight="1">
      <c r="B15" s="37" t="n">
        <v>11</v>
      </c>
      <c r="C15" s="38" t="inlineStr"/>
      <c r="D15" s="39" t="inlineStr">
        <is>
          <t>APP/2024/0011</t>
        </is>
      </c>
      <c r="E15" s="39" t="inlineStr">
        <is>
          <t>General</t>
        </is>
      </c>
      <c r="F15" s="39" t="inlineStr"/>
      <c r="G15" s="39" t="inlineStr"/>
      <c r="H15" s="39" t="inlineStr"/>
      <c r="I15" s="39" t="inlineStr"/>
      <c r="J15" s="39" t="inlineStr"/>
      <c r="K15" s="39" t="inlineStr"/>
      <c r="L15" s="38" t="inlineStr"/>
    </row>
    <row r="16" ht="22" customHeight="1">
      <c r="B16" s="4" t="n">
        <v>12</v>
      </c>
      <c r="C16" s="5" t="inlineStr"/>
      <c r="D16" s="6" t="inlineStr">
        <is>
          <t>APP/2024/0012</t>
        </is>
      </c>
      <c r="E16" s="6" t="inlineStr">
        <is>
          <t>General</t>
        </is>
      </c>
      <c r="F16" s="6" t="inlineStr"/>
      <c r="G16" s="6" t="inlineStr"/>
      <c r="H16" s="6" t="inlineStr"/>
      <c r="I16" s="6" t="inlineStr"/>
      <c r="J16" s="6" t="inlineStr"/>
      <c r="K16" s="6" t="inlineStr"/>
      <c r="L16" s="5" t="inlineStr"/>
    </row>
    <row r="17" ht="22" customHeight="1">
      <c r="B17" s="37" t="n">
        <v>13</v>
      </c>
      <c r="C17" s="38" t="inlineStr"/>
      <c r="D17" s="39" t="inlineStr">
        <is>
          <t>APP/2024/0013</t>
        </is>
      </c>
      <c r="E17" s="39" t="inlineStr">
        <is>
          <t>General</t>
        </is>
      </c>
      <c r="F17" s="39" t="inlineStr"/>
      <c r="G17" s="39" t="inlineStr"/>
      <c r="H17" s="39" t="inlineStr"/>
      <c r="I17" s="39" t="inlineStr"/>
      <c r="J17" s="39" t="inlineStr"/>
      <c r="K17" s="39" t="inlineStr"/>
      <c r="L17" s="38" t="inlineStr"/>
    </row>
    <row r="18" ht="22" customHeight="1">
      <c r="B18" s="4" t="n">
        <v>14</v>
      </c>
      <c r="C18" s="5" t="inlineStr"/>
      <c r="D18" s="6" t="inlineStr">
        <is>
          <t>APP/2024/0014</t>
        </is>
      </c>
      <c r="E18" s="6" t="inlineStr">
        <is>
          <t>General</t>
        </is>
      </c>
      <c r="F18" s="6" t="inlineStr"/>
      <c r="G18" s="6" t="inlineStr"/>
      <c r="H18" s="6" t="inlineStr"/>
      <c r="I18" s="6" t="inlineStr"/>
      <c r="J18" s="6" t="inlineStr"/>
      <c r="K18" s="6" t="inlineStr"/>
      <c r="L18" s="5" t="inlineStr"/>
    </row>
    <row r="19" ht="22" customHeight="1">
      <c r="B19" s="37" t="n">
        <v>15</v>
      </c>
      <c r="C19" s="38" t="inlineStr"/>
      <c r="D19" s="39" t="inlineStr">
        <is>
          <t>APP/2024/0015</t>
        </is>
      </c>
      <c r="E19" s="39" t="inlineStr">
        <is>
          <t>General</t>
        </is>
      </c>
      <c r="F19" s="39" t="inlineStr"/>
      <c r="G19" s="39" t="inlineStr"/>
      <c r="H19" s="39" t="inlineStr"/>
      <c r="I19" s="39" t="inlineStr"/>
      <c r="J19" s="39" t="inlineStr"/>
      <c r="K19" s="39" t="inlineStr"/>
      <c r="L19" s="38" t="inlineStr"/>
    </row>
    <row r="20" ht="22" customHeight="1">
      <c r="B20" s="4" t="n">
        <v>16</v>
      </c>
      <c r="C20" s="5" t="inlineStr"/>
      <c r="D20" s="6" t="inlineStr">
        <is>
          <t>APP/2024/0016</t>
        </is>
      </c>
      <c r="E20" s="6" t="inlineStr">
        <is>
          <t>General</t>
        </is>
      </c>
      <c r="F20" s="6" t="inlineStr"/>
      <c r="G20" s="6" t="inlineStr"/>
      <c r="H20" s="6" t="inlineStr"/>
      <c r="I20" s="6" t="inlineStr"/>
      <c r="J20" s="6" t="inlineStr"/>
      <c r="K20" s="6" t="inlineStr"/>
      <c r="L20" s="5" t="inlineStr"/>
    </row>
    <row r="21" ht="22" customHeight="1">
      <c r="B21" s="37" t="n">
        <v>17</v>
      </c>
      <c r="C21" s="38" t="inlineStr"/>
      <c r="D21" s="39" t="inlineStr">
        <is>
          <t>APP/2024/0017</t>
        </is>
      </c>
      <c r="E21" s="39" t="inlineStr">
        <is>
          <t>General</t>
        </is>
      </c>
      <c r="F21" s="39" t="inlineStr"/>
      <c r="G21" s="39" t="inlineStr"/>
      <c r="H21" s="39" t="inlineStr"/>
      <c r="I21" s="39" t="inlineStr"/>
      <c r="J21" s="39" t="inlineStr"/>
      <c r="K21" s="39" t="inlineStr"/>
      <c r="L21" s="38" t="inlineStr"/>
    </row>
    <row r="22" ht="22" customHeight="1">
      <c r="B22" s="4" t="n">
        <v>18</v>
      </c>
      <c r="C22" s="5" t="inlineStr"/>
      <c r="D22" s="6" t="inlineStr">
        <is>
          <t>APP/2024/0018</t>
        </is>
      </c>
      <c r="E22" s="6" t="inlineStr">
        <is>
          <t>General</t>
        </is>
      </c>
      <c r="F22" s="6" t="inlineStr"/>
      <c r="G22" s="6" t="inlineStr"/>
      <c r="H22" s="6" t="inlineStr"/>
      <c r="I22" s="6" t="inlineStr"/>
      <c r="J22" s="6" t="inlineStr"/>
      <c r="K22" s="6" t="inlineStr"/>
      <c r="L22" s="5" t="inlineStr"/>
    </row>
    <row r="23" ht="22" customHeight="1">
      <c r="B23" s="37" t="n">
        <v>19</v>
      </c>
      <c r="C23" s="38" t="inlineStr"/>
      <c r="D23" s="39" t="inlineStr">
        <is>
          <t>APP/2024/0019</t>
        </is>
      </c>
      <c r="E23" s="39" t="inlineStr">
        <is>
          <t>General</t>
        </is>
      </c>
      <c r="F23" s="39" t="inlineStr"/>
      <c r="G23" s="39" t="inlineStr"/>
      <c r="H23" s="39" t="inlineStr"/>
      <c r="I23" s="39" t="inlineStr"/>
      <c r="J23" s="39" t="inlineStr"/>
      <c r="K23" s="39" t="inlineStr"/>
      <c r="L23" s="38" t="inlineStr"/>
    </row>
    <row r="24" ht="22" customHeight="1">
      <c r="B24" s="4" t="n">
        <v>20</v>
      </c>
      <c r="C24" s="5" t="inlineStr"/>
      <c r="D24" s="6" t="inlineStr">
        <is>
          <t>APP/2024/0020</t>
        </is>
      </c>
      <c r="E24" s="6" t="inlineStr">
        <is>
          <t>General</t>
        </is>
      </c>
      <c r="F24" s="6" t="inlineStr"/>
      <c r="G24" s="6" t="inlineStr"/>
      <c r="H24" s="6" t="inlineStr"/>
      <c r="I24" s="6" t="inlineStr"/>
      <c r="J24" s="6" t="inlineStr"/>
      <c r="K24" s="6" t="inlineStr"/>
      <c r="L24" s="5" t="inlineStr"/>
    </row>
    <row r="25" ht="22" customHeight="1">
      <c r="B25" s="37" t="n">
        <v>21</v>
      </c>
      <c r="C25" s="38" t="inlineStr"/>
      <c r="D25" s="39" t="inlineStr">
        <is>
          <t>APP/2024/0021</t>
        </is>
      </c>
      <c r="E25" s="39" t="inlineStr">
        <is>
          <t>General</t>
        </is>
      </c>
      <c r="F25" s="39" t="inlineStr"/>
      <c r="G25" s="39" t="inlineStr"/>
      <c r="H25" s="39" t="inlineStr"/>
      <c r="I25" s="39" t="inlineStr"/>
      <c r="J25" s="39" t="inlineStr"/>
      <c r="K25" s="39" t="inlineStr"/>
      <c r="L25" s="38" t="inlineStr"/>
    </row>
    <row r="26" ht="22" customHeight="1">
      <c r="B26" s="4" t="n">
        <v>22</v>
      </c>
      <c r="C26" s="5" t="inlineStr"/>
      <c r="D26" s="6" t="inlineStr">
        <is>
          <t>APP/2024/0022</t>
        </is>
      </c>
      <c r="E26" s="6" t="inlineStr">
        <is>
          <t>General</t>
        </is>
      </c>
      <c r="F26" s="6" t="inlineStr"/>
      <c r="G26" s="6" t="inlineStr"/>
      <c r="H26" s="6" t="inlineStr"/>
      <c r="I26" s="6" t="inlineStr"/>
      <c r="J26" s="6" t="inlineStr"/>
      <c r="K26" s="6" t="inlineStr"/>
      <c r="L26" s="5" t="inlineStr"/>
    </row>
    <row r="27" ht="22" customHeight="1">
      <c r="B27" s="37" t="n">
        <v>23</v>
      </c>
      <c r="C27" s="38" t="inlineStr"/>
      <c r="D27" s="39" t="inlineStr">
        <is>
          <t>APP/2024/0023</t>
        </is>
      </c>
      <c r="E27" s="39" t="inlineStr">
        <is>
          <t>General</t>
        </is>
      </c>
      <c r="F27" s="39" t="inlineStr"/>
      <c r="G27" s="39" t="inlineStr"/>
      <c r="H27" s="39" t="inlineStr"/>
      <c r="I27" s="39" t="inlineStr"/>
      <c r="J27" s="39" t="inlineStr"/>
      <c r="K27" s="39" t="inlineStr"/>
      <c r="L27" s="38" t="inlineStr"/>
    </row>
    <row r="28" ht="22" customHeight="1">
      <c r="B28" s="4" t="n">
        <v>24</v>
      </c>
      <c r="C28" s="5" t="inlineStr"/>
      <c r="D28" s="6" t="inlineStr">
        <is>
          <t>APP/2024/0024</t>
        </is>
      </c>
      <c r="E28" s="6" t="inlineStr">
        <is>
          <t>General</t>
        </is>
      </c>
      <c r="F28" s="6" t="inlineStr"/>
      <c r="G28" s="6" t="inlineStr"/>
      <c r="H28" s="6" t="inlineStr"/>
      <c r="I28" s="6" t="inlineStr"/>
      <c r="J28" s="6" t="inlineStr"/>
      <c r="K28" s="6" t="inlineStr"/>
      <c r="L28" s="5" t="inlineStr"/>
    </row>
    <row r="29" ht="22" customHeight="1">
      <c r="B29" s="37" t="n">
        <v>25</v>
      </c>
      <c r="C29" s="38" t="inlineStr"/>
      <c r="D29" s="39" t="inlineStr">
        <is>
          <t>APP/2024/0025</t>
        </is>
      </c>
      <c r="E29" s="39" t="inlineStr">
        <is>
          <t>General</t>
        </is>
      </c>
      <c r="F29" s="39" t="inlineStr"/>
      <c r="G29" s="39" t="inlineStr"/>
      <c r="H29" s="39" t="inlineStr"/>
      <c r="I29" s="39" t="inlineStr"/>
      <c r="J29" s="39" t="inlineStr"/>
      <c r="K29" s="39" t="inlineStr"/>
      <c r="L29" s="38" t="inlineStr"/>
    </row>
    <row r="30" ht="22" customHeight="1">
      <c r="B30" s="4" t="n">
        <v>26</v>
      </c>
      <c r="C30" s="5" t="inlineStr"/>
      <c r="D30" s="6" t="inlineStr">
        <is>
          <t>APP/2024/0026</t>
        </is>
      </c>
      <c r="E30" s="6" t="inlineStr">
        <is>
          <t>General</t>
        </is>
      </c>
      <c r="F30" s="6" t="inlineStr"/>
      <c r="G30" s="6" t="inlineStr"/>
      <c r="H30" s="6" t="inlineStr"/>
      <c r="I30" s="6" t="inlineStr"/>
      <c r="J30" s="6" t="inlineStr"/>
      <c r="K30" s="6" t="inlineStr"/>
      <c r="L30" s="5" t="inlineStr"/>
    </row>
    <row r="31" ht="22" customHeight="1">
      <c r="B31" s="37" t="n">
        <v>27</v>
      </c>
      <c r="C31" s="38" t="inlineStr"/>
      <c r="D31" s="39" t="inlineStr">
        <is>
          <t>APP/2024/0027</t>
        </is>
      </c>
      <c r="E31" s="39" t="inlineStr">
        <is>
          <t>General</t>
        </is>
      </c>
      <c r="F31" s="39" t="inlineStr"/>
      <c r="G31" s="39" t="inlineStr"/>
      <c r="H31" s="39" t="inlineStr"/>
      <c r="I31" s="39" t="inlineStr"/>
      <c r="J31" s="39" t="inlineStr"/>
      <c r="K31" s="39" t="inlineStr"/>
      <c r="L31" s="38" t="inlineStr"/>
    </row>
    <row r="32" ht="22" customHeight="1">
      <c r="B32" s="4" t="n">
        <v>28</v>
      </c>
      <c r="C32" s="5" t="inlineStr"/>
      <c r="D32" s="6" t="inlineStr">
        <is>
          <t>APP/2024/0028</t>
        </is>
      </c>
      <c r="E32" s="6" t="inlineStr">
        <is>
          <t>General</t>
        </is>
      </c>
      <c r="F32" s="6" t="inlineStr"/>
      <c r="G32" s="6" t="inlineStr"/>
      <c r="H32" s="6" t="inlineStr"/>
      <c r="I32" s="6" t="inlineStr"/>
      <c r="J32" s="6" t="inlineStr"/>
      <c r="K32" s="6" t="inlineStr"/>
      <c r="L32" s="5" t="inlineStr"/>
    </row>
    <row r="33" ht="22" customHeight="1">
      <c r="B33" s="37" t="n">
        <v>29</v>
      </c>
      <c r="C33" s="38" t="inlineStr"/>
      <c r="D33" s="39" t="inlineStr">
        <is>
          <t>APP/2024/0029</t>
        </is>
      </c>
      <c r="E33" s="39" t="inlineStr">
        <is>
          <t>General</t>
        </is>
      </c>
      <c r="F33" s="39" t="inlineStr"/>
      <c r="G33" s="39" t="inlineStr"/>
      <c r="H33" s="39" t="inlineStr"/>
      <c r="I33" s="39" t="inlineStr"/>
      <c r="J33" s="39" t="inlineStr"/>
      <c r="K33" s="39" t="inlineStr"/>
      <c r="L33" s="38" t="inlineStr"/>
    </row>
    <row r="34" ht="22" customHeight="1">
      <c r="B34" s="4" t="n">
        <v>30</v>
      </c>
      <c r="C34" s="5" t="inlineStr"/>
      <c r="D34" s="6" t="inlineStr">
        <is>
          <t>APP/2024/0030</t>
        </is>
      </c>
      <c r="E34" s="6" t="inlineStr">
        <is>
          <t>General</t>
        </is>
      </c>
      <c r="F34" s="6" t="inlineStr"/>
      <c r="G34" s="6" t="inlineStr"/>
      <c r="H34" s="6" t="inlineStr"/>
      <c r="I34" s="6" t="inlineStr"/>
      <c r="J34" s="6" t="inlineStr"/>
      <c r="K34" s="6" t="inlineStr"/>
      <c r="L34" s="5" t="inlineStr"/>
    </row>
    <row r="35" ht="22" customHeight="1"/>
    <row r="36" ht="24" customHeight="1">
      <c r="B36" s="21" t="inlineStr">
        <is>
          <t>CATEGORY-WISE MERIT LIST SUMMARY</t>
        </is>
      </c>
    </row>
    <row r="37" ht="22" customHeight="1">
      <c r="B37" s="22" t="inlineStr">
        <is>
          <t>Category</t>
        </is>
      </c>
      <c r="C37" s="22" t="inlineStr">
        <is>
          <t>Applications
Received</t>
        </is>
      </c>
      <c r="D37" s="22" t="inlineStr">
        <is>
          <t>Merit Listed</t>
        </is>
      </c>
      <c r="E37" s="22" t="inlineStr">
        <is>
          <t>Cut-off
(Gen)</t>
        </is>
      </c>
      <c r="F37" s="22" t="inlineStr">
        <is>
          <t>Cut-off
(Cat)</t>
        </is>
      </c>
      <c r="G37" s="22" t="inlineStr">
        <is>
          <t>Highest
Score</t>
        </is>
      </c>
      <c r="H37" s="22" t="inlineStr">
        <is>
          <t>Lowest
Score</t>
        </is>
      </c>
      <c r="I37" s="22" t="inlineStr">
        <is>
          <t>Avg. Score</t>
        </is>
      </c>
    </row>
    <row r="38" ht="22" customHeight="1">
      <c r="B38" s="23" t="inlineStr">
        <is>
          <t>General</t>
        </is>
      </c>
      <c r="C38" s="24" t="inlineStr"/>
      <c r="D38" s="24" t="inlineStr"/>
      <c r="E38" s="24" t="inlineStr"/>
      <c r="F38" s="24" t="inlineStr"/>
      <c r="G38" s="24" t="inlineStr"/>
      <c r="H38" s="24" t="inlineStr"/>
      <c r="I38" s="24" t="inlineStr"/>
      <c r="J38" s="25" t="n"/>
      <c r="K38" s="25" t="n"/>
      <c r="L38" s="25" t="n"/>
    </row>
    <row r="39" ht="22" customHeight="1">
      <c r="B39" s="4" t="inlineStr">
        <is>
          <t>OBC</t>
        </is>
      </c>
      <c r="C39" s="6" t="inlineStr"/>
      <c r="D39" s="6" t="inlineStr"/>
      <c r="E39" s="6" t="inlineStr"/>
      <c r="F39" s="6" t="inlineStr"/>
      <c r="G39" s="6" t="inlineStr"/>
      <c r="H39" s="6" t="inlineStr"/>
      <c r="I39" s="6" t="inlineStr"/>
      <c r="J39" s="26" t="n"/>
      <c r="K39" s="26" t="n"/>
      <c r="L39" s="26" t="n"/>
    </row>
    <row r="40">
      <c r="B40" s="23" t="inlineStr">
        <is>
          <t>SC</t>
        </is>
      </c>
      <c r="C40" s="24" t="inlineStr"/>
      <c r="D40" s="24" t="inlineStr"/>
      <c r="E40" s="24" t="inlineStr"/>
      <c r="F40" s="24" t="inlineStr"/>
      <c r="G40" s="24" t="inlineStr"/>
      <c r="H40" s="24" t="inlineStr"/>
      <c r="I40" s="24" t="inlineStr"/>
      <c r="J40" s="25" t="n"/>
      <c r="K40" s="25" t="n"/>
      <c r="L40" s="25" t="n"/>
    </row>
    <row r="41">
      <c r="B41" s="4" t="inlineStr">
        <is>
          <t>ST</t>
        </is>
      </c>
      <c r="C41" s="6" t="inlineStr"/>
      <c r="D41" s="6" t="inlineStr"/>
      <c r="E41" s="6" t="inlineStr"/>
      <c r="F41" s="6" t="inlineStr"/>
      <c r="G41" s="6" t="inlineStr"/>
      <c r="H41" s="6" t="inlineStr"/>
      <c r="I41" s="6" t="inlineStr"/>
      <c r="J41" s="26" t="n"/>
      <c r="K41" s="26" t="n"/>
      <c r="L41" s="26" t="n"/>
    </row>
    <row r="42">
      <c r="B42" s="23" t="inlineStr">
        <is>
          <t>EWS</t>
        </is>
      </c>
      <c r="C42" s="24" t="inlineStr"/>
      <c r="D42" s="24" t="inlineStr"/>
      <c r="E42" s="24" t="inlineStr"/>
      <c r="F42" s="24" t="inlineStr"/>
      <c r="G42" s="24" t="inlineStr"/>
      <c r="H42" s="24" t="inlineStr"/>
      <c r="I42" s="24" t="inlineStr"/>
      <c r="J42" s="25" t="n"/>
      <c r="K42" s="25" t="n"/>
      <c r="L42" s="25" t="n"/>
    </row>
    <row r="43">
      <c r="B43" s="4" t="inlineStr">
        <is>
          <t>PH / Divyangjan</t>
        </is>
      </c>
      <c r="C43" s="6" t="inlineStr"/>
      <c r="D43" s="6" t="inlineStr"/>
      <c r="E43" s="6" t="inlineStr"/>
      <c r="F43" s="6" t="inlineStr"/>
      <c r="G43" s="6" t="inlineStr"/>
      <c r="H43" s="6" t="inlineStr"/>
      <c r="I43" s="6" t="inlineStr"/>
      <c r="J43" s="26" t="n"/>
      <c r="K43" s="26" t="n"/>
      <c r="L43" s="26" t="n"/>
    </row>
  </sheetData>
  <mergeCells count="3">
    <mergeCell ref="B2:L2"/>
    <mergeCell ref="B36:L36"/>
    <mergeCell ref="B3:L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K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1" t="inlineStr">
        <is>
          <t>AD-06: COUNSELLING SCHEDULE &amp; SEAT ALLOTMENT REGISTER</t>
        </is>
      </c>
    </row>
    <row r="3" ht="25" customHeight="1">
      <c r="B3" s="2" t="inlineStr">
        <is>
          <t>Programme: ___________________  Round: _______  A.Y.: _______  Counselling Date: _______</t>
        </is>
      </c>
    </row>
    <row r="4" ht="30" customHeight="1">
      <c r="B4" s="40" t="inlineStr">
        <is>
          <t>Sl.</t>
        </is>
      </c>
      <c r="C4" s="40" t="inlineStr">
        <is>
          <t>Candidate Name</t>
        </is>
      </c>
      <c r="D4" s="40" t="inlineStr">
        <is>
          <t>Merit Rank</t>
        </is>
      </c>
      <c r="E4" s="40" t="inlineStr">
        <is>
          <t>Category</t>
        </is>
      </c>
      <c r="F4" s="40" t="inlineStr">
        <is>
          <t>Choices Given
(1,2,3...)</t>
        </is>
      </c>
      <c r="G4" s="40" t="inlineStr">
        <is>
          <t>Programme
Allotted</t>
        </is>
      </c>
      <c r="H4" s="40" t="inlineStr">
        <is>
          <t>Seat Type
(Govt/Mgmt/NRI)</t>
        </is>
      </c>
      <c r="I4" s="40" t="inlineStr">
        <is>
          <t>Acceptance
(Y/N)</t>
        </is>
      </c>
      <c r="J4" s="40" t="inlineStr">
        <is>
          <t>Fee Paid
(Y/N)</t>
        </is>
      </c>
      <c r="K4" s="40" t="inlineStr">
        <is>
          <t>Remarks</t>
        </is>
      </c>
    </row>
    <row r="5" ht="22" customHeight="1">
      <c r="B5" s="41" t="n">
        <v>1</v>
      </c>
      <c r="C5" s="42" t="inlineStr"/>
      <c r="D5" s="43" t="n">
        <v>1</v>
      </c>
      <c r="E5" s="43" t="inlineStr">
        <is>
          <t>General</t>
        </is>
      </c>
      <c r="F5" s="43" t="inlineStr"/>
      <c r="G5" s="43" t="inlineStr"/>
      <c r="H5" s="43" t="inlineStr">
        <is>
          <t>Government</t>
        </is>
      </c>
      <c r="I5" s="43" t="inlineStr">
        <is>
          <t>Y</t>
        </is>
      </c>
      <c r="J5" s="43" t="inlineStr">
        <is>
          <t>Y</t>
        </is>
      </c>
      <c r="K5" s="42" t="inlineStr"/>
    </row>
    <row r="6" ht="22" customHeight="1">
      <c r="B6" s="4" t="n">
        <v>2</v>
      </c>
      <c r="C6" s="5" t="inlineStr"/>
      <c r="D6" s="6" t="n">
        <v>2</v>
      </c>
      <c r="E6" s="6" t="inlineStr">
        <is>
          <t>General</t>
        </is>
      </c>
      <c r="F6" s="6" t="inlineStr"/>
      <c r="G6" s="6" t="inlineStr"/>
      <c r="H6" s="6" t="inlineStr">
        <is>
          <t>Government</t>
        </is>
      </c>
      <c r="I6" s="6" t="inlineStr">
        <is>
          <t>Y</t>
        </is>
      </c>
      <c r="J6" s="6" t="inlineStr">
        <is>
          <t>Y</t>
        </is>
      </c>
      <c r="K6" s="5" t="inlineStr"/>
    </row>
    <row r="7" ht="22" customHeight="1">
      <c r="B7" s="41" t="n">
        <v>3</v>
      </c>
      <c r="C7" s="42" t="inlineStr"/>
      <c r="D7" s="43" t="n">
        <v>3</v>
      </c>
      <c r="E7" s="43" t="inlineStr">
        <is>
          <t>General</t>
        </is>
      </c>
      <c r="F7" s="43" t="inlineStr"/>
      <c r="G7" s="43" t="inlineStr"/>
      <c r="H7" s="43" t="inlineStr">
        <is>
          <t>Government</t>
        </is>
      </c>
      <c r="I7" s="43" t="inlineStr">
        <is>
          <t>N</t>
        </is>
      </c>
      <c r="J7" s="43" t="inlineStr">
        <is>
          <t>N</t>
        </is>
      </c>
      <c r="K7" s="42" t="inlineStr"/>
    </row>
    <row r="8" ht="22" customHeight="1">
      <c r="B8" s="4" t="n">
        <v>4</v>
      </c>
      <c r="C8" s="5" t="inlineStr"/>
      <c r="D8" s="6" t="n">
        <v>4</v>
      </c>
      <c r="E8" s="6" t="inlineStr">
        <is>
          <t>General</t>
        </is>
      </c>
      <c r="F8" s="6" t="inlineStr"/>
      <c r="G8" s="6" t="inlineStr"/>
      <c r="H8" s="6" t="inlineStr">
        <is>
          <t>Government</t>
        </is>
      </c>
      <c r="I8" s="6" t="inlineStr">
        <is>
          <t>Y</t>
        </is>
      </c>
      <c r="J8" s="6" t="inlineStr">
        <is>
          <t>Y</t>
        </is>
      </c>
      <c r="K8" s="5" t="inlineStr"/>
    </row>
    <row r="9" ht="22" customHeight="1">
      <c r="B9" s="41" t="n">
        <v>5</v>
      </c>
      <c r="C9" s="42" t="inlineStr"/>
      <c r="D9" s="43" t="n">
        <v>5</v>
      </c>
      <c r="E9" s="43" t="inlineStr">
        <is>
          <t>General</t>
        </is>
      </c>
      <c r="F9" s="43" t="inlineStr"/>
      <c r="G9" s="43" t="inlineStr"/>
      <c r="H9" s="43" t="inlineStr">
        <is>
          <t>Government</t>
        </is>
      </c>
      <c r="I9" s="43" t="inlineStr">
        <is>
          <t>Y</t>
        </is>
      </c>
      <c r="J9" s="43" t="inlineStr">
        <is>
          <t>Y</t>
        </is>
      </c>
      <c r="K9" s="42" t="inlineStr"/>
    </row>
    <row r="10" ht="22" customHeight="1">
      <c r="B10" s="4" t="n">
        <v>6</v>
      </c>
      <c r="C10" s="5" t="inlineStr"/>
      <c r="D10" s="6" t="n">
        <v>6</v>
      </c>
      <c r="E10" s="6" t="inlineStr">
        <is>
          <t>General</t>
        </is>
      </c>
      <c r="F10" s="6" t="inlineStr"/>
      <c r="G10" s="6" t="inlineStr"/>
      <c r="H10" s="6" t="inlineStr">
        <is>
          <t>Government</t>
        </is>
      </c>
      <c r="I10" s="6" t="inlineStr">
        <is>
          <t>Y</t>
        </is>
      </c>
      <c r="J10" s="6" t="inlineStr">
        <is>
          <t>Y</t>
        </is>
      </c>
      <c r="K10" s="5" t="inlineStr"/>
    </row>
    <row r="11" ht="22" customHeight="1">
      <c r="B11" s="41" t="n">
        <v>7</v>
      </c>
      <c r="C11" s="42" t="inlineStr"/>
      <c r="D11" s="43" t="n">
        <v>7</v>
      </c>
      <c r="E11" s="43" t="inlineStr">
        <is>
          <t>General</t>
        </is>
      </c>
      <c r="F11" s="43" t="inlineStr"/>
      <c r="G11" s="43" t="inlineStr"/>
      <c r="H11" s="43" t="inlineStr">
        <is>
          <t>Government</t>
        </is>
      </c>
      <c r="I11" s="43" t="inlineStr">
        <is>
          <t>Y</t>
        </is>
      </c>
      <c r="J11" s="43" t="inlineStr">
        <is>
          <t>Y</t>
        </is>
      </c>
      <c r="K11" s="42" t="inlineStr"/>
    </row>
    <row r="12" ht="22" customHeight="1">
      <c r="B12" s="4" t="n">
        <v>8</v>
      </c>
      <c r="C12" s="5" t="inlineStr"/>
      <c r="D12" s="6" t="n">
        <v>8</v>
      </c>
      <c r="E12" s="6" t="inlineStr">
        <is>
          <t>General</t>
        </is>
      </c>
      <c r="F12" s="6" t="inlineStr"/>
      <c r="G12" s="6" t="inlineStr"/>
      <c r="H12" s="6" t="inlineStr">
        <is>
          <t>Government</t>
        </is>
      </c>
      <c r="I12" s="6" t="inlineStr">
        <is>
          <t>N</t>
        </is>
      </c>
      <c r="J12" s="6" t="inlineStr">
        <is>
          <t>N</t>
        </is>
      </c>
      <c r="K12" s="5" t="inlineStr"/>
    </row>
    <row r="13" ht="22" customHeight="1">
      <c r="B13" s="41" t="n">
        <v>9</v>
      </c>
      <c r="C13" s="42" t="inlineStr"/>
      <c r="D13" s="43" t="n">
        <v>9</v>
      </c>
      <c r="E13" s="43" t="inlineStr">
        <is>
          <t>General</t>
        </is>
      </c>
      <c r="F13" s="43" t="inlineStr"/>
      <c r="G13" s="43" t="inlineStr"/>
      <c r="H13" s="43" t="inlineStr">
        <is>
          <t>Government</t>
        </is>
      </c>
      <c r="I13" s="43" t="inlineStr">
        <is>
          <t>Y</t>
        </is>
      </c>
      <c r="J13" s="43" t="inlineStr">
        <is>
          <t>Y</t>
        </is>
      </c>
      <c r="K13" s="42" t="inlineStr"/>
    </row>
    <row r="14" ht="22" customHeight="1">
      <c r="B14" s="4" t="n">
        <v>10</v>
      </c>
      <c r="C14" s="5" t="inlineStr"/>
      <c r="D14" s="6" t="n">
        <v>10</v>
      </c>
      <c r="E14" s="6" t="inlineStr">
        <is>
          <t>General</t>
        </is>
      </c>
      <c r="F14" s="6" t="inlineStr"/>
      <c r="G14" s="6" t="inlineStr"/>
      <c r="H14" s="6" t="inlineStr">
        <is>
          <t>Government</t>
        </is>
      </c>
      <c r="I14" s="6" t="inlineStr">
        <is>
          <t>Y</t>
        </is>
      </c>
      <c r="J14" s="6" t="inlineStr">
        <is>
          <t>Y</t>
        </is>
      </c>
      <c r="K14" s="5" t="inlineStr"/>
    </row>
    <row r="15" ht="22" customHeight="1">
      <c r="B15" s="41" t="n">
        <v>11</v>
      </c>
      <c r="C15" s="42" t="inlineStr"/>
      <c r="D15" s="43" t="n">
        <v>11</v>
      </c>
      <c r="E15" s="43" t="inlineStr">
        <is>
          <t>General</t>
        </is>
      </c>
      <c r="F15" s="43" t="inlineStr"/>
      <c r="G15" s="43" t="inlineStr"/>
      <c r="H15" s="43" t="inlineStr">
        <is>
          <t>Government</t>
        </is>
      </c>
      <c r="I15" s="43" t="inlineStr">
        <is>
          <t>Y</t>
        </is>
      </c>
      <c r="J15" s="43" t="inlineStr">
        <is>
          <t>Y</t>
        </is>
      </c>
      <c r="K15" s="42" t="inlineStr"/>
    </row>
    <row r="16" ht="22" customHeight="1">
      <c r="B16" s="4" t="n">
        <v>12</v>
      </c>
      <c r="C16" s="5" t="inlineStr"/>
      <c r="D16" s="6" t="n">
        <v>12</v>
      </c>
      <c r="E16" s="6" t="inlineStr">
        <is>
          <t>General</t>
        </is>
      </c>
      <c r="F16" s="6" t="inlineStr"/>
      <c r="G16" s="6" t="inlineStr"/>
      <c r="H16" s="6" t="inlineStr">
        <is>
          <t>Government</t>
        </is>
      </c>
      <c r="I16" s="6" t="inlineStr">
        <is>
          <t>Y</t>
        </is>
      </c>
      <c r="J16" s="6" t="inlineStr">
        <is>
          <t>Y</t>
        </is>
      </c>
      <c r="K16" s="5" t="inlineStr"/>
    </row>
    <row r="17" ht="22" customHeight="1">
      <c r="B17" s="41" t="n">
        <v>13</v>
      </c>
      <c r="C17" s="42" t="inlineStr"/>
      <c r="D17" s="43" t="n">
        <v>13</v>
      </c>
      <c r="E17" s="43" t="inlineStr">
        <is>
          <t>General</t>
        </is>
      </c>
      <c r="F17" s="43" t="inlineStr"/>
      <c r="G17" s="43" t="inlineStr"/>
      <c r="H17" s="43" t="inlineStr">
        <is>
          <t>Government</t>
        </is>
      </c>
      <c r="I17" s="43" t="inlineStr">
        <is>
          <t>N</t>
        </is>
      </c>
      <c r="J17" s="43" t="inlineStr">
        <is>
          <t>N</t>
        </is>
      </c>
      <c r="K17" s="42" t="inlineStr"/>
    </row>
    <row r="18" ht="22" customHeight="1">
      <c r="B18" s="4" t="n">
        <v>14</v>
      </c>
      <c r="C18" s="5" t="inlineStr"/>
      <c r="D18" s="6" t="n">
        <v>14</v>
      </c>
      <c r="E18" s="6" t="inlineStr">
        <is>
          <t>General</t>
        </is>
      </c>
      <c r="F18" s="6" t="inlineStr"/>
      <c r="G18" s="6" t="inlineStr"/>
      <c r="H18" s="6" t="inlineStr">
        <is>
          <t>Government</t>
        </is>
      </c>
      <c r="I18" s="6" t="inlineStr">
        <is>
          <t>Y</t>
        </is>
      </c>
      <c r="J18" s="6" t="inlineStr">
        <is>
          <t>Y</t>
        </is>
      </c>
      <c r="K18" s="5" t="inlineStr"/>
    </row>
    <row r="19" ht="22" customHeight="1">
      <c r="B19" s="41" t="n">
        <v>15</v>
      </c>
      <c r="C19" s="42" t="inlineStr"/>
      <c r="D19" s="43" t="n">
        <v>15</v>
      </c>
      <c r="E19" s="43" t="inlineStr">
        <is>
          <t>General</t>
        </is>
      </c>
      <c r="F19" s="43" t="inlineStr"/>
      <c r="G19" s="43" t="inlineStr"/>
      <c r="H19" s="43" t="inlineStr">
        <is>
          <t>Government</t>
        </is>
      </c>
      <c r="I19" s="43" t="inlineStr">
        <is>
          <t>Y</t>
        </is>
      </c>
      <c r="J19" s="43" t="inlineStr">
        <is>
          <t>Y</t>
        </is>
      </c>
      <c r="K19" s="42" t="inlineStr"/>
    </row>
    <row r="20" ht="22" customHeight="1">
      <c r="B20" s="4" t="n">
        <v>16</v>
      </c>
      <c r="C20" s="5" t="inlineStr"/>
      <c r="D20" s="6" t="n">
        <v>16</v>
      </c>
      <c r="E20" s="6" t="inlineStr">
        <is>
          <t>General</t>
        </is>
      </c>
      <c r="F20" s="6" t="inlineStr"/>
      <c r="G20" s="6" t="inlineStr"/>
      <c r="H20" s="6" t="inlineStr">
        <is>
          <t>Government</t>
        </is>
      </c>
      <c r="I20" s="6" t="inlineStr">
        <is>
          <t>Y</t>
        </is>
      </c>
      <c r="J20" s="6" t="inlineStr">
        <is>
          <t>Y</t>
        </is>
      </c>
      <c r="K20" s="5" t="inlineStr"/>
    </row>
    <row r="21" ht="22" customHeight="1">
      <c r="B21" s="41" t="n">
        <v>17</v>
      </c>
      <c r="C21" s="42" t="inlineStr"/>
      <c r="D21" s="43" t="n">
        <v>17</v>
      </c>
      <c r="E21" s="43" t="inlineStr">
        <is>
          <t>General</t>
        </is>
      </c>
      <c r="F21" s="43" t="inlineStr"/>
      <c r="G21" s="43" t="inlineStr"/>
      <c r="H21" s="43" t="inlineStr">
        <is>
          <t>Government</t>
        </is>
      </c>
      <c r="I21" s="43" t="inlineStr">
        <is>
          <t>Y</t>
        </is>
      </c>
      <c r="J21" s="43" t="inlineStr">
        <is>
          <t>Y</t>
        </is>
      </c>
      <c r="K21" s="42" t="inlineStr"/>
    </row>
    <row r="22" ht="22" customHeight="1">
      <c r="B22" s="4" t="n">
        <v>18</v>
      </c>
      <c r="C22" s="5" t="inlineStr"/>
      <c r="D22" s="6" t="n">
        <v>18</v>
      </c>
      <c r="E22" s="6" t="inlineStr">
        <is>
          <t>General</t>
        </is>
      </c>
      <c r="F22" s="6" t="inlineStr"/>
      <c r="G22" s="6" t="inlineStr"/>
      <c r="H22" s="6" t="inlineStr">
        <is>
          <t>Government</t>
        </is>
      </c>
      <c r="I22" s="6" t="inlineStr">
        <is>
          <t>N</t>
        </is>
      </c>
      <c r="J22" s="6" t="inlineStr">
        <is>
          <t>N</t>
        </is>
      </c>
      <c r="K22" s="5" t="inlineStr"/>
    </row>
    <row r="23" ht="22" customHeight="1">
      <c r="B23" s="41" t="n">
        <v>19</v>
      </c>
      <c r="C23" s="42" t="inlineStr"/>
      <c r="D23" s="43" t="n">
        <v>19</v>
      </c>
      <c r="E23" s="43" t="inlineStr">
        <is>
          <t>General</t>
        </is>
      </c>
      <c r="F23" s="43" t="inlineStr"/>
      <c r="G23" s="43" t="inlineStr"/>
      <c r="H23" s="43" t="inlineStr">
        <is>
          <t>Government</t>
        </is>
      </c>
      <c r="I23" s="43" t="inlineStr">
        <is>
          <t>Y</t>
        </is>
      </c>
      <c r="J23" s="43" t="inlineStr">
        <is>
          <t>Y</t>
        </is>
      </c>
      <c r="K23" s="42" t="inlineStr"/>
    </row>
    <row r="24" ht="22" customHeight="1">
      <c r="B24" s="4" t="n">
        <v>20</v>
      </c>
      <c r="C24" s="5" t="inlineStr"/>
      <c r="D24" s="6" t="n">
        <v>20</v>
      </c>
      <c r="E24" s="6" t="inlineStr">
        <is>
          <t>General</t>
        </is>
      </c>
      <c r="F24" s="6" t="inlineStr"/>
      <c r="G24" s="6" t="inlineStr"/>
      <c r="H24" s="6" t="inlineStr">
        <is>
          <t>Government</t>
        </is>
      </c>
      <c r="I24" s="6" t="inlineStr">
        <is>
          <t>Y</t>
        </is>
      </c>
      <c r="J24" s="6" t="inlineStr">
        <is>
          <t>Y</t>
        </is>
      </c>
      <c r="K24" s="5" t="inlineStr"/>
    </row>
    <row r="25" ht="22" customHeight="1">
      <c r="B25" s="41" t="n">
        <v>21</v>
      </c>
      <c r="C25" s="42" t="inlineStr"/>
      <c r="D25" s="43" t="n">
        <v>21</v>
      </c>
      <c r="E25" s="43" t="inlineStr">
        <is>
          <t>General</t>
        </is>
      </c>
      <c r="F25" s="43" t="inlineStr"/>
      <c r="G25" s="43" t="inlineStr"/>
      <c r="H25" s="43" t="inlineStr">
        <is>
          <t>Government</t>
        </is>
      </c>
      <c r="I25" s="43" t="inlineStr">
        <is>
          <t>Y</t>
        </is>
      </c>
      <c r="J25" s="43" t="inlineStr">
        <is>
          <t>Y</t>
        </is>
      </c>
      <c r="K25" s="42" t="inlineStr"/>
    </row>
    <row r="26" ht="22" customHeight="1">
      <c r="B26" s="4" t="n">
        <v>22</v>
      </c>
      <c r="C26" s="5" t="inlineStr"/>
      <c r="D26" s="6" t="n">
        <v>22</v>
      </c>
      <c r="E26" s="6" t="inlineStr">
        <is>
          <t>General</t>
        </is>
      </c>
      <c r="F26" s="6" t="inlineStr"/>
      <c r="G26" s="6" t="inlineStr"/>
      <c r="H26" s="6" t="inlineStr">
        <is>
          <t>Government</t>
        </is>
      </c>
      <c r="I26" s="6" t="inlineStr">
        <is>
          <t>Y</t>
        </is>
      </c>
      <c r="J26" s="6" t="inlineStr">
        <is>
          <t>Y</t>
        </is>
      </c>
      <c r="K26" s="5" t="inlineStr"/>
    </row>
    <row r="27" ht="22" customHeight="1">
      <c r="B27" s="41" t="n">
        <v>23</v>
      </c>
      <c r="C27" s="42" t="inlineStr"/>
      <c r="D27" s="43" t="n">
        <v>23</v>
      </c>
      <c r="E27" s="43" t="inlineStr">
        <is>
          <t>General</t>
        </is>
      </c>
      <c r="F27" s="43" t="inlineStr"/>
      <c r="G27" s="43" t="inlineStr"/>
      <c r="H27" s="43" t="inlineStr">
        <is>
          <t>Government</t>
        </is>
      </c>
      <c r="I27" s="43" t="inlineStr">
        <is>
          <t>N</t>
        </is>
      </c>
      <c r="J27" s="43" t="inlineStr">
        <is>
          <t>N</t>
        </is>
      </c>
      <c r="K27" s="42" t="inlineStr"/>
    </row>
    <row r="28" ht="22" customHeight="1">
      <c r="B28" s="4" t="n">
        <v>24</v>
      </c>
      <c r="C28" s="5" t="inlineStr"/>
      <c r="D28" s="6" t="n">
        <v>24</v>
      </c>
      <c r="E28" s="6" t="inlineStr">
        <is>
          <t>General</t>
        </is>
      </c>
      <c r="F28" s="6" t="inlineStr"/>
      <c r="G28" s="6" t="inlineStr"/>
      <c r="H28" s="6" t="inlineStr">
        <is>
          <t>Government</t>
        </is>
      </c>
      <c r="I28" s="6" t="inlineStr">
        <is>
          <t>Y</t>
        </is>
      </c>
      <c r="J28" s="6" t="inlineStr">
        <is>
          <t>Y</t>
        </is>
      </c>
      <c r="K28" s="5" t="inlineStr"/>
    </row>
    <row r="29" ht="22" customHeight="1">
      <c r="B29" s="41" t="n">
        <v>25</v>
      </c>
      <c r="C29" s="42" t="inlineStr"/>
      <c r="D29" s="43" t="n">
        <v>25</v>
      </c>
      <c r="E29" s="43" t="inlineStr">
        <is>
          <t>General</t>
        </is>
      </c>
      <c r="F29" s="43" t="inlineStr"/>
      <c r="G29" s="43" t="inlineStr"/>
      <c r="H29" s="43" t="inlineStr">
        <is>
          <t>Government</t>
        </is>
      </c>
      <c r="I29" s="43" t="inlineStr">
        <is>
          <t>Y</t>
        </is>
      </c>
      <c r="J29" s="43" t="inlineStr">
        <is>
          <t>Y</t>
        </is>
      </c>
      <c r="K29" s="42" t="inlineStr"/>
    </row>
    <row r="30" ht="22" customHeight="1"/>
    <row r="31" ht="24" customHeight="1">
      <c r="B31" s="44" t="inlineStr">
        <is>
          <t>SEAT ALLOTMENT SUMMARY — BY PROGRAMME &amp; ROUND</t>
        </is>
      </c>
    </row>
    <row r="32" ht="22" customHeight="1">
      <c r="B32" s="12" t="inlineStr">
        <is>
          <t>Programme</t>
        </is>
      </c>
      <c r="C32" s="12" t="inlineStr">
        <is>
          <t>Sanctioned
Intake</t>
        </is>
      </c>
      <c r="D32" s="12" t="inlineStr">
        <is>
          <t>Allotted
Round 1</t>
        </is>
      </c>
      <c r="E32" s="12" t="inlineStr">
        <is>
          <t>Allotted
Round 2</t>
        </is>
      </c>
      <c r="F32" s="12" t="inlineStr">
        <is>
          <t>Allotted
Round 3</t>
        </is>
      </c>
      <c r="G32" s="12" t="inlineStr">
        <is>
          <t>Total
Allotted</t>
        </is>
      </c>
      <c r="H32" s="12" t="inlineStr">
        <is>
          <t>Acceptance
Rate %</t>
        </is>
      </c>
      <c r="I32" s="12" t="inlineStr">
        <is>
          <t>Seats
Vacant</t>
        </is>
      </c>
    </row>
    <row r="33" ht="22" customHeight="1">
      <c r="B33" s="17" t="inlineStr">
        <is>
          <t>B.E. CSE</t>
        </is>
      </c>
      <c r="C33" s="15" t="inlineStr"/>
      <c r="D33" s="15" t="inlineStr"/>
      <c r="E33" s="15" t="inlineStr"/>
      <c r="F33" s="15" t="inlineStr"/>
      <c r="G33" s="15">
        <f>IFERROR(SUM(E33:G33),"")</f>
        <v/>
      </c>
      <c r="H33" s="15">
        <f>IFERROR(ROUND(H33/D33*100,1),"")</f>
        <v/>
      </c>
      <c r="I33" s="15">
        <f>IFERROR(D33-H33,"")</f>
        <v/>
      </c>
      <c r="J33" s="45" t="n"/>
      <c r="K33" s="45" t="n"/>
    </row>
    <row r="34" ht="22" customHeight="1">
      <c r="B34" s="18" t="inlineStr">
        <is>
          <t>B.E. ECE</t>
        </is>
      </c>
      <c r="C34" s="6" t="inlineStr"/>
      <c r="D34" s="6" t="inlineStr"/>
      <c r="E34" s="6" t="inlineStr"/>
      <c r="F34" s="6" t="inlineStr"/>
      <c r="G34" s="6">
        <f>IFERROR(SUM(E34:G34),"")</f>
        <v/>
      </c>
      <c r="H34" s="6">
        <f>IFERROR(ROUND(H34/D34*100,1),"")</f>
        <v/>
      </c>
      <c r="I34" s="6">
        <f>IFERROR(D34-H34,"")</f>
        <v/>
      </c>
      <c r="J34" s="26" t="n"/>
      <c r="K34" s="26" t="n"/>
    </row>
    <row r="35" ht="22" customHeight="1">
      <c r="B35" s="17" t="inlineStr">
        <is>
          <t>B.E. EEE</t>
        </is>
      </c>
      <c r="C35" s="15" t="inlineStr"/>
      <c r="D35" s="15" t="inlineStr"/>
      <c r="E35" s="15" t="inlineStr"/>
      <c r="F35" s="15" t="inlineStr"/>
      <c r="G35" s="15">
        <f>IFERROR(SUM(E35:G35),"")</f>
        <v/>
      </c>
      <c r="H35" s="15">
        <f>IFERROR(ROUND(H35/D35*100,1),"")</f>
        <v/>
      </c>
      <c r="I35" s="15">
        <f>IFERROR(D35-H35,"")</f>
        <v/>
      </c>
      <c r="J35" s="45" t="n"/>
      <c r="K35" s="45" t="n"/>
    </row>
    <row r="36" ht="22" customHeight="1">
      <c r="B36" s="18" t="inlineStr">
        <is>
          <t>B.E. MECH</t>
        </is>
      </c>
      <c r="C36" s="6" t="inlineStr"/>
      <c r="D36" s="6" t="inlineStr"/>
      <c r="E36" s="6" t="inlineStr"/>
      <c r="F36" s="6" t="inlineStr"/>
      <c r="G36" s="6">
        <f>IFERROR(SUM(E36:G36),"")</f>
        <v/>
      </c>
      <c r="H36" s="6">
        <f>IFERROR(ROUND(H36/D36*100,1),"")</f>
        <v/>
      </c>
      <c r="I36" s="6">
        <f>IFERROR(D36-H36,"")</f>
        <v/>
      </c>
      <c r="J36" s="26" t="n"/>
      <c r="K36" s="26" t="n"/>
    </row>
    <row r="37" ht="22" customHeight="1">
      <c r="B37" s="17" t="inlineStr">
        <is>
          <t>B.E. CIVIL</t>
        </is>
      </c>
      <c r="C37" s="15" t="inlineStr"/>
      <c r="D37" s="15" t="inlineStr"/>
      <c r="E37" s="15" t="inlineStr"/>
      <c r="F37" s="15" t="inlineStr"/>
      <c r="G37" s="15">
        <f>IFERROR(SUM(E37:G37),"")</f>
        <v/>
      </c>
      <c r="H37" s="15">
        <f>IFERROR(ROUND(H37/D37*100,1),"")</f>
        <v/>
      </c>
      <c r="I37" s="15">
        <f>IFERROR(D37-H37,"")</f>
        <v/>
      </c>
      <c r="J37" s="45" t="n"/>
      <c r="K37" s="45" t="n"/>
    </row>
    <row r="38">
      <c r="B38" s="18" t="inlineStr">
        <is>
          <t>MBA</t>
        </is>
      </c>
      <c r="C38" s="6" t="inlineStr"/>
      <c r="D38" s="6" t="inlineStr"/>
      <c r="E38" s="6" t="inlineStr"/>
      <c r="F38" s="6" t="inlineStr"/>
      <c r="G38" s="6">
        <f>IFERROR(SUM(E38:G38),"")</f>
        <v/>
      </c>
      <c r="H38" s="6">
        <f>IFERROR(ROUND(H38/D38*100,1),"")</f>
        <v/>
      </c>
      <c r="I38" s="6">
        <f>IFERROR(D38-H38,"")</f>
        <v/>
      </c>
      <c r="J38" s="26" t="n"/>
      <c r="K38" s="26" t="n"/>
    </row>
    <row r="39">
      <c r="B39" s="17" t="inlineStr">
        <is>
          <t>MCA</t>
        </is>
      </c>
      <c r="C39" s="15" t="inlineStr"/>
      <c r="D39" s="15" t="inlineStr"/>
      <c r="E39" s="15" t="inlineStr"/>
      <c r="F39" s="15" t="inlineStr"/>
      <c r="G39" s="15">
        <f>IFERROR(SUM(E39:G39),"")</f>
        <v/>
      </c>
      <c r="H39" s="15">
        <f>IFERROR(ROUND(H39/D39*100,1),"")</f>
        <v/>
      </c>
      <c r="I39" s="15">
        <f>IFERROR(D39-H39,"")</f>
        <v/>
      </c>
      <c r="J39" s="45" t="n"/>
      <c r="K39" s="45" t="n"/>
    </row>
  </sheetData>
  <mergeCells count="3">
    <mergeCell ref="B31:K31"/>
    <mergeCell ref="B3:K3"/>
    <mergeCell ref="B2: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" customWidth="1" min="9" max="9"/>
  </cols>
  <sheetData>
    <row r="1" ht="10" customHeight="1"/>
    <row r="2" ht="48" customHeight="1">
      <c r="B2" s="11" t="inlineStr">
        <is>
          <t>AD-07: DOCUMENT VERIFICATION CHECKLIST — PER STUDENT</t>
        </is>
      </c>
    </row>
    <row r="3" ht="25" customHeight="1">
      <c r="B3" s="2" t="inlineStr">
        <is>
          <t>Student Name: ___________________  App. No.: _______  Programme: ___________________  Date: _______</t>
        </is>
      </c>
    </row>
    <row r="4" ht="30" customHeight="1">
      <c r="B4" s="12" t="inlineStr">
        <is>
          <t>Sl.</t>
        </is>
      </c>
      <c r="C4" s="12" t="inlineStr">
        <is>
          <t>Document Required</t>
        </is>
      </c>
      <c r="D4" s="12" t="inlineStr">
        <is>
          <t>Original
Verified (Y/N)</t>
        </is>
      </c>
      <c r="E4" s="12" t="inlineStr">
        <is>
          <t>Photocopy
Received</t>
        </is>
      </c>
      <c r="F4" s="12" t="inlineStr">
        <is>
          <t>Document No. / Reference</t>
        </is>
      </c>
      <c r="G4" s="12" t="inlineStr">
        <is>
          <t>Verified by
(Staff Sign)</t>
        </is>
      </c>
      <c r="H4" s="12" t="inlineStr">
        <is>
          <t>Remarks</t>
        </is>
      </c>
    </row>
    <row r="5" ht="22" customHeight="1">
      <c r="B5" s="46" t="n">
        <v>1</v>
      </c>
      <c r="C5" s="47" t="inlineStr">
        <is>
          <t>10th (SSLC) Mark Sheet &amp; Certificate</t>
        </is>
      </c>
      <c r="D5" s="46" t="inlineStr"/>
      <c r="E5" s="46" t="inlineStr"/>
      <c r="F5" s="46" t="inlineStr"/>
      <c r="G5" s="46" t="inlineStr"/>
      <c r="H5" s="48" t="inlineStr">
        <is>
          <t>Mandatory</t>
        </is>
      </c>
    </row>
    <row r="6" ht="22" customHeight="1">
      <c r="B6" s="49" t="n">
        <v>2</v>
      </c>
      <c r="C6" s="50" t="inlineStr">
        <is>
          <t>12th (HSC / PUC) Mark Sheet &amp; Certificate</t>
        </is>
      </c>
      <c r="D6" s="49" t="inlineStr"/>
      <c r="E6" s="49" t="inlineStr"/>
      <c r="F6" s="49" t="inlineStr"/>
      <c r="G6" s="49" t="inlineStr"/>
      <c r="H6" s="51" t="inlineStr">
        <is>
          <t>Mandatory</t>
        </is>
      </c>
    </row>
    <row r="7" ht="22" customHeight="1">
      <c r="B7" s="15" t="n">
        <v>3</v>
      </c>
      <c r="C7" s="14" t="inlineStr">
        <is>
          <t>Degree Certificate (for PG)</t>
        </is>
      </c>
      <c r="D7" s="15" t="inlineStr"/>
      <c r="E7" s="15" t="inlineStr"/>
      <c r="F7" s="15" t="inlineStr"/>
      <c r="G7" s="15" t="inlineStr"/>
      <c r="H7" s="52" t="inlineStr">
        <is>
          <t>PG Only</t>
        </is>
      </c>
    </row>
    <row r="8" ht="22" customHeight="1">
      <c r="B8" s="49" t="n">
        <v>4</v>
      </c>
      <c r="C8" s="50" t="inlineStr">
        <is>
          <t>Provisional / Migration Certificate</t>
        </is>
      </c>
      <c r="D8" s="49" t="inlineStr"/>
      <c r="E8" s="49" t="inlineStr"/>
      <c r="F8" s="49" t="inlineStr"/>
      <c r="G8" s="49" t="inlineStr"/>
      <c r="H8" s="51" t="inlineStr">
        <is>
          <t>Mandatory</t>
        </is>
      </c>
    </row>
    <row r="9" ht="22" customHeight="1">
      <c r="B9" s="46" t="n">
        <v>5</v>
      </c>
      <c r="C9" s="47" t="inlineStr">
        <is>
          <t>Transfer Certificate (TC)</t>
        </is>
      </c>
      <c r="D9" s="46" t="inlineStr"/>
      <c r="E9" s="46" t="inlineStr"/>
      <c r="F9" s="46" t="inlineStr"/>
      <c r="G9" s="46" t="inlineStr"/>
      <c r="H9" s="48" t="inlineStr">
        <is>
          <t>Mandatory</t>
        </is>
      </c>
    </row>
    <row r="10" ht="22" customHeight="1">
      <c r="B10" s="49" t="n">
        <v>6</v>
      </c>
      <c r="C10" s="50" t="inlineStr">
        <is>
          <t>Conduct Certificate from Last Institution</t>
        </is>
      </c>
      <c r="D10" s="49" t="inlineStr"/>
      <c r="E10" s="49" t="inlineStr"/>
      <c r="F10" s="49" t="inlineStr"/>
      <c r="G10" s="49" t="inlineStr"/>
      <c r="H10" s="51" t="inlineStr">
        <is>
          <t>Mandatory</t>
        </is>
      </c>
    </row>
    <row r="11" ht="22" customHeight="1">
      <c r="B11" s="46" t="n">
        <v>7</v>
      </c>
      <c r="C11" s="47" t="inlineStr">
        <is>
          <t>Birth Certificate / Age Proof</t>
        </is>
      </c>
      <c r="D11" s="46" t="inlineStr"/>
      <c r="E11" s="46" t="inlineStr"/>
      <c r="F11" s="46" t="inlineStr"/>
      <c r="G11" s="46" t="inlineStr"/>
      <c r="H11" s="48" t="inlineStr">
        <is>
          <t>Mandatory</t>
        </is>
      </c>
    </row>
    <row r="12" ht="22" customHeight="1">
      <c r="B12" s="49" t="n">
        <v>8</v>
      </c>
      <c r="C12" s="50" t="inlineStr">
        <is>
          <t>Aadhaar Card (UIDAI)</t>
        </is>
      </c>
      <c r="D12" s="49" t="inlineStr"/>
      <c r="E12" s="49" t="inlineStr"/>
      <c r="F12" s="49" t="inlineStr"/>
      <c r="G12" s="49" t="inlineStr"/>
      <c r="H12" s="51" t="inlineStr">
        <is>
          <t>Mandatory</t>
        </is>
      </c>
    </row>
    <row r="13" ht="22" customHeight="1">
      <c r="B13" s="15" t="n">
        <v>9</v>
      </c>
      <c r="C13" s="14" t="inlineStr">
        <is>
          <t>Category Certificate (OBC/SC/ST/EWS)</t>
        </is>
      </c>
      <c r="D13" s="15" t="inlineStr"/>
      <c r="E13" s="15" t="inlineStr"/>
      <c r="F13" s="15" t="inlineStr"/>
      <c r="G13" s="15" t="inlineStr"/>
      <c r="H13" s="52" t="inlineStr">
        <is>
          <t>If applicable</t>
        </is>
      </c>
    </row>
    <row r="14" ht="22" customHeight="1">
      <c r="B14" s="6" t="n">
        <v>10</v>
      </c>
      <c r="C14" s="5" t="inlineStr">
        <is>
          <t>Income Certificate (for EWS / Scholarship)</t>
        </is>
      </c>
      <c r="D14" s="6" t="inlineStr"/>
      <c r="E14" s="6" t="inlineStr"/>
      <c r="F14" s="6" t="inlineStr"/>
      <c r="G14" s="6" t="inlineStr"/>
      <c r="H14" s="53" t="inlineStr">
        <is>
          <t>If applicable</t>
        </is>
      </c>
    </row>
    <row r="15" ht="22" customHeight="1">
      <c r="B15" s="15" t="n">
        <v>11</v>
      </c>
      <c r="C15" s="14" t="inlineStr">
        <is>
          <t>PH / Disability Certificate</t>
        </is>
      </c>
      <c r="D15" s="15" t="inlineStr"/>
      <c r="E15" s="15" t="inlineStr"/>
      <c r="F15" s="15" t="inlineStr"/>
      <c r="G15" s="15" t="inlineStr"/>
      <c r="H15" s="52" t="inlineStr">
        <is>
          <t>If applicable</t>
        </is>
      </c>
    </row>
    <row r="16" ht="22" customHeight="1">
      <c r="B16" s="6" t="n">
        <v>12</v>
      </c>
      <c r="C16" s="5" t="inlineStr">
        <is>
          <t>Entrance Test Score Card (JEE/GATE/CAT etc.)</t>
        </is>
      </c>
      <c r="D16" s="6" t="inlineStr"/>
      <c r="E16" s="6" t="inlineStr"/>
      <c r="F16" s="6" t="inlineStr"/>
      <c r="G16" s="6" t="inlineStr"/>
      <c r="H16" s="53" t="inlineStr">
        <is>
          <t>If applicable</t>
        </is>
      </c>
    </row>
    <row r="17" ht="22" customHeight="1">
      <c r="B17" s="15" t="n">
        <v>13</v>
      </c>
      <c r="C17" s="14" t="inlineStr">
        <is>
          <t>Entrance Test Rank Card (State CET)</t>
        </is>
      </c>
      <c r="D17" s="15" t="inlineStr"/>
      <c r="E17" s="15" t="inlineStr"/>
      <c r="F17" s="15" t="inlineStr"/>
      <c r="G17" s="15" t="inlineStr"/>
      <c r="H17" s="52" t="inlineStr">
        <is>
          <t>If applicable</t>
        </is>
      </c>
    </row>
    <row r="18" ht="22" customHeight="1">
      <c r="B18" s="6" t="n">
        <v>14</v>
      </c>
      <c r="C18" s="5" t="inlineStr">
        <is>
          <t>Domicile / Residence Certificate</t>
        </is>
      </c>
      <c r="D18" s="6" t="inlineStr"/>
      <c r="E18" s="6" t="inlineStr"/>
      <c r="F18" s="6" t="inlineStr"/>
      <c r="G18" s="6" t="inlineStr"/>
      <c r="H18" s="53" t="inlineStr">
        <is>
          <t>If required</t>
        </is>
      </c>
    </row>
    <row r="19" ht="22" customHeight="1">
      <c r="B19" s="15" t="n">
        <v>15</v>
      </c>
      <c r="C19" s="14" t="inlineStr">
        <is>
          <t>NRI / OCI Card (for NRI quota)</t>
        </is>
      </c>
      <c r="D19" s="15" t="inlineStr"/>
      <c r="E19" s="15" t="inlineStr"/>
      <c r="F19" s="15" t="inlineStr"/>
      <c r="G19" s="15" t="inlineStr"/>
      <c r="H19" s="52" t="inlineStr">
        <is>
          <t>If applicable</t>
        </is>
      </c>
    </row>
    <row r="20" ht="22" customHeight="1">
      <c r="B20" s="6" t="n">
        <v>16</v>
      </c>
      <c r="C20" s="5" t="inlineStr">
        <is>
          <t>Passport (for NRI students)</t>
        </is>
      </c>
      <c r="D20" s="6" t="inlineStr"/>
      <c r="E20" s="6" t="inlineStr"/>
      <c r="F20" s="6" t="inlineStr"/>
      <c r="G20" s="6" t="inlineStr"/>
      <c r="H20" s="53" t="inlineStr">
        <is>
          <t>If applicable</t>
        </is>
      </c>
    </row>
    <row r="21" ht="22" customHeight="1">
      <c r="B21" s="15" t="n">
        <v>17</v>
      </c>
      <c r="C21" s="14" t="inlineStr">
        <is>
          <t>Scholarship / Fee Reimbursement Order</t>
        </is>
      </c>
      <c r="D21" s="15" t="inlineStr"/>
      <c r="E21" s="15" t="inlineStr"/>
      <c r="F21" s="15" t="inlineStr"/>
      <c r="G21" s="15" t="inlineStr"/>
      <c r="H21" s="52" t="inlineStr">
        <is>
          <t>If applicable</t>
        </is>
      </c>
    </row>
    <row r="22" ht="22" customHeight="1">
      <c r="B22" s="49" t="n">
        <v>18</v>
      </c>
      <c r="C22" s="50" t="inlineStr">
        <is>
          <t>Anti-ragging Undertaking (student + parent)</t>
        </is>
      </c>
      <c r="D22" s="49" t="inlineStr"/>
      <c r="E22" s="49" t="inlineStr"/>
      <c r="F22" s="49" t="inlineStr"/>
      <c r="G22" s="49" t="inlineStr"/>
      <c r="H22" s="51" t="inlineStr">
        <is>
          <t>Mandatory</t>
        </is>
      </c>
    </row>
    <row r="23" ht="22" customHeight="1">
      <c r="B23" s="46" t="n">
        <v>19</v>
      </c>
      <c r="C23" s="47" t="inlineStr">
        <is>
          <t>Medical Fitness Certificate</t>
        </is>
      </c>
      <c r="D23" s="46" t="inlineStr"/>
      <c r="E23" s="46" t="inlineStr"/>
      <c r="F23" s="46" t="inlineStr"/>
      <c r="G23" s="46" t="inlineStr"/>
      <c r="H23" s="48" t="inlineStr">
        <is>
          <t>Mandatory</t>
        </is>
      </c>
    </row>
    <row r="24" ht="22" customHeight="1">
      <c r="B24" s="49" t="n">
        <v>20</v>
      </c>
      <c r="C24" s="50" t="inlineStr">
        <is>
          <t>2 Passport-size Photographs</t>
        </is>
      </c>
      <c r="D24" s="49" t="inlineStr"/>
      <c r="E24" s="49" t="inlineStr"/>
      <c r="F24" s="49" t="inlineStr"/>
      <c r="G24" s="49" t="inlineStr"/>
      <c r="H24" s="51" t="inlineStr">
        <is>
          <t>Mandatory</t>
        </is>
      </c>
    </row>
    <row r="25" ht="22" customHeight="1">
      <c r="B25" s="15" t="n">
        <v>21</v>
      </c>
      <c r="C25" s="14" t="inlineStr">
        <is>
          <t>Gap Certificate (if applicable)</t>
        </is>
      </c>
      <c r="D25" s="15" t="inlineStr"/>
      <c r="E25" s="15" t="inlineStr"/>
      <c r="F25" s="15" t="inlineStr"/>
      <c r="G25" s="15" t="inlineStr"/>
      <c r="H25" s="52" t="inlineStr">
        <is>
          <t>If applicable</t>
        </is>
      </c>
    </row>
    <row r="26" ht="22" customHeight="1">
      <c r="B26" s="49" t="n">
        <v>22</v>
      </c>
      <c r="C26" s="50" t="inlineStr">
        <is>
          <t>Character Certificate</t>
        </is>
      </c>
      <c r="D26" s="49" t="inlineStr"/>
      <c r="E26" s="49" t="inlineStr"/>
      <c r="F26" s="49" t="inlineStr"/>
      <c r="G26" s="49" t="inlineStr"/>
      <c r="H26" s="51" t="inlineStr">
        <is>
          <t>Mandatory</t>
        </is>
      </c>
    </row>
    <row r="27" ht="22" customHeight="1"/>
    <row r="28" ht="22" customHeight="1">
      <c r="B28" s="54" t="inlineStr">
        <is>
          <t>Verification completed by: ___________________  Designation: ___________________  Date: _______</t>
        </is>
      </c>
    </row>
    <row r="29" ht="22" customHeight="1">
      <c r="B29" s="2" t="inlineStr">
        <is>
          <t>Admission confirmed:  [ ] Yes — All documents verified   [ ] Conditional — Pending: ___________________   [ ] Rejected</t>
        </is>
      </c>
    </row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mergeCells count="4">
    <mergeCell ref="B3:H3"/>
    <mergeCell ref="B2:H2"/>
    <mergeCell ref="B29:H29"/>
    <mergeCell ref="B28:H28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M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  <col width="3" customWidth="1" min="14" max="14"/>
  </cols>
  <sheetData>
    <row r="1" ht="10" customHeight="1"/>
    <row r="2" ht="48" customHeight="1">
      <c r="B2" s="11" t="inlineStr">
        <is>
          <t>AD-08: STUDENT ADMISSION MASTER REGISTER</t>
        </is>
      </c>
    </row>
    <row r="3" ht="25" customHeight="1">
      <c r="B3" s="2" t="inlineStr">
        <is>
          <t>Programme: ___________________  Batch: _______  A.Y.: _______  Admission Officer: ___________________</t>
        </is>
      </c>
    </row>
    <row r="4" ht="30" customHeight="1">
      <c r="B4" s="30" t="inlineStr">
        <is>
          <t>Roll /
Adm. No.</t>
        </is>
      </c>
      <c r="C4" s="30" t="inlineStr">
        <is>
          <t>Full Name</t>
        </is>
      </c>
      <c r="D4" s="30" t="inlineStr">
        <is>
          <t>Date of
Birth</t>
        </is>
      </c>
      <c r="E4" s="30" t="inlineStr">
        <is>
          <t>Gender</t>
        </is>
      </c>
      <c r="F4" s="30" t="inlineStr">
        <is>
          <t>Category</t>
        </is>
      </c>
      <c r="G4" s="30" t="inlineStr">
        <is>
          <t>Religion</t>
        </is>
      </c>
      <c r="H4" s="30" t="inlineStr">
        <is>
          <t>Domicile
State</t>
        </is>
      </c>
      <c r="I4" s="30" t="inlineStr">
        <is>
          <t>Aadhaar
No.</t>
        </is>
      </c>
      <c r="J4" s="30" t="inlineStr">
        <is>
          <t>Parent / Guardian
Name</t>
        </is>
      </c>
      <c r="K4" s="30" t="inlineStr">
        <is>
          <t>Contact
No.</t>
        </is>
      </c>
      <c r="L4" s="30" t="inlineStr">
        <is>
          <t>12th %
/ Entrance</t>
        </is>
      </c>
      <c r="M4" s="30" t="inlineStr">
        <is>
          <t>Fee Paid
(₹)</t>
        </is>
      </c>
    </row>
    <row r="5" ht="22" customHeight="1">
      <c r="B5" s="55" t="inlineStr">
        <is>
          <t>ADM/2024/0001</t>
        </is>
      </c>
      <c r="C5" s="33" t="inlineStr"/>
      <c r="D5" s="32" t="inlineStr"/>
      <c r="E5" s="32" t="inlineStr"/>
      <c r="F5" s="32" t="inlineStr"/>
      <c r="G5" s="32" t="inlineStr"/>
      <c r="H5" s="32" t="inlineStr"/>
      <c r="I5" s="32" t="inlineStr"/>
      <c r="J5" s="33" t="inlineStr"/>
      <c r="K5" s="32" t="inlineStr"/>
      <c r="L5" s="32" t="inlineStr"/>
      <c r="M5" s="32" t="inlineStr"/>
    </row>
    <row r="6" ht="22" customHeight="1">
      <c r="B6" s="4" t="inlineStr">
        <is>
          <t>ADM/2024/0002</t>
        </is>
      </c>
      <c r="C6" s="5" t="inlineStr"/>
      <c r="D6" s="6" t="inlineStr"/>
      <c r="E6" s="6" t="inlineStr"/>
      <c r="F6" s="6" t="inlineStr"/>
      <c r="G6" s="6" t="inlineStr"/>
      <c r="H6" s="6" t="inlineStr"/>
      <c r="I6" s="6" t="inlineStr"/>
      <c r="J6" s="5" t="inlineStr"/>
      <c r="K6" s="6" t="inlineStr"/>
      <c r="L6" s="6" t="inlineStr"/>
      <c r="M6" s="6" t="inlineStr"/>
    </row>
    <row r="7" ht="22" customHeight="1">
      <c r="B7" s="55" t="inlineStr">
        <is>
          <t>ADM/2024/0003</t>
        </is>
      </c>
      <c r="C7" s="33" t="inlineStr"/>
      <c r="D7" s="32" t="inlineStr"/>
      <c r="E7" s="32" t="inlineStr"/>
      <c r="F7" s="32" t="inlineStr"/>
      <c r="G7" s="32" t="inlineStr"/>
      <c r="H7" s="32" t="inlineStr"/>
      <c r="I7" s="32" t="inlineStr"/>
      <c r="J7" s="33" t="inlineStr"/>
      <c r="K7" s="32" t="inlineStr"/>
      <c r="L7" s="32" t="inlineStr"/>
      <c r="M7" s="32" t="inlineStr"/>
    </row>
    <row r="8" ht="22" customHeight="1">
      <c r="B8" s="4" t="inlineStr">
        <is>
          <t>ADM/2024/0004</t>
        </is>
      </c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5" t="inlineStr"/>
      <c r="K8" s="6" t="inlineStr"/>
      <c r="L8" s="6" t="inlineStr"/>
      <c r="M8" s="6" t="inlineStr"/>
    </row>
    <row r="9" ht="22" customHeight="1">
      <c r="B9" s="55" t="inlineStr">
        <is>
          <t>ADM/2024/0005</t>
        </is>
      </c>
      <c r="C9" s="33" t="inlineStr"/>
      <c r="D9" s="32" t="inlineStr"/>
      <c r="E9" s="32" t="inlineStr"/>
      <c r="F9" s="32" t="inlineStr"/>
      <c r="G9" s="32" t="inlineStr"/>
      <c r="H9" s="32" t="inlineStr"/>
      <c r="I9" s="32" t="inlineStr"/>
      <c r="J9" s="33" t="inlineStr"/>
      <c r="K9" s="32" t="inlineStr"/>
      <c r="L9" s="32" t="inlineStr"/>
      <c r="M9" s="32" t="inlineStr"/>
    </row>
    <row r="10" ht="22" customHeight="1">
      <c r="B10" s="4" t="inlineStr">
        <is>
          <t>ADM/2024/0006</t>
        </is>
      </c>
      <c r="C10" s="5" t="inlineStr"/>
      <c r="D10" s="6" t="inlineStr"/>
      <c r="E10" s="6" t="inlineStr"/>
      <c r="F10" s="6" t="inlineStr"/>
      <c r="G10" s="6" t="inlineStr"/>
      <c r="H10" s="6" t="inlineStr"/>
      <c r="I10" s="6" t="inlineStr"/>
      <c r="J10" s="5" t="inlineStr"/>
      <c r="K10" s="6" t="inlineStr"/>
      <c r="L10" s="6" t="inlineStr"/>
      <c r="M10" s="6" t="inlineStr"/>
    </row>
    <row r="11" ht="22" customHeight="1">
      <c r="B11" s="55" t="inlineStr">
        <is>
          <t>ADM/2024/0007</t>
        </is>
      </c>
      <c r="C11" s="33" t="inlineStr"/>
      <c r="D11" s="32" t="inlineStr"/>
      <c r="E11" s="32" t="inlineStr"/>
      <c r="F11" s="32" t="inlineStr"/>
      <c r="G11" s="32" t="inlineStr"/>
      <c r="H11" s="32" t="inlineStr"/>
      <c r="I11" s="32" t="inlineStr"/>
      <c r="J11" s="33" t="inlineStr"/>
      <c r="K11" s="32" t="inlineStr"/>
      <c r="L11" s="32" t="inlineStr"/>
      <c r="M11" s="32" t="inlineStr"/>
    </row>
    <row r="12" ht="22" customHeight="1">
      <c r="B12" s="4" t="inlineStr">
        <is>
          <t>ADM/2024/0008</t>
        </is>
      </c>
      <c r="C12" s="5" t="inlineStr"/>
      <c r="D12" s="6" t="inlineStr"/>
      <c r="E12" s="6" t="inlineStr"/>
      <c r="F12" s="6" t="inlineStr"/>
      <c r="G12" s="6" t="inlineStr"/>
      <c r="H12" s="6" t="inlineStr"/>
      <c r="I12" s="6" t="inlineStr"/>
      <c r="J12" s="5" t="inlineStr"/>
      <c r="K12" s="6" t="inlineStr"/>
      <c r="L12" s="6" t="inlineStr"/>
      <c r="M12" s="6" t="inlineStr"/>
    </row>
    <row r="13" ht="22" customHeight="1">
      <c r="B13" s="55" t="inlineStr">
        <is>
          <t>ADM/2024/0009</t>
        </is>
      </c>
      <c r="C13" s="33" t="inlineStr"/>
      <c r="D13" s="32" t="inlineStr"/>
      <c r="E13" s="32" t="inlineStr"/>
      <c r="F13" s="32" t="inlineStr"/>
      <c r="G13" s="32" t="inlineStr"/>
      <c r="H13" s="32" t="inlineStr"/>
      <c r="I13" s="32" t="inlineStr"/>
      <c r="J13" s="33" t="inlineStr"/>
      <c r="K13" s="32" t="inlineStr"/>
      <c r="L13" s="32" t="inlineStr"/>
      <c r="M13" s="32" t="inlineStr"/>
    </row>
    <row r="14" ht="22" customHeight="1">
      <c r="B14" s="4" t="inlineStr">
        <is>
          <t>ADM/2024/0010</t>
        </is>
      </c>
      <c r="C14" s="5" t="inlineStr"/>
      <c r="D14" s="6" t="inlineStr"/>
      <c r="E14" s="6" t="inlineStr"/>
      <c r="F14" s="6" t="inlineStr"/>
      <c r="G14" s="6" t="inlineStr"/>
      <c r="H14" s="6" t="inlineStr"/>
      <c r="I14" s="6" t="inlineStr"/>
      <c r="J14" s="5" t="inlineStr"/>
      <c r="K14" s="6" t="inlineStr"/>
      <c r="L14" s="6" t="inlineStr"/>
      <c r="M14" s="6" t="inlineStr"/>
    </row>
    <row r="15" ht="22" customHeight="1">
      <c r="B15" s="55" t="inlineStr">
        <is>
          <t>ADM/2024/0011</t>
        </is>
      </c>
      <c r="C15" s="33" t="inlineStr"/>
      <c r="D15" s="32" t="inlineStr"/>
      <c r="E15" s="32" t="inlineStr"/>
      <c r="F15" s="32" t="inlineStr"/>
      <c r="G15" s="32" t="inlineStr"/>
      <c r="H15" s="32" t="inlineStr"/>
      <c r="I15" s="32" t="inlineStr"/>
      <c r="J15" s="33" t="inlineStr"/>
      <c r="K15" s="32" t="inlineStr"/>
      <c r="L15" s="32" t="inlineStr"/>
      <c r="M15" s="32" t="inlineStr"/>
    </row>
    <row r="16" ht="22" customHeight="1">
      <c r="B16" s="4" t="inlineStr">
        <is>
          <t>ADM/2024/0012</t>
        </is>
      </c>
      <c r="C16" s="5" t="inlineStr"/>
      <c r="D16" s="6" t="inlineStr"/>
      <c r="E16" s="6" t="inlineStr"/>
      <c r="F16" s="6" t="inlineStr"/>
      <c r="G16" s="6" t="inlineStr"/>
      <c r="H16" s="6" t="inlineStr"/>
      <c r="I16" s="6" t="inlineStr"/>
      <c r="J16" s="5" t="inlineStr"/>
      <c r="K16" s="6" t="inlineStr"/>
      <c r="L16" s="6" t="inlineStr"/>
      <c r="M16" s="6" t="inlineStr"/>
    </row>
    <row r="17" ht="22" customHeight="1">
      <c r="B17" s="55" t="inlineStr">
        <is>
          <t>ADM/2024/0013</t>
        </is>
      </c>
      <c r="C17" s="33" t="inlineStr"/>
      <c r="D17" s="32" t="inlineStr"/>
      <c r="E17" s="32" t="inlineStr"/>
      <c r="F17" s="32" t="inlineStr"/>
      <c r="G17" s="32" t="inlineStr"/>
      <c r="H17" s="32" t="inlineStr"/>
      <c r="I17" s="32" t="inlineStr"/>
      <c r="J17" s="33" t="inlineStr"/>
      <c r="K17" s="32" t="inlineStr"/>
      <c r="L17" s="32" t="inlineStr"/>
      <c r="M17" s="32" t="inlineStr"/>
    </row>
    <row r="18" ht="22" customHeight="1">
      <c r="B18" s="4" t="inlineStr">
        <is>
          <t>ADM/2024/0014</t>
        </is>
      </c>
      <c r="C18" s="5" t="inlineStr"/>
      <c r="D18" s="6" t="inlineStr"/>
      <c r="E18" s="6" t="inlineStr"/>
      <c r="F18" s="6" t="inlineStr"/>
      <c r="G18" s="6" t="inlineStr"/>
      <c r="H18" s="6" t="inlineStr"/>
      <c r="I18" s="6" t="inlineStr"/>
      <c r="J18" s="5" t="inlineStr"/>
      <c r="K18" s="6" t="inlineStr"/>
      <c r="L18" s="6" t="inlineStr"/>
      <c r="M18" s="6" t="inlineStr"/>
    </row>
    <row r="19" ht="22" customHeight="1">
      <c r="B19" s="55" t="inlineStr">
        <is>
          <t>ADM/2024/0015</t>
        </is>
      </c>
      <c r="C19" s="33" t="inlineStr"/>
      <c r="D19" s="32" t="inlineStr"/>
      <c r="E19" s="32" t="inlineStr"/>
      <c r="F19" s="32" t="inlineStr"/>
      <c r="G19" s="32" t="inlineStr"/>
      <c r="H19" s="32" t="inlineStr"/>
      <c r="I19" s="32" t="inlineStr"/>
      <c r="J19" s="33" t="inlineStr"/>
      <c r="K19" s="32" t="inlineStr"/>
      <c r="L19" s="32" t="inlineStr"/>
      <c r="M19" s="32" t="inlineStr"/>
    </row>
    <row r="20" ht="22" customHeight="1">
      <c r="B20" s="4" t="inlineStr">
        <is>
          <t>ADM/2024/0016</t>
        </is>
      </c>
      <c r="C20" s="5" t="inlineStr"/>
      <c r="D20" s="6" t="inlineStr"/>
      <c r="E20" s="6" t="inlineStr"/>
      <c r="F20" s="6" t="inlineStr"/>
      <c r="G20" s="6" t="inlineStr"/>
      <c r="H20" s="6" t="inlineStr"/>
      <c r="I20" s="6" t="inlineStr"/>
      <c r="J20" s="5" t="inlineStr"/>
      <c r="K20" s="6" t="inlineStr"/>
      <c r="L20" s="6" t="inlineStr"/>
      <c r="M20" s="6" t="inlineStr"/>
    </row>
    <row r="21" ht="22" customHeight="1">
      <c r="B21" s="55" t="inlineStr">
        <is>
          <t>ADM/2024/0017</t>
        </is>
      </c>
      <c r="C21" s="33" t="inlineStr"/>
      <c r="D21" s="32" t="inlineStr"/>
      <c r="E21" s="32" t="inlineStr"/>
      <c r="F21" s="32" t="inlineStr"/>
      <c r="G21" s="32" t="inlineStr"/>
      <c r="H21" s="32" t="inlineStr"/>
      <c r="I21" s="32" t="inlineStr"/>
      <c r="J21" s="33" t="inlineStr"/>
      <c r="K21" s="32" t="inlineStr"/>
      <c r="L21" s="32" t="inlineStr"/>
      <c r="M21" s="32" t="inlineStr"/>
    </row>
    <row r="22" ht="22" customHeight="1">
      <c r="B22" s="4" t="inlineStr">
        <is>
          <t>ADM/2024/0018</t>
        </is>
      </c>
      <c r="C22" s="5" t="inlineStr"/>
      <c r="D22" s="6" t="inlineStr"/>
      <c r="E22" s="6" t="inlineStr"/>
      <c r="F22" s="6" t="inlineStr"/>
      <c r="G22" s="6" t="inlineStr"/>
      <c r="H22" s="6" t="inlineStr"/>
      <c r="I22" s="6" t="inlineStr"/>
      <c r="J22" s="5" t="inlineStr"/>
      <c r="K22" s="6" t="inlineStr"/>
      <c r="L22" s="6" t="inlineStr"/>
      <c r="M22" s="6" t="inlineStr"/>
    </row>
    <row r="23" ht="22" customHeight="1">
      <c r="B23" s="55" t="inlineStr">
        <is>
          <t>ADM/2024/0019</t>
        </is>
      </c>
      <c r="C23" s="33" t="inlineStr"/>
      <c r="D23" s="32" t="inlineStr"/>
      <c r="E23" s="32" t="inlineStr"/>
      <c r="F23" s="32" t="inlineStr"/>
      <c r="G23" s="32" t="inlineStr"/>
      <c r="H23" s="32" t="inlineStr"/>
      <c r="I23" s="32" t="inlineStr"/>
      <c r="J23" s="33" t="inlineStr"/>
      <c r="K23" s="32" t="inlineStr"/>
      <c r="L23" s="32" t="inlineStr"/>
      <c r="M23" s="32" t="inlineStr"/>
    </row>
    <row r="24" ht="22" customHeight="1">
      <c r="B24" s="4" t="inlineStr">
        <is>
          <t>ADM/2024/0020</t>
        </is>
      </c>
      <c r="C24" s="5" t="inlineStr"/>
      <c r="D24" s="6" t="inlineStr"/>
      <c r="E24" s="6" t="inlineStr"/>
      <c r="F24" s="6" t="inlineStr"/>
      <c r="G24" s="6" t="inlineStr"/>
      <c r="H24" s="6" t="inlineStr"/>
      <c r="I24" s="6" t="inlineStr"/>
      <c r="J24" s="5" t="inlineStr"/>
      <c r="K24" s="6" t="inlineStr"/>
      <c r="L24" s="6" t="inlineStr"/>
      <c r="M24" s="6" t="inlineStr"/>
    </row>
    <row r="25" ht="22" customHeight="1">
      <c r="B25" s="55" t="inlineStr">
        <is>
          <t>ADM/2024/0021</t>
        </is>
      </c>
      <c r="C25" s="33" t="inlineStr"/>
      <c r="D25" s="32" t="inlineStr"/>
      <c r="E25" s="32" t="inlineStr"/>
      <c r="F25" s="32" t="inlineStr"/>
      <c r="G25" s="32" t="inlineStr"/>
      <c r="H25" s="32" t="inlineStr"/>
      <c r="I25" s="32" t="inlineStr"/>
      <c r="J25" s="33" t="inlineStr"/>
      <c r="K25" s="32" t="inlineStr"/>
      <c r="L25" s="32" t="inlineStr"/>
      <c r="M25" s="32" t="inlineStr"/>
    </row>
    <row r="26" ht="22" customHeight="1">
      <c r="B26" s="4" t="inlineStr">
        <is>
          <t>ADM/2024/0022</t>
        </is>
      </c>
      <c r="C26" s="5" t="inlineStr"/>
      <c r="D26" s="6" t="inlineStr"/>
      <c r="E26" s="6" t="inlineStr"/>
      <c r="F26" s="6" t="inlineStr"/>
      <c r="G26" s="6" t="inlineStr"/>
      <c r="H26" s="6" t="inlineStr"/>
      <c r="I26" s="6" t="inlineStr"/>
      <c r="J26" s="5" t="inlineStr"/>
      <c r="K26" s="6" t="inlineStr"/>
      <c r="L26" s="6" t="inlineStr"/>
      <c r="M26" s="6" t="inlineStr"/>
    </row>
    <row r="27" ht="22" customHeight="1">
      <c r="B27" s="55" t="inlineStr">
        <is>
          <t>ADM/2024/0023</t>
        </is>
      </c>
      <c r="C27" s="33" t="inlineStr"/>
      <c r="D27" s="32" t="inlineStr"/>
      <c r="E27" s="32" t="inlineStr"/>
      <c r="F27" s="32" t="inlineStr"/>
      <c r="G27" s="32" t="inlineStr"/>
      <c r="H27" s="32" t="inlineStr"/>
      <c r="I27" s="32" t="inlineStr"/>
      <c r="J27" s="33" t="inlineStr"/>
      <c r="K27" s="32" t="inlineStr"/>
      <c r="L27" s="32" t="inlineStr"/>
      <c r="M27" s="32" t="inlineStr"/>
    </row>
    <row r="28" ht="22" customHeight="1">
      <c r="B28" s="4" t="inlineStr">
        <is>
          <t>ADM/2024/0024</t>
        </is>
      </c>
      <c r="C28" s="5" t="inlineStr"/>
      <c r="D28" s="6" t="inlineStr"/>
      <c r="E28" s="6" t="inlineStr"/>
      <c r="F28" s="6" t="inlineStr"/>
      <c r="G28" s="6" t="inlineStr"/>
      <c r="H28" s="6" t="inlineStr"/>
      <c r="I28" s="6" t="inlineStr"/>
      <c r="J28" s="5" t="inlineStr"/>
      <c r="K28" s="6" t="inlineStr"/>
      <c r="L28" s="6" t="inlineStr"/>
      <c r="M28" s="6" t="inlineStr"/>
    </row>
    <row r="29" ht="22" customHeight="1">
      <c r="B29" s="55" t="inlineStr">
        <is>
          <t>ADM/2024/0025</t>
        </is>
      </c>
      <c r="C29" s="33" t="inlineStr"/>
      <c r="D29" s="32" t="inlineStr"/>
      <c r="E29" s="32" t="inlineStr"/>
      <c r="F29" s="32" t="inlineStr"/>
      <c r="G29" s="32" t="inlineStr"/>
      <c r="H29" s="32" t="inlineStr"/>
      <c r="I29" s="32" t="inlineStr"/>
      <c r="J29" s="33" t="inlineStr"/>
      <c r="K29" s="32" t="inlineStr"/>
      <c r="L29" s="32" t="inlineStr"/>
      <c r="M29" s="32" t="inlineStr"/>
    </row>
    <row r="30" ht="22" customHeight="1">
      <c r="B30" s="4" t="inlineStr">
        <is>
          <t>ADM/2024/0026</t>
        </is>
      </c>
      <c r="C30" s="5" t="inlineStr"/>
      <c r="D30" s="6" t="inlineStr"/>
      <c r="E30" s="6" t="inlineStr"/>
      <c r="F30" s="6" t="inlineStr"/>
      <c r="G30" s="6" t="inlineStr"/>
      <c r="H30" s="6" t="inlineStr"/>
      <c r="I30" s="6" t="inlineStr"/>
      <c r="J30" s="5" t="inlineStr"/>
      <c r="K30" s="6" t="inlineStr"/>
      <c r="L30" s="6" t="inlineStr"/>
      <c r="M30" s="6" t="inlineStr"/>
    </row>
    <row r="31" ht="22" customHeight="1">
      <c r="B31" s="55" t="inlineStr">
        <is>
          <t>ADM/2024/0027</t>
        </is>
      </c>
      <c r="C31" s="33" t="inlineStr"/>
      <c r="D31" s="32" t="inlineStr"/>
      <c r="E31" s="32" t="inlineStr"/>
      <c r="F31" s="32" t="inlineStr"/>
      <c r="G31" s="32" t="inlineStr"/>
      <c r="H31" s="32" t="inlineStr"/>
      <c r="I31" s="32" t="inlineStr"/>
      <c r="J31" s="33" t="inlineStr"/>
      <c r="K31" s="32" t="inlineStr"/>
      <c r="L31" s="32" t="inlineStr"/>
      <c r="M31" s="32" t="inlineStr"/>
    </row>
    <row r="32" ht="22" customHeight="1">
      <c r="B32" s="4" t="inlineStr">
        <is>
          <t>ADM/2024/0028</t>
        </is>
      </c>
      <c r="C32" s="5" t="inlineStr"/>
      <c r="D32" s="6" t="inlineStr"/>
      <c r="E32" s="6" t="inlineStr"/>
      <c r="F32" s="6" t="inlineStr"/>
      <c r="G32" s="6" t="inlineStr"/>
      <c r="H32" s="6" t="inlineStr"/>
      <c r="I32" s="6" t="inlineStr"/>
      <c r="J32" s="5" t="inlineStr"/>
      <c r="K32" s="6" t="inlineStr"/>
      <c r="L32" s="6" t="inlineStr"/>
      <c r="M32" s="6" t="inlineStr"/>
    </row>
    <row r="33" ht="22" customHeight="1">
      <c r="B33" s="55" t="inlineStr">
        <is>
          <t>ADM/2024/0029</t>
        </is>
      </c>
      <c r="C33" s="33" t="inlineStr"/>
      <c r="D33" s="32" t="inlineStr"/>
      <c r="E33" s="32" t="inlineStr"/>
      <c r="F33" s="32" t="inlineStr"/>
      <c r="G33" s="32" t="inlineStr"/>
      <c r="H33" s="32" t="inlineStr"/>
      <c r="I33" s="32" t="inlineStr"/>
      <c r="J33" s="33" t="inlineStr"/>
      <c r="K33" s="32" t="inlineStr"/>
      <c r="L33" s="32" t="inlineStr"/>
      <c r="M33" s="32" t="inlineStr"/>
    </row>
    <row r="34" ht="22" customHeight="1">
      <c r="B34" s="4" t="inlineStr">
        <is>
          <t>ADM/2024/0030</t>
        </is>
      </c>
      <c r="C34" s="5" t="inlineStr"/>
      <c r="D34" s="6" t="inlineStr"/>
      <c r="E34" s="6" t="inlineStr"/>
      <c r="F34" s="6" t="inlineStr"/>
      <c r="G34" s="6" t="inlineStr"/>
      <c r="H34" s="6" t="inlineStr"/>
      <c r="I34" s="6" t="inlineStr"/>
      <c r="J34" s="5" t="inlineStr"/>
      <c r="K34" s="6" t="inlineStr"/>
      <c r="L34" s="6" t="inlineStr"/>
      <c r="M34" s="6" t="inlineStr"/>
    </row>
    <row r="35" ht="22" customHeight="1"/>
    <row r="36" ht="24" customHeight="1">
      <c r="B36" s="21" t="inlineStr">
        <is>
          <t>DEMOGRAPHIC SUMMARY</t>
        </is>
      </c>
    </row>
    <row r="37" ht="22" customHeight="1">
      <c r="B37" s="22" t="inlineStr">
        <is>
          <t>Metric</t>
        </is>
      </c>
      <c r="C37" s="22" t="inlineStr">
        <is>
          <t>Male</t>
        </is>
      </c>
      <c r="D37" s="22" t="inlineStr">
        <is>
          <t>Female</t>
        </is>
      </c>
      <c r="E37" s="22" t="inlineStr">
        <is>
          <t>Transgender</t>
        </is>
      </c>
      <c r="F37" s="22" t="inlineStr">
        <is>
          <t>Total</t>
        </is>
      </c>
      <c r="G37" s="22" t="inlineStr">
        <is>
          <t>General</t>
        </is>
      </c>
      <c r="H37" s="22" t="inlineStr">
        <is>
          <t>OBC</t>
        </is>
      </c>
      <c r="I37" s="22" t="inlineStr">
        <is>
          <t>SC</t>
        </is>
      </c>
      <c r="J37" s="22" t="inlineStr">
        <is>
          <t>ST</t>
        </is>
      </c>
      <c r="K37" s="22" t="inlineStr">
        <is>
          <t>EWS</t>
        </is>
      </c>
      <c r="L37" s="22" t="inlineStr">
        <is>
          <t>PH</t>
        </is>
      </c>
      <c r="M37" s="22" t="inlineStr">
        <is>
          <t>Remarks</t>
        </is>
      </c>
    </row>
    <row r="38" ht="22" customHeight="1">
      <c r="B38" s="27" t="inlineStr">
        <is>
          <t>Total Admitted</t>
        </is>
      </c>
      <c r="C38" s="24" t="inlineStr"/>
      <c r="D38" s="24" t="inlineStr"/>
      <c r="E38" s="24" t="inlineStr"/>
      <c r="F38" s="24">
        <f>IFERROR(SUM(C38:E38),"")</f>
        <v/>
      </c>
      <c r="G38" s="24" t="inlineStr"/>
      <c r="H38" s="24" t="inlineStr"/>
      <c r="I38" s="24" t="inlineStr"/>
      <c r="J38" s="24" t="inlineStr"/>
      <c r="K38" s="24" t="inlineStr"/>
      <c r="L38" s="24" t="inlineStr"/>
      <c r="M38" s="56" t="inlineStr"/>
    </row>
    <row r="39" ht="22" customHeight="1">
      <c r="B39" s="18" t="inlineStr">
        <is>
          <t>Day Scholars</t>
        </is>
      </c>
      <c r="C39" s="6" t="inlineStr"/>
      <c r="D39" s="6" t="inlineStr"/>
      <c r="E39" s="6" t="inlineStr"/>
      <c r="F39" s="6">
        <f>IFERROR(SUM(C39:E39),"")</f>
        <v/>
      </c>
      <c r="G39" s="6" t="inlineStr"/>
      <c r="H39" s="6" t="inlineStr"/>
      <c r="I39" s="6" t="inlineStr"/>
      <c r="J39" s="6" t="inlineStr"/>
      <c r="K39" s="6" t="inlineStr"/>
      <c r="L39" s="6" t="inlineStr"/>
      <c r="M39" s="5" t="inlineStr"/>
    </row>
    <row r="40">
      <c r="B40" s="27" t="inlineStr">
        <is>
          <t>Hostellers</t>
        </is>
      </c>
      <c r="C40" s="24" t="inlineStr"/>
      <c r="D40" s="24" t="inlineStr"/>
      <c r="E40" s="24" t="inlineStr"/>
      <c r="F40" s="24">
        <f>IFERROR(SUM(C40:E40),"")</f>
        <v/>
      </c>
      <c r="G40" s="24" t="inlineStr"/>
      <c r="H40" s="24" t="inlineStr"/>
      <c r="I40" s="24" t="inlineStr"/>
      <c r="J40" s="24" t="inlineStr"/>
      <c r="K40" s="24" t="inlineStr"/>
      <c r="L40" s="24" t="inlineStr"/>
      <c r="M40" s="56" t="inlineStr"/>
    </row>
    <row r="41">
      <c r="B41" s="18" t="inlineStr">
        <is>
          <t>From Same State</t>
        </is>
      </c>
      <c r="C41" s="6" t="inlineStr"/>
      <c r="D41" s="6" t="inlineStr"/>
      <c r="E41" s="6" t="inlineStr"/>
      <c r="F41" s="6">
        <f>IFERROR(SUM(C41:E41),"")</f>
        <v/>
      </c>
      <c r="G41" s="6" t="inlineStr"/>
      <c r="H41" s="6" t="inlineStr"/>
      <c r="I41" s="6" t="inlineStr"/>
      <c r="J41" s="6" t="inlineStr"/>
      <c r="K41" s="6" t="inlineStr"/>
      <c r="L41" s="6" t="inlineStr"/>
      <c r="M41" s="5" t="inlineStr"/>
    </row>
    <row r="42">
      <c r="B42" s="27" t="inlineStr">
        <is>
          <t>From Other States</t>
        </is>
      </c>
      <c r="C42" s="24" t="inlineStr"/>
      <c r="D42" s="24" t="inlineStr"/>
      <c r="E42" s="24" t="inlineStr"/>
      <c r="F42" s="24">
        <f>IFERROR(SUM(C42:E42),"")</f>
        <v/>
      </c>
      <c r="G42" s="24" t="inlineStr"/>
      <c r="H42" s="24" t="inlineStr"/>
      <c r="I42" s="24" t="inlineStr"/>
      <c r="J42" s="24" t="inlineStr"/>
      <c r="K42" s="24" t="inlineStr"/>
      <c r="L42" s="24" t="inlineStr"/>
      <c r="M42" s="56" t="inlineStr"/>
    </row>
  </sheetData>
  <mergeCells count="3">
    <mergeCell ref="B3:M3"/>
    <mergeCell ref="B2:M2"/>
    <mergeCell ref="B36:M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K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1" t="inlineStr">
        <is>
          <t>AD-09: CATEGORY &amp; RESERVATION COMPLIANCE REGISTER</t>
        </is>
      </c>
    </row>
    <row r="3" ht="25" customHeight="1">
      <c r="B3" s="2" t="inlineStr">
        <is>
          <t>A.Y.: _______  Programme-wise  Admissions Officer: ___________________  Date: _______</t>
        </is>
      </c>
    </row>
    <row r="4" ht="30" customHeight="1">
      <c r="B4" s="36" t="inlineStr">
        <is>
          <t>Programme</t>
        </is>
      </c>
      <c r="C4" s="36" t="inlineStr">
        <is>
          <t>Total
Intake</t>
        </is>
      </c>
      <c r="D4" s="36" t="inlineStr">
        <is>
          <t>Gen
Seats</t>
        </is>
      </c>
      <c r="E4" s="36" t="inlineStr">
        <is>
          <t>OBC
Seats</t>
        </is>
      </c>
      <c r="F4" s="36" t="inlineStr">
        <is>
          <t>SC
Seats</t>
        </is>
      </c>
      <c r="G4" s="36" t="inlineStr">
        <is>
          <t>ST
Seats</t>
        </is>
      </c>
      <c r="H4" s="36" t="inlineStr">
        <is>
          <t>EWS
Seats</t>
        </is>
      </c>
      <c r="I4" s="36" t="inlineStr">
        <is>
          <t>PH
(Horiz.)</t>
        </is>
      </c>
      <c r="J4" s="36" t="inlineStr">
        <is>
          <t>Filled
(Total)</t>
        </is>
      </c>
      <c r="K4" s="36" t="inlineStr">
        <is>
          <t>Vacant
Seats</t>
        </is>
      </c>
    </row>
    <row r="5" ht="22" customHeight="1">
      <c r="B5" s="57" t="inlineStr">
        <is>
          <t>B.E. CSE</t>
        </is>
      </c>
      <c r="C5" s="39" t="inlineStr"/>
      <c r="D5" s="39" t="inlineStr"/>
      <c r="E5" s="39" t="inlineStr"/>
      <c r="F5" s="39" t="inlineStr"/>
      <c r="G5" s="39" t="inlineStr"/>
      <c r="H5" s="39" t="inlineStr"/>
      <c r="I5" s="39" t="inlineStr"/>
      <c r="J5" s="39">
        <f>IFERROR(SUM(D5:I5),"")</f>
        <v/>
      </c>
      <c r="K5" s="39">
        <f>IFERROR(C5-J5,"")</f>
        <v/>
      </c>
    </row>
    <row r="6" ht="22" customHeight="1">
      <c r="B6" s="18" t="inlineStr">
        <is>
          <t>B.E. ECE</t>
        </is>
      </c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>
        <f>IFERROR(SUM(D6:I6),"")</f>
        <v/>
      </c>
      <c r="K6" s="6">
        <f>IFERROR(C6-J6,"")</f>
        <v/>
      </c>
    </row>
    <row r="7" ht="22" customHeight="1">
      <c r="B7" s="57" t="inlineStr">
        <is>
          <t>B.E. EEE</t>
        </is>
      </c>
      <c r="C7" s="39" t="inlineStr"/>
      <c r="D7" s="39" t="inlineStr"/>
      <c r="E7" s="39" t="inlineStr"/>
      <c r="F7" s="39" t="inlineStr"/>
      <c r="G7" s="39" t="inlineStr"/>
      <c r="H7" s="39" t="inlineStr"/>
      <c r="I7" s="39" t="inlineStr"/>
      <c r="J7" s="39">
        <f>IFERROR(SUM(D7:I7),"")</f>
        <v/>
      </c>
      <c r="K7" s="39">
        <f>IFERROR(C7-J7,"")</f>
        <v/>
      </c>
    </row>
    <row r="8" ht="22" customHeight="1">
      <c r="B8" s="18" t="inlineStr">
        <is>
          <t>B.E. MECH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>
        <f>IFERROR(SUM(D8:I8),"")</f>
        <v/>
      </c>
      <c r="K8" s="6">
        <f>IFERROR(C8-J8,"")</f>
        <v/>
      </c>
    </row>
    <row r="9" ht="22" customHeight="1">
      <c r="B9" s="57" t="inlineStr">
        <is>
          <t>B.E. CIVIL</t>
        </is>
      </c>
      <c r="C9" s="39" t="inlineStr"/>
      <c r="D9" s="39" t="inlineStr"/>
      <c r="E9" s="39" t="inlineStr"/>
      <c r="F9" s="39" t="inlineStr"/>
      <c r="G9" s="39" t="inlineStr"/>
      <c r="H9" s="39" t="inlineStr"/>
      <c r="I9" s="39" t="inlineStr"/>
      <c r="J9" s="39">
        <f>IFERROR(SUM(D9:I9),"")</f>
        <v/>
      </c>
      <c r="K9" s="39">
        <f>IFERROR(C9-J9,"")</f>
        <v/>
      </c>
    </row>
    <row r="10" ht="22" customHeight="1">
      <c r="B10" s="18" t="inlineStr">
        <is>
          <t>M.E./M.Tech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>
        <f>IFERROR(SUM(D10:I10),"")</f>
        <v/>
      </c>
      <c r="K10" s="6">
        <f>IFERROR(C10-J10,"")</f>
        <v/>
      </c>
    </row>
    <row r="11" ht="22" customHeight="1">
      <c r="B11" s="57" t="inlineStr">
        <is>
          <t>MBA</t>
        </is>
      </c>
      <c r="C11" s="39" t="inlineStr"/>
      <c r="D11" s="39" t="inlineStr"/>
      <c r="E11" s="39" t="inlineStr"/>
      <c r="F11" s="39" t="inlineStr"/>
      <c r="G11" s="39" t="inlineStr"/>
      <c r="H11" s="39" t="inlineStr"/>
      <c r="I11" s="39" t="inlineStr"/>
      <c r="J11" s="39">
        <f>IFERROR(SUM(D11:I11),"")</f>
        <v/>
      </c>
      <c r="K11" s="39">
        <f>IFERROR(C11-J11,"")</f>
        <v/>
      </c>
    </row>
    <row r="12" ht="22" customHeight="1">
      <c r="B12" s="18" t="inlineStr">
        <is>
          <t>MCA</t>
        </is>
      </c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>
        <f>IFERROR(SUM(D12:I12),"")</f>
        <v/>
      </c>
      <c r="K12" s="6">
        <f>IFERROR(C12-J12,"")</f>
        <v/>
      </c>
    </row>
    <row r="13" ht="22" customHeight="1">
      <c r="B13" s="57" t="inlineStr">
        <is>
          <t>B.Sc.</t>
        </is>
      </c>
      <c r="C13" s="39" t="inlineStr"/>
      <c r="D13" s="39" t="inlineStr"/>
      <c r="E13" s="39" t="inlineStr"/>
      <c r="F13" s="39" t="inlineStr"/>
      <c r="G13" s="39" t="inlineStr"/>
      <c r="H13" s="39" t="inlineStr"/>
      <c r="I13" s="39" t="inlineStr"/>
      <c r="J13" s="39">
        <f>IFERROR(SUM(D13:I13),"")</f>
        <v/>
      </c>
      <c r="K13" s="39">
        <f>IFERROR(C13-J13,"")</f>
        <v/>
      </c>
    </row>
    <row r="14" ht="22" customHeight="1">
      <c r="B14" s="18" t="inlineStr">
        <is>
          <t>B.Com.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>
        <f>IFERROR(SUM(D14:I14),"")</f>
        <v/>
      </c>
      <c r="K14" s="6">
        <f>IFERROR(C14-J14,"")</f>
        <v/>
      </c>
    </row>
    <row r="15" ht="22" customHeight="1">
      <c r="B15" s="57" t="inlineStr">
        <is>
          <t>B.A.</t>
        </is>
      </c>
      <c r="C15" s="39" t="inlineStr"/>
      <c r="D15" s="39" t="inlineStr"/>
      <c r="E15" s="39" t="inlineStr"/>
      <c r="F15" s="39" t="inlineStr"/>
      <c r="G15" s="39" t="inlineStr"/>
      <c r="H15" s="39" t="inlineStr"/>
      <c r="I15" s="39" t="inlineStr"/>
      <c r="J15" s="39">
        <f>IFERROR(SUM(D15:I15),"")</f>
        <v/>
      </c>
      <c r="K15" s="39">
        <f>IFERROR(C15-J15,"")</f>
        <v/>
      </c>
    </row>
    <row r="16" ht="22" customHeight="1">
      <c r="B16" s="58" t="inlineStr">
        <is>
          <t>INSTITUTION TOTAL</t>
        </is>
      </c>
      <c r="C16" s="20">
        <f>IFERROR(SUM(C5:C15),"")</f>
        <v/>
      </c>
      <c r="D16" s="20">
        <f>IFERROR(SUM(D5:D15),"")</f>
        <v/>
      </c>
      <c r="E16" s="20">
        <f>IFERROR(SUM(E5:E15),"")</f>
        <v/>
      </c>
      <c r="F16" s="20">
        <f>IFERROR(SUM(F5:F15),"")</f>
        <v/>
      </c>
      <c r="G16" s="20">
        <f>IFERROR(SUM(G5:G15),"")</f>
        <v/>
      </c>
      <c r="H16" s="20">
        <f>IFERROR(SUM(H5:H15),"")</f>
        <v/>
      </c>
      <c r="I16" s="20">
        <f>IFERROR(SUM(I5:I15),"")</f>
        <v/>
      </c>
      <c r="J16" s="20">
        <f>IFERROR(SUM(J5:J15),"")</f>
        <v/>
      </c>
      <c r="K16" s="20">
        <f>IFERROR(SUM(K5:K15),"")</f>
        <v/>
      </c>
    </row>
    <row r="17" ht="22" customHeight="1"/>
    <row r="18" ht="24" customHeight="1">
      <c r="B18" s="21" t="inlineStr">
        <is>
          <t>RESERVATION COMPLIANCE VERIFICATION</t>
        </is>
      </c>
    </row>
    <row r="19" ht="22" customHeight="1">
      <c r="B19" s="22" t="inlineStr">
        <is>
          <t>Category</t>
        </is>
      </c>
      <c r="C19" s="22" t="inlineStr">
        <is>
          <t>Mandated
%</t>
        </is>
      </c>
      <c r="D19" s="22" t="inlineStr">
        <is>
          <t>Mandated
Seats (of Total)</t>
        </is>
      </c>
      <c r="E19" s="22" t="inlineStr">
        <is>
          <t>Actual
Filled</t>
        </is>
      </c>
      <c r="F19" s="22" t="inlineStr">
        <is>
          <t>Actual
%</t>
        </is>
      </c>
      <c r="G19" s="22" t="inlineStr">
        <is>
          <t>Compliance
Status</t>
        </is>
      </c>
      <c r="H19" s="22" t="inlineStr">
        <is>
          <t>Shortfall
(if any)</t>
        </is>
      </c>
      <c r="I19" s="22" t="inlineStr">
        <is>
          <t>Reason for Shortfall</t>
        </is>
      </c>
    </row>
    <row r="20" ht="22" customHeight="1">
      <c r="B20" s="23" t="inlineStr">
        <is>
          <t>General / UR</t>
        </is>
      </c>
      <c r="C20" s="24" t="inlineStr">
        <is>
          <t>Remaining</t>
        </is>
      </c>
      <c r="D20" s="24" t="inlineStr"/>
      <c r="E20" s="24" t="inlineStr"/>
      <c r="F20" s="24">
        <f>IFERROR(ROUND(E20/E16*100,1),"")</f>
        <v/>
      </c>
      <c r="G20" s="24">
        <f>IFERROR(IF(F20&gt;=VALUE(LEFT(D20,FIND("%",D20)-1)),"Compliant","Non-Compliant"),"")</f>
        <v/>
      </c>
      <c r="H20" s="24">
        <f>IFERROR(MAX(0,D20-E20),"")</f>
        <v/>
      </c>
      <c r="I20" s="56" t="inlineStr"/>
      <c r="J20" s="25" t="n"/>
      <c r="K20" s="25" t="n"/>
    </row>
    <row r="21" ht="22" customHeight="1">
      <c r="B21" s="4" t="inlineStr">
        <is>
          <t>OBC</t>
        </is>
      </c>
      <c r="C21" s="6" t="inlineStr">
        <is>
          <t>27%</t>
        </is>
      </c>
      <c r="D21" s="6" t="inlineStr"/>
      <c r="E21" s="6" t="inlineStr"/>
      <c r="F21" s="6">
        <f>IFERROR(ROUND(E21/E16*100,1),"")</f>
        <v/>
      </c>
      <c r="G21" s="6">
        <f>IFERROR(IF(F21&gt;=VALUE(LEFT(D21,FIND("%",D21)-1)),"Compliant","Non-Compliant"),"")</f>
        <v/>
      </c>
      <c r="H21" s="6">
        <f>IFERROR(MAX(0,D21-E21),"")</f>
        <v/>
      </c>
      <c r="I21" s="5" t="inlineStr"/>
      <c r="J21" s="26" t="n"/>
      <c r="K21" s="26" t="n"/>
    </row>
    <row r="22" ht="22" customHeight="1">
      <c r="B22" s="23" t="inlineStr">
        <is>
          <t>SC</t>
        </is>
      </c>
      <c r="C22" s="24" t="inlineStr">
        <is>
          <t>15%</t>
        </is>
      </c>
      <c r="D22" s="24" t="inlineStr"/>
      <c r="E22" s="24" t="inlineStr"/>
      <c r="F22" s="24">
        <f>IFERROR(ROUND(E22/E16*100,1),"")</f>
        <v/>
      </c>
      <c r="G22" s="24">
        <f>IFERROR(IF(F22&gt;=VALUE(LEFT(D22,FIND("%",D22)-1)),"Compliant","Non-Compliant"),"")</f>
        <v/>
      </c>
      <c r="H22" s="24">
        <f>IFERROR(MAX(0,D22-E22),"")</f>
        <v/>
      </c>
      <c r="I22" s="56" t="inlineStr"/>
      <c r="J22" s="25" t="n"/>
      <c r="K22" s="25" t="n"/>
    </row>
    <row r="23" ht="22" customHeight="1">
      <c r="B23" s="4" t="inlineStr">
        <is>
          <t>ST</t>
        </is>
      </c>
      <c r="C23" s="6" t="inlineStr">
        <is>
          <t>7.5%</t>
        </is>
      </c>
      <c r="D23" s="6" t="inlineStr"/>
      <c r="E23" s="6" t="inlineStr"/>
      <c r="F23" s="6">
        <f>IFERROR(ROUND(E23/E16*100,1),"")</f>
        <v/>
      </c>
      <c r="G23" s="6">
        <f>IFERROR(IF(F23&gt;=VALUE(LEFT(D23,FIND("%",D23)-1)),"Compliant","Non-Compliant"),"")</f>
        <v/>
      </c>
      <c r="H23" s="6">
        <f>IFERROR(MAX(0,D23-E23),"")</f>
        <v/>
      </c>
      <c r="I23" s="5" t="inlineStr"/>
      <c r="J23" s="26" t="n"/>
      <c r="K23" s="26" t="n"/>
    </row>
    <row r="24" ht="22" customHeight="1">
      <c r="B24" s="23" t="inlineStr">
        <is>
          <t>EWS</t>
        </is>
      </c>
      <c r="C24" s="24" t="inlineStr">
        <is>
          <t>10%</t>
        </is>
      </c>
      <c r="D24" s="24" t="inlineStr"/>
      <c r="E24" s="24" t="inlineStr"/>
      <c r="F24" s="24">
        <f>IFERROR(ROUND(E24/E16*100,1),"")</f>
        <v/>
      </c>
      <c r="G24" s="24">
        <f>IFERROR(IF(F24&gt;=VALUE(LEFT(D24,FIND("%",D24)-1)),"Compliant","Non-Compliant"),"")</f>
        <v/>
      </c>
      <c r="H24" s="24">
        <f>IFERROR(MAX(0,D24-E24),"")</f>
        <v/>
      </c>
      <c r="I24" s="56" t="inlineStr"/>
      <c r="J24" s="25" t="n"/>
      <c r="K24" s="25" t="n"/>
    </row>
    <row r="25" ht="22" customHeight="1">
      <c r="B25" s="4" t="inlineStr">
        <is>
          <t>PH (Horizontal)</t>
        </is>
      </c>
      <c r="C25" s="6" t="inlineStr">
        <is>
          <t>5%</t>
        </is>
      </c>
      <c r="D25" s="6" t="inlineStr"/>
      <c r="E25" s="6" t="inlineStr"/>
      <c r="F25" s="6">
        <f>IFERROR(ROUND(E25/E16*100,1),"")</f>
        <v/>
      </c>
      <c r="G25" s="6">
        <f>IFERROR(IF(F25&gt;=VALUE(LEFT(D25,FIND("%",D25)-1)),"Compliant","Non-Compliant"),"")</f>
        <v/>
      </c>
      <c r="H25" s="6">
        <f>IFERROR(MAX(0,D25-E25),"")</f>
        <v/>
      </c>
      <c r="I25" s="5" t="inlineStr"/>
      <c r="J25" s="26" t="n"/>
      <c r="K25" s="26" t="n"/>
    </row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</sheetData>
  <mergeCells count="3">
    <mergeCell ref="B18:K18"/>
    <mergeCell ref="B3:K3"/>
    <mergeCell ref="B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K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3" customWidth="1" min="12" max="12"/>
  </cols>
  <sheetData>
    <row r="1" ht="10" customHeight="1"/>
    <row r="2" ht="48" customHeight="1">
      <c r="B2" s="11" t="inlineStr">
        <is>
          <t>AD-10: FEE COLLECTION &amp; CONCESSION REGISTER</t>
        </is>
      </c>
    </row>
    <row r="3" ht="25" customHeight="1">
      <c r="B3" s="2" t="inlineStr">
        <is>
          <t>Programme: ___________________  A.Y.: _______  Finance Officer: ___________________  Date: _______</t>
        </is>
      </c>
    </row>
    <row r="4" ht="30" customHeight="1">
      <c r="B4" s="59" t="inlineStr">
        <is>
          <t>Adm. No.</t>
        </is>
      </c>
      <c r="C4" s="59" t="inlineStr">
        <is>
          <t>Student Name</t>
        </is>
      </c>
      <c r="D4" s="59" t="inlineStr">
        <is>
          <t>Programme</t>
        </is>
      </c>
      <c r="E4" s="59" t="inlineStr">
        <is>
          <t>Total Fee
Payable (₹)</t>
        </is>
      </c>
      <c r="F4" s="59" t="inlineStr">
        <is>
          <t>Fee Paid
(₹)</t>
        </is>
      </c>
      <c r="G4" s="59" t="inlineStr">
        <is>
          <t>Concession
(₹)</t>
        </is>
      </c>
      <c r="H4" s="59" t="inlineStr">
        <is>
          <t>Scholarship
(₹)</t>
        </is>
      </c>
      <c r="I4" s="59" t="inlineStr">
        <is>
          <t>Balance Due
(₹)</t>
        </is>
      </c>
      <c r="J4" s="59" t="inlineStr">
        <is>
          <t>Receipt No.</t>
        </is>
      </c>
      <c r="K4" s="59" t="inlineStr">
        <is>
          <t>Mode of Payment</t>
        </is>
      </c>
    </row>
    <row r="5" ht="22" customHeight="1">
      <c r="B5" s="60" t="inlineStr">
        <is>
          <t>ADM/2024/0001</t>
        </is>
      </c>
      <c r="C5" s="61" t="inlineStr"/>
      <c r="D5" s="62" t="inlineStr"/>
      <c r="E5" s="62" t="inlineStr"/>
      <c r="F5" s="62" t="inlineStr"/>
      <c r="G5" s="62" t="inlineStr"/>
      <c r="H5" s="62" t="inlineStr"/>
      <c r="I5" s="62">
        <f>IFERROR(E5-F5-G5-H5,"")</f>
        <v/>
      </c>
      <c r="J5" s="62" t="inlineStr"/>
      <c r="K5" s="62" t="inlineStr"/>
    </row>
    <row r="6" ht="22" customHeight="1">
      <c r="B6" s="4" t="inlineStr">
        <is>
          <t>ADM/2024/0002</t>
        </is>
      </c>
      <c r="C6" s="5" t="inlineStr"/>
      <c r="D6" s="6" t="inlineStr"/>
      <c r="E6" s="6" t="inlineStr"/>
      <c r="F6" s="6" t="inlineStr"/>
      <c r="G6" s="6" t="inlineStr"/>
      <c r="H6" s="6" t="inlineStr"/>
      <c r="I6" s="6">
        <f>IFERROR(E6-F6-G6-H6,"")</f>
        <v/>
      </c>
      <c r="J6" s="6" t="inlineStr"/>
      <c r="K6" s="6" t="inlineStr"/>
    </row>
    <row r="7" ht="22" customHeight="1">
      <c r="B7" s="60" t="inlineStr">
        <is>
          <t>ADM/2024/0003</t>
        </is>
      </c>
      <c r="C7" s="61" t="inlineStr"/>
      <c r="D7" s="62" t="inlineStr"/>
      <c r="E7" s="62" t="inlineStr"/>
      <c r="F7" s="62" t="inlineStr"/>
      <c r="G7" s="62" t="inlineStr"/>
      <c r="H7" s="62" t="inlineStr"/>
      <c r="I7" s="62">
        <f>IFERROR(E7-F7-G7-H7,"")</f>
        <v/>
      </c>
      <c r="J7" s="62" t="inlineStr"/>
      <c r="K7" s="62" t="inlineStr"/>
    </row>
    <row r="8" ht="22" customHeight="1">
      <c r="B8" s="4" t="inlineStr">
        <is>
          <t>ADM/2024/0004</t>
        </is>
      </c>
      <c r="C8" s="5" t="inlineStr"/>
      <c r="D8" s="6" t="inlineStr"/>
      <c r="E8" s="6" t="inlineStr"/>
      <c r="F8" s="6" t="inlineStr"/>
      <c r="G8" s="6" t="inlineStr"/>
      <c r="H8" s="6" t="inlineStr"/>
      <c r="I8" s="6">
        <f>IFERROR(E8-F8-G8-H8,"")</f>
        <v/>
      </c>
      <c r="J8" s="6" t="inlineStr"/>
      <c r="K8" s="6" t="inlineStr"/>
    </row>
    <row r="9" ht="22" customHeight="1">
      <c r="B9" s="60" t="inlineStr">
        <is>
          <t>ADM/2024/0005</t>
        </is>
      </c>
      <c r="C9" s="61" t="inlineStr"/>
      <c r="D9" s="62" t="inlineStr"/>
      <c r="E9" s="62" t="inlineStr"/>
      <c r="F9" s="62" t="inlineStr"/>
      <c r="G9" s="62" t="inlineStr"/>
      <c r="H9" s="62" t="inlineStr"/>
      <c r="I9" s="62">
        <f>IFERROR(E9-F9-G9-H9,"")</f>
        <v/>
      </c>
      <c r="J9" s="62" t="inlineStr"/>
      <c r="K9" s="62" t="inlineStr"/>
    </row>
    <row r="10" ht="22" customHeight="1">
      <c r="B10" s="4" t="inlineStr">
        <is>
          <t>ADM/2024/0006</t>
        </is>
      </c>
      <c r="C10" s="5" t="inlineStr"/>
      <c r="D10" s="6" t="inlineStr"/>
      <c r="E10" s="6" t="inlineStr"/>
      <c r="F10" s="6" t="inlineStr"/>
      <c r="G10" s="6" t="inlineStr"/>
      <c r="H10" s="6" t="inlineStr"/>
      <c r="I10" s="6">
        <f>IFERROR(E10-F10-G10-H10,"")</f>
        <v/>
      </c>
      <c r="J10" s="6" t="inlineStr"/>
      <c r="K10" s="6" t="inlineStr"/>
    </row>
    <row r="11" ht="22" customHeight="1">
      <c r="B11" s="60" t="inlineStr">
        <is>
          <t>ADM/2024/0007</t>
        </is>
      </c>
      <c r="C11" s="61" t="inlineStr"/>
      <c r="D11" s="62" t="inlineStr"/>
      <c r="E11" s="62" t="inlineStr"/>
      <c r="F11" s="62" t="inlineStr"/>
      <c r="G11" s="62" t="inlineStr"/>
      <c r="H11" s="62" t="inlineStr"/>
      <c r="I11" s="62">
        <f>IFERROR(E11-F11-G11-H11,"")</f>
        <v/>
      </c>
      <c r="J11" s="62" t="inlineStr"/>
      <c r="K11" s="62" t="inlineStr"/>
    </row>
    <row r="12" ht="22" customHeight="1">
      <c r="B12" s="4" t="inlineStr">
        <is>
          <t>ADM/2024/0008</t>
        </is>
      </c>
      <c r="C12" s="5" t="inlineStr"/>
      <c r="D12" s="6" t="inlineStr"/>
      <c r="E12" s="6" t="inlineStr"/>
      <c r="F12" s="6" t="inlineStr"/>
      <c r="G12" s="6" t="inlineStr"/>
      <c r="H12" s="6" t="inlineStr"/>
      <c r="I12" s="6">
        <f>IFERROR(E12-F12-G12-H12,"")</f>
        <v/>
      </c>
      <c r="J12" s="6" t="inlineStr"/>
      <c r="K12" s="6" t="inlineStr"/>
    </row>
    <row r="13" ht="22" customHeight="1">
      <c r="B13" s="60" t="inlineStr">
        <is>
          <t>ADM/2024/0009</t>
        </is>
      </c>
      <c r="C13" s="61" t="inlineStr"/>
      <c r="D13" s="62" t="inlineStr"/>
      <c r="E13" s="62" t="inlineStr"/>
      <c r="F13" s="62" t="inlineStr"/>
      <c r="G13" s="62" t="inlineStr"/>
      <c r="H13" s="62" t="inlineStr"/>
      <c r="I13" s="62">
        <f>IFERROR(E13-F13-G13-H13,"")</f>
        <v/>
      </c>
      <c r="J13" s="62" t="inlineStr"/>
      <c r="K13" s="62" t="inlineStr"/>
    </row>
    <row r="14" ht="22" customHeight="1">
      <c r="B14" s="4" t="inlineStr">
        <is>
          <t>ADM/2024/0010</t>
        </is>
      </c>
      <c r="C14" s="5" t="inlineStr"/>
      <c r="D14" s="6" t="inlineStr"/>
      <c r="E14" s="6" t="inlineStr"/>
      <c r="F14" s="6" t="inlineStr"/>
      <c r="G14" s="6" t="inlineStr"/>
      <c r="H14" s="6" t="inlineStr"/>
      <c r="I14" s="6">
        <f>IFERROR(E14-F14-G14-H14,"")</f>
        <v/>
      </c>
      <c r="J14" s="6" t="inlineStr"/>
      <c r="K14" s="6" t="inlineStr"/>
    </row>
    <row r="15" ht="22" customHeight="1">
      <c r="B15" s="60" t="inlineStr">
        <is>
          <t>ADM/2024/0011</t>
        </is>
      </c>
      <c r="C15" s="61" t="inlineStr"/>
      <c r="D15" s="62" t="inlineStr"/>
      <c r="E15" s="62" t="inlineStr"/>
      <c r="F15" s="62" t="inlineStr"/>
      <c r="G15" s="62" t="inlineStr"/>
      <c r="H15" s="62" t="inlineStr"/>
      <c r="I15" s="62">
        <f>IFERROR(E15-F15-G15-H15,"")</f>
        <v/>
      </c>
      <c r="J15" s="62" t="inlineStr"/>
      <c r="K15" s="62" t="inlineStr"/>
    </row>
    <row r="16" ht="22" customHeight="1">
      <c r="B16" s="4" t="inlineStr">
        <is>
          <t>ADM/2024/0012</t>
        </is>
      </c>
      <c r="C16" s="5" t="inlineStr"/>
      <c r="D16" s="6" t="inlineStr"/>
      <c r="E16" s="6" t="inlineStr"/>
      <c r="F16" s="6" t="inlineStr"/>
      <c r="G16" s="6" t="inlineStr"/>
      <c r="H16" s="6" t="inlineStr"/>
      <c r="I16" s="6">
        <f>IFERROR(E16-F16-G16-H16,"")</f>
        <v/>
      </c>
      <c r="J16" s="6" t="inlineStr"/>
      <c r="K16" s="6" t="inlineStr"/>
    </row>
    <row r="17" ht="22" customHeight="1">
      <c r="B17" s="60" t="inlineStr">
        <is>
          <t>ADM/2024/0013</t>
        </is>
      </c>
      <c r="C17" s="61" t="inlineStr"/>
      <c r="D17" s="62" t="inlineStr"/>
      <c r="E17" s="62" t="inlineStr"/>
      <c r="F17" s="62" t="inlineStr"/>
      <c r="G17" s="62" t="inlineStr"/>
      <c r="H17" s="62" t="inlineStr"/>
      <c r="I17" s="62">
        <f>IFERROR(E17-F17-G17-H17,"")</f>
        <v/>
      </c>
      <c r="J17" s="62" t="inlineStr"/>
      <c r="K17" s="62" t="inlineStr"/>
    </row>
    <row r="18" ht="22" customHeight="1">
      <c r="B18" s="4" t="inlineStr">
        <is>
          <t>ADM/2024/0014</t>
        </is>
      </c>
      <c r="C18" s="5" t="inlineStr"/>
      <c r="D18" s="6" t="inlineStr"/>
      <c r="E18" s="6" t="inlineStr"/>
      <c r="F18" s="6" t="inlineStr"/>
      <c r="G18" s="6" t="inlineStr"/>
      <c r="H18" s="6" t="inlineStr"/>
      <c r="I18" s="6">
        <f>IFERROR(E18-F18-G18-H18,"")</f>
        <v/>
      </c>
      <c r="J18" s="6" t="inlineStr"/>
      <c r="K18" s="6" t="inlineStr"/>
    </row>
    <row r="19" ht="22" customHeight="1">
      <c r="B19" s="60" t="inlineStr">
        <is>
          <t>ADM/2024/0015</t>
        </is>
      </c>
      <c r="C19" s="61" t="inlineStr"/>
      <c r="D19" s="62" t="inlineStr"/>
      <c r="E19" s="62" t="inlineStr"/>
      <c r="F19" s="62" t="inlineStr"/>
      <c r="G19" s="62" t="inlineStr"/>
      <c r="H19" s="62" t="inlineStr"/>
      <c r="I19" s="62">
        <f>IFERROR(E19-F19-G19-H19,"")</f>
        <v/>
      </c>
      <c r="J19" s="62" t="inlineStr"/>
      <c r="K19" s="62" t="inlineStr"/>
    </row>
    <row r="20" ht="22" customHeight="1">
      <c r="B20" s="4" t="inlineStr">
        <is>
          <t>ADM/2024/0016</t>
        </is>
      </c>
      <c r="C20" s="5" t="inlineStr"/>
      <c r="D20" s="6" t="inlineStr"/>
      <c r="E20" s="6" t="inlineStr"/>
      <c r="F20" s="6" t="inlineStr"/>
      <c r="G20" s="6" t="inlineStr"/>
      <c r="H20" s="6" t="inlineStr"/>
      <c r="I20" s="6">
        <f>IFERROR(E20-F20-G20-H20,"")</f>
        <v/>
      </c>
      <c r="J20" s="6" t="inlineStr"/>
      <c r="K20" s="6" t="inlineStr"/>
    </row>
    <row r="21" ht="22" customHeight="1">
      <c r="B21" s="60" t="inlineStr">
        <is>
          <t>ADM/2024/0017</t>
        </is>
      </c>
      <c r="C21" s="61" t="inlineStr"/>
      <c r="D21" s="62" t="inlineStr"/>
      <c r="E21" s="62" t="inlineStr"/>
      <c r="F21" s="62" t="inlineStr"/>
      <c r="G21" s="62" t="inlineStr"/>
      <c r="H21" s="62" t="inlineStr"/>
      <c r="I21" s="62">
        <f>IFERROR(E21-F21-G21-H21,"")</f>
        <v/>
      </c>
      <c r="J21" s="62" t="inlineStr"/>
      <c r="K21" s="62" t="inlineStr"/>
    </row>
    <row r="22" ht="22" customHeight="1">
      <c r="B22" s="4" t="inlineStr">
        <is>
          <t>ADM/2024/0018</t>
        </is>
      </c>
      <c r="C22" s="5" t="inlineStr"/>
      <c r="D22" s="6" t="inlineStr"/>
      <c r="E22" s="6" t="inlineStr"/>
      <c r="F22" s="6" t="inlineStr"/>
      <c r="G22" s="6" t="inlineStr"/>
      <c r="H22" s="6" t="inlineStr"/>
      <c r="I22" s="6">
        <f>IFERROR(E22-F22-G22-H22,"")</f>
        <v/>
      </c>
      <c r="J22" s="6" t="inlineStr"/>
      <c r="K22" s="6" t="inlineStr"/>
    </row>
    <row r="23" ht="22" customHeight="1">
      <c r="B23" s="60" t="inlineStr">
        <is>
          <t>ADM/2024/0019</t>
        </is>
      </c>
      <c r="C23" s="61" t="inlineStr"/>
      <c r="D23" s="62" t="inlineStr"/>
      <c r="E23" s="62" t="inlineStr"/>
      <c r="F23" s="62" t="inlineStr"/>
      <c r="G23" s="62" t="inlineStr"/>
      <c r="H23" s="62" t="inlineStr"/>
      <c r="I23" s="62">
        <f>IFERROR(E23-F23-G23-H23,"")</f>
        <v/>
      </c>
      <c r="J23" s="62" t="inlineStr"/>
      <c r="K23" s="62" t="inlineStr"/>
    </row>
    <row r="24" ht="22" customHeight="1">
      <c r="B24" s="4" t="inlineStr">
        <is>
          <t>ADM/2024/0020</t>
        </is>
      </c>
      <c r="C24" s="5" t="inlineStr"/>
      <c r="D24" s="6" t="inlineStr"/>
      <c r="E24" s="6" t="inlineStr"/>
      <c r="F24" s="6" t="inlineStr"/>
      <c r="G24" s="6" t="inlineStr"/>
      <c r="H24" s="6" t="inlineStr"/>
      <c r="I24" s="6">
        <f>IFERROR(E24-F24-G24-H24,"")</f>
        <v/>
      </c>
      <c r="J24" s="6" t="inlineStr"/>
      <c r="K24" s="6" t="inlineStr"/>
    </row>
    <row r="25" ht="22" customHeight="1">
      <c r="B25" s="60" t="inlineStr">
        <is>
          <t>ADM/2024/0021</t>
        </is>
      </c>
      <c r="C25" s="61" t="inlineStr"/>
      <c r="D25" s="62" t="inlineStr"/>
      <c r="E25" s="62" t="inlineStr"/>
      <c r="F25" s="62" t="inlineStr"/>
      <c r="G25" s="62" t="inlineStr"/>
      <c r="H25" s="62" t="inlineStr"/>
      <c r="I25" s="62">
        <f>IFERROR(E25-F25-G25-H25,"")</f>
        <v/>
      </c>
      <c r="J25" s="62" t="inlineStr"/>
      <c r="K25" s="62" t="inlineStr"/>
    </row>
    <row r="26" ht="22" customHeight="1">
      <c r="B26" s="4" t="inlineStr">
        <is>
          <t>ADM/2024/0022</t>
        </is>
      </c>
      <c r="C26" s="5" t="inlineStr"/>
      <c r="D26" s="6" t="inlineStr"/>
      <c r="E26" s="6" t="inlineStr"/>
      <c r="F26" s="6" t="inlineStr"/>
      <c r="G26" s="6" t="inlineStr"/>
      <c r="H26" s="6" t="inlineStr"/>
      <c r="I26" s="6">
        <f>IFERROR(E26-F26-G26-H26,"")</f>
        <v/>
      </c>
      <c r="J26" s="6" t="inlineStr"/>
      <c r="K26" s="6" t="inlineStr"/>
    </row>
    <row r="27" ht="22" customHeight="1">
      <c r="B27" s="60" t="inlineStr">
        <is>
          <t>ADM/2024/0023</t>
        </is>
      </c>
      <c r="C27" s="61" t="inlineStr"/>
      <c r="D27" s="62" t="inlineStr"/>
      <c r="E27" s="62" t="inlineStr"/>
      <c r="F27" s="62" t="inlineStr"/>
      <c r="G27" s="62" t="inlineStr"/>
      <c r="H27" s="62" t="inlineStr"/>
      <c r="I27" s="62">
        <f>IFERROR(E27-F27-G27-H27,"")</f>
        <v/>
      </c>
      <c r="J27" s="62" t="inlineStr"/>
      <c r="K27" s="62" t="inlineStr"/>
    </row>
    <row r="28" ht="22" customHeight="1">
      <c r="B28" s="4" t="inlineStr">
        <is>
          <t>ADM/2024/0024</t>
        </is>
      </c>
      <c r="C28" s="5" t="inlineStr"/>
      <c r="D28" s="6" t="inlineStr"/>
      <c r="E28" s="6" t="inlineStr"/>
      <c r="F28" s="6" t="inlineStr"/>
      <c r="G28" s="6" t="inlineStr"/>
      <c r="H28" s="6" t="inlineStr"/>
      <c r="I28" s="6">
        <f>IFERROR(E28-F28-G28-H28,"")</f>
        <v/>
      </c>
      <c r="J28" s="6" t="inlineStr"/>
      <c r="K28" s="6" t="inlineStr"/>
    </row>
    <row r="29" ht="22" customHeight="1">
      <c r="B29" s="60" t="inlineStr">
        <is>
          <t>ADM/2024/0025</t>
        </is>
      </c>
      <c r="C29" s="61" t="inlineStr"/>
      <c r="D29" s="62" t="inlineStr"/>
      <c r="E29" s="62" t="inlineStr"/>
      <c r="F29" s="62" t="inlineStr"/>
      <c r="G29" s="62" t="inlineStr"/>
      <c r="H29" s="62" t="inlineStr"/>
      <c r="I29" s="62">
        <f>IFERROR(E29-F29-G29-H29,"")</f>
        <v/>
      </c>
      <c r="J29" s="62" t="inlineStr"/>
      <c r="K29" s="62" t="inlineStr"/>
    </row>
    <row r="30" ht="22" customHeight="1">
      <c r="B30" s="4" t="inlineStr">
        <is>
          <t>ADM/2024/0026</t>
        </is>
      </c>
      <c r="C30" s="5" t="inlineStr"/>
      <c r="D30" s="6" t="inlineStr"/>
      <c r="E30" s="6" t="inlineStr"/>
      <c r="F30" s="6" t="inlineStr"/>
      <c r="G30" s="6" t="inlineStr"/>
      <c r="H30" s="6" t="inlineStr"/>
      <c r="I30" s="6">
        <f>IFERROR(E30-F30-G30-H30,"")</f>
        <v/>
      </c>
      <c r="J30" s="6" t="inlineStr"/>
      <c r="K30" s="6" t="inlineStr"/>
    </row>
    <row r="31" ht="22" customHeight="1">
      <c r="B31" s="60" t="inlineStr">
        <is>
          <t>ADM/2024/0027</t>
        </is>
      </c>
      <c r="C31" s="61" t="inlineStr"/>
      <c r="D31" s="62" t="inlineStr"/>
      <c r="E31" s="62" t="inlineStr"/>
      <c r="F31" s="62" t="inlineStr"/>
      <c r="G31" s="62" t="inlineStr"/>
      <c r="H31" s="62" t="inlineStr"/>
      <c r="I31" s="62">
        <f>IFERROR(E31-F31-G31-H31,"")</f>
        <v/>
      </c>
      <c r="J31" s="62" t="inlineStr"/>
      <c r="K31" s="62" t="inlineStr"/>
    </row>
    <row r="32" ht="22" customHeight="1">
      <c r="B32" s="4" t="inlineStr">
        <is>
          <t>ADM/2024/0028</t>
        </is>
      </c>
      <c r="C32" s="5" t="inlineStr"/>
      <c r="D32" s="6" t="inlineStr"/>
      <c r="E32" s="6" t="inlineStr"/>
      <c r="F32" s="6" t="inlineStr"/>
      <c r="G32" s="6" t="inlineStr"/>
      <c r="H32" s="6" t="inlineStr"/>
      <c r="I32" s="6">
        <f>IFERROR(E32-F32-G32-H32,"")</f>
        <v/>
      </c>
      <c r="J32" s="6" t="inlineStr"/>
      <c r="K32" s="6" t="inlineStr"/>
    </row>
    <row r="33" ht="22" customHeight="1"/>
    <row r="34" ht="22" customHeight="1">
      <c r="B34" s="63" t="inlineStr">
        <is>
          <t>TOTAL</t>
        </is>
      </c>
      <c r="E34" s="64">
        <f>IFERROR(SUM(E5:E32),"")</f>
        <v/>
      </c>
      <c r="F34" s="64">
        <f>IFERROR(SUM(F5:F32),"")</f>
        <v/>
      </c>
      <c r="G34" s="64">
        <f>IFERROR(SUM(G5:G32),"")</f>
        <v/>
      </c>
      <c r="H34" s="64">
        <f>IFERROR(SUM(H5:H32),"")</f>
        <v/>
      </c>
      <c r="I34" s="64">
        <f>IFERROR(SUM(I5:I32),"")</f>
        <v/>
      </c>
      <c r="J34" s="65" t="n"/>
      <c r="K34" s="65" t="n"/>
    </row>
    <row r="35" ht="22" customHeight="1"/>
    <row r="36" ht="24" customHeight="1">
      <c r="B36" s="21" t="inlineStr">
        <is>
          <t>CONCESSION &amp; SCHOLARSHIP SUMMARY</t>
        </is>
      </c>
    </row>
    <row r="37" ht="22" customHeight="1">
      <c r="B37" s="22" t="inlineStr">
        <is>
          <t>Concession / Scholarship Type</t>
        </is>
      </c>
      <c r="C37" s="22" t="inlineStr">
        <is>
          <t>No. of Students</t>
        </is>
      </c>
      <c r="D37" s="22" t="inlineStr">
        <is>
          <t>Total Amount (₹)</t>
        </is>
      </c>
      <c r="E37" s="22" t="inlineStr">
        <is>
          <t>Authority</t>
        </is>
      </c>
      <c r="F37" s="22" t="inlineStr">
        <is>
          <t>Funded by</t>
        </is>
      </c>
      <c r="G37" s="22" t="inlineStr">
        <is>
          <t>% of Total Fee Collected</t>
        </is>
      </c>
    </row>
    <row r="38" ht="22" customHeight="1">
      <c r="B38" s="27" t="inlineStr">
        <is>
          <t>Management Concession</t>
        </is>
      </c>
      <c r="C38" s="24" t="inlineStr"/>
      <c r="D38" s="24" t="inlineStr"/>
      <c r="E38" s="24" t="inlineStr"/>
      <c r="F38" s="24" t="inlineStr"/>
      <c r="G38" s="24" t="inlineStr"/>
      <c r="H38" s="25" t="n"/>
      <c r="I38" s="25" t="n"/>
      <c r="J38" s="25" t="n"/>
      <c r="K38" s="25" t="n"/>
    </row>
    <row r="39" ht="22" customHeight="1">
      <c r="B39" s="18" t="inlineStr">
        <is>
          <t>SC/ST Fee Reimbursement</t>
        </is>
      </c>
      <c r="C39" s="6" t="inlineStr"/>
      <c r="D39" s="6" t="inlineStr"/>
      <c r="E39" s="6" t="inlineStr"/>
      <c r="F39" s="6" t="inlineStr"/>
      <c r="G39" s="6" t="inlineStr"/>
      <c r="H39" s="26" t="n"/>
      <c r="I39" s="26" t="n"/>
      <c r="J39" s="26" t="n"/>
      <c r="K39" s="26" t="n"/>
    </row>
    <row r="40">
      <c r="B40" s="27" t="inlineStr">
        <is>
          <t>EWS / BPL Concession</t>
        </is>
      </c>
      <c r="C40" s="24" t="inlineStr"/>
      <c r="D40" s="24" t="inlineStr"/>
      <c r="E40" s="24" t="inlineStr"/>
      <c r="F40" s="24" t="inlineStr"/>
      <c r="G40" s="24" t="inlineStr"/>
      <c r="H40" s="25" t="n"/>
      <c r="I40" s="25" t="n"/>
      <c r="J40" s="25" t="n"/>
      <c r="K40" s="25" t="n"/>
    </row>
    <row r="41">
      <c r="B41" s="18" t="inlineStr">
        <is>
          <t>Merit Scholarship</t>
        </is>
      </c>
      <c r="C41" s="6" t="inlineStr"/>
      <c r="D41" s="6" t="inlineStr"/>
      <c r="E41" s="6" t="inlineStr"/>
      <c r="F41" s="6" t="inlineStr"/>
      <c r="G41" s="6" t="inlineStr"/>
      <c r="H41" s="26" t="n"/>
      <c r="I41" s="26" t="n"/>
      <c r="J41" s="26" t="n"/>
      <c r="K41" s="26" t="n"/>
    </row>
    <row r="42">
      <c r="B42" s="27" t="inlineStr">
        <is>
          <t>Sports Quota Concession</t>
        </is>
      </c>
      <c r="C42" s="24" t="inlineStr"/>
      <c r="D42" s="24" t="inlineStr"/>
      <c r="E42" s="24" t="inlineStr"/>
      <c r="F42" s="24" t="inlineStr"/>
      <c r="G42" s="24" t="inlineStr"/>
      <c r="H42" s="25" t="n"/>
      <c r="I42" s="25" t="n"/>
      <c r="J42" s="25" t="n"/>
      <c r="K42" s="25" t="n"/>
    </row>
    <row r="43">
      <c r="B43" s="18" t="inlineStr">
        <is>
          <t>Alumni / Staff Ward Concession</t>
        </is>
      </c>
      <c r="C43" s="6" t="inlineStr"/>
      <c r="D43" s="6" t="inlineStr"/>
      <c r="E43" s="6" t="inlineStr"/>
      <c r="F43" s="6" t="inlineStr"/>
      <c r="G43" s="6" t="inlineStr"/>
      <c r="H43" s="26" t="n"/>
      <c r="I43" s="26" t="n"/>
      <c r="J43" s="26" t="n"/>
      <c r="K43" s="26" t="n"/>
    </row>
    <row r="44">
      <c r="B44" s="27" t="inlineStr">
        <is>
          <t>Govt. Scholarship (State)</t>
        </is>
      </c>
      <c r="C44" s="24" t="inlineStr"/>
      <c r="D44" s="24" t="inlineStr"/>
      <c r="E44" s="24" t="inlineStr"/>
      <c r="F44" s="24" t="inlineStr"/>
      <c r="G44" s="24" t="inlineStr"/>
      <c r="H44" s="25" t="n"/>
      <c r="I44" s="25" t="n"/>
      <c r="J44" s="25" t="n"/>
      <c r="K44" s="25" t="n"/>
    </row>
    <row r="45">
      <c r="B45" s="18" t="inlineStr">
        <is>
          <t>Govt. Scholarship (Central)</t>
        </is>
      </c>
      <c r="C45" s="6" t="inlineStr"/>
      <c r="D45" s="6" t="inlineStr"/>
      <c r="E45" s="6" t="inlineStr"/>
      <c r="F45" s="6" t="inlineStr"/>
      <c r="G45" s="6" t="inlineStr"/>
      <c r="H45" s="26" t="n"/>
      <c r="I45" s="26" t="n"/>
      <c r="J45" s="26" t="n"/>
      <c r="K45" s="26" t="n"/>
    </row>
  </sheetData>
  <mergeCells count="4">
    <mergeCell ref="B36:K36"/>
    <mergeCell ref="B3:K3"/>
    <mergeCell ref="B34:D34"/>
    <mergeCell ref="B2:K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1" t="inlineStr">
        <is>
          <t>AD-11: WAITING LIST MANAGEMENT REGISTER</t>
        </is>
      </c>
    </row>
    <row r="3" ht="25" customHeight="1">
      <c r="B3" s="2" t="inlineStr">
        <is>
          <t>Programme: ___________________  Round: _______  A.Y.: _______  Published on: _______</t>
        </is>
      </c>
    </row>
    <row r="4" ht="30" customHeight="1">
      <c r="B4" s="59" t="inlineStr">
        <is>
          <t>Wait-list
Rank</t>
        </is>
      </c>
      <c r="C4" s="59" t="inlineStr">
        <is>
          <t>Candidate Name</t>
        </is>
      </c>
      <c r="D4" s="59" t="inlineStr">
        <is>
          <t>App. No.</t>
        </is>
      </c>
      <c r="E4" s="59" t="inlineStr">
        <is>
          <t>Category</t>
        </is>
      </c>
      <c r="F4" s="59" t="inlineStr">
        <is>
          <t>Merit Score</t>
        </is>
      </c>
      <c r="G4" s="59" t="inlineStr">
        <is>
          <t>Programme
Preference</t>
        </is>
      </c>
      <c r="H4" s="59" t="inlineStr">
        <is>
          <t>Contact No.</t>
        </is>
      </c>
      <c r="I4" s="59" t="inlineStr">
        <is>
          <t>Upgradation
Status</t>
        </is>
      </c>
      <c r="J4" s="59" t="inlineStr">
        <is>
          <t>Final Status</t>
        </is>
      </c>
    </row>
    <row r="5" ht="22" customHeight="1">
      <c r="B5" s="60" t="n">
        <v>1</v>
      </c>
      <c r="C5" s="61" t="inlineStr"/>
      <c r="D5" s="62" t="inlineStr">
        <is>
          <t>APP/2024/0100</t>
        </is>
      </c>
      <c r="E5" s="62" t="inlineStr">
        <is>
          <t>General</t>
        </is>
      </c>
      <c r="F5" s="62" t="inlineStr"/>
      <c r="G5" s="62" t="inlineStr"/>
      <c r="H5" s="62" t="inlineStr"/>
      <c r="I5" s="62" t="inlineStr"/>
      <c r="J5" s="62" t="inlineStr">
        <is>
          <t>Awaiting</t>
        </is>
      </c>
    </row>
    <row r="6" ht="22" customHeight="1">
      <c r="B6" s="4" t="n">
        <v>2</v>
      </c>
      <c r="C6" s="5" t="inlineStr"/>
      <c r="D6" s="6" t="inlineStr">
        <is>
          <t>APP/2024/0101</t>
        </is>
      </c>
      <c r="E6" s="6" t="inlineStr">
        <is>
          <t>General</t>
        </is>
      </c>
      <c r="F6" s="6" t="inlineStr"/>
      <c r="G6" s="6" t="inlineStr"/>
      <c r="H6" s="6" t="inlineStr"/>
      <c r="I6" s="6" t="inlineStr"/>
      <c r="J6" s="6" t="inlineStr">
        <is>
          <t>Upgraded</t>
        </is>
      </c>
    </row>
    <row r="7" ht="22" customHeight="1">
      <c r="B7" s="60" t="n">
        <v>3</v>
      </c>
      <c r="C7" s="61" t="inlineStr"/>
      <c r="D7" s="62" t="inlineStr">
        <is>
          <t>APP/2024/0102</t>
        </is>
      </c>
      <c r="E7" s="62" t="inlineStr">
        <is>
          <t>General</t>
        </is>
      </c>
      <c r="F7" s="62" t="inlineStr"/>
      <c r="G7" s="62" t="inlineStr"/>
      <c r="H7" s="62" t="inlineStr"/>
      <c r="I7" s="62" t="inlineStr"/>
      <c r="J7" s="62" t="inlineStr">
        <is>
          <t>Not Upgraded</t>
        </is>
      </c>
    </row>
    <row r="8" ht="22" customHeight="1">
      <c r="B8" s="4" t="n">
        <v>4</v>
      </c>
      <c r="C8" s="5" t="inlineStr"/>
      <c r="D8" s="6" t="inlineStr">
        <is>
          <t>APP/2024/0103</t>
        </is>
      </c>
      <c r="E8" s="6" t="inlineStr">
        <is>
          <t>General</t>
        </is>
      </c>
      <c r="F8" s="6" t="inlineStr"/>
      <c r="G8" s="6" t="inlineStr"/>
      <c r="H8" s="6" t="inlineStr"/>
      <c r="I8" s="6" t="inlineStr"/>
      <c r="J8" s="6" t="inlineStr">
        <is>
          <t>Withdrawn</t>
        </is>
      </c>
    </row>
    <row r="9" ht="22" customHeight="1">
      <c r="B9" s="60" t="n">
        <v>5</v>
      </c>
      <c r="C9" s="61" t="inlineStr"/>
      <c r="D9" s="62" t="inlineStr">
        <is>
          <t>APP/2024/0104</t>
        </is>
      </c>
      <c r="E9" s="62" t="inlineStr">
        <is>
          <t>General</t>
        </is>
      </c>
      <c r="F9" s="62" t="inlineStr"/>
      <c r="G9" s="62" t="inlineStr"/>
      <c r="H9" s="62" t="inlineStr"/>
      <c r="I9" s="62" t="inlineStr"/>
      <c r="J9" s="62" t="inlineStr">
        <is>
          <t>Lapsed</t>
        </is>
      </c>
    </row>
    <row r="10" ht="22" customHeight="1">
      <c r="B10" s="4" t="n">
        <v>6</v>
      </c>
      <c r="C10" s="5" t="inlineStr"/>
      <c r="D10" s="6" t="inlineStr">
        <is>
          <t>APP/2024/0105</t>
        </is>
      </c>
      <c r="E10" s="6" t="inlineStr">
        <is>
          <t>General</t>
        </is>
      </c>
      <c r="F10" s="6" t="inlineStr"/>
      <c r="G10" s="6" t="inlineStr"/>
      <c r="H10" s="6" t="inlineStr"/>
      <c r="I10" s="6" t="inlineStr"/>
      <c r="J10" s="6" t="inlineStr">
        <is>
          <t>Awaiting</t>
        </is>
      </c>
    </row>
    <row r="11" ht="22" customHeight="1">
      <c r="B11" s="60" t="n">
        <v>7</v>
      </c>
      <c r="C11" s="61" t="inlineStr"/>
      <c r="D11" s="62" t="inlineStr">
        <is>
          <t>APP/2024/0106</t>
        </is>
      </c>
      <c r="E11" s="62" t="inlineStr">
        <is>
          <t>General</t>
        </is>
      </c>
      <c r="F11" s="62" t="inlineStr"/>
      <c r="G11" s="62" t="inlineStr"/>
      <c r="H11" s="62" t="inlineStr"/>
      <c r="I11" s="62" t="inlineStr"/>
      <c r="J11" s="62" t="inlineStr">
        <is>
          <t>Upgraded</t>
        </is>
      </c>
    </row>
    <row r="12" ht="22" customHeight="1">
      <c r="B12" s="4" t="n">
        <v>8</v>
      </c>
      <c r="C12" s="5" t="inlineStr"/>
      <c r="D12" s="6" t="inlineStr">
        <is>
          <t>APP/2024/0107</t>
        </is>
      </c>
      <c r="E12" s="6" t="inlineStr">
        <is>
          <t>General</t>
        </is>
      </c>
      <c r="F12" s="6" t="inlineStr"/>
      <c r="G12" s="6" t="inlineStr"/>
      <c r="H12" s="6" t="inlineStr"/>
      <c r="I12" s="6" t="inlineStr"/>
      <c r="J12" s="6" t="inlineStr">
        <is>
          <t>Not Upgraded</t>
        </is>
      </c>
    </row>
    <row r="13" ht="22" customHeight="1">
      <c r="B13" s="60" t="n">
        <v>9</v>
      </c>
      <c r="C13" s="61" t="inlineStr"/>
      <c r="D13" s="62" t="inlineStr">
        <is>
          <t>APP/2024/0108</t>
        </is>
      </c>
      <c r="E13" s="62" t="inlineStr">
        <is>
          <t>General</t>
        </is>
      </c>
      <c r="F13" s="62" t="inlineStr"/>
      <c r="G13" s="62" t="inlineStr"/>
      <c r="H13" s="62" t="inlineStr"/>
      <c r="I13" s="62" t="inlineStr"/>
      <c r="J13" s="62" t="inlineStr">
        <is>
          <t>Withdrawn</t>
        </is>
      </c>
    </row>
    <row r="14" ht="22" customHeight="1">
      <c r="B14" s="4" t="n">
        <v>10</v>
      </c>
      <c r="C14" s="5" t="inlineStr"/>
      <c r="D14" s="6" t="inlineStr">
        <is>
          <t>APP/2024/0109</t>
        </is>
      </c>
      <c r="E14" s="6" t="inlineStr">
        <is>
          <t>General</t>
        </is>
      </c>
      <c r="F14" s="6" t="inlineStr"/>
      <c r="G14" s="6" t="inlineStr"/>
      <c r="H14" s="6" t="inlineStr"/>
      <c r="I14" s="6" t="inlineStr"/>
      <c r="J14" s="6" t="inlineStr">
        <is>
          <t>Lapsed</t>
        </is>
      </c>
    </row>
    <row r="15" ht="22" customHeight="1">
      <c r="B15" s="60" t="n">
        <v>11</v>
      </c>
      <c r="C15" s="61" t="inlineStr"/>
      <c r="D15" s="62" t="inlineStr">
        <is>
          <t>APP/2024/0110</t>
        </is>
      </c>
      <c r="E15" s="62" t="inlineStr">
        <is>
          <t>General</t>
        </is>
      </c>
      <c r="F15" s="62" t="inlineStr"/>
      <c r="G15" s="62" t="inlineStr"/>
      <c r="H15" s="62" t="inlineStr"/>
      <c r="I15" s="62" t="inlineStr"/>
      <c r="J15" s="62" t="inlineStr">
        <is>
          <t>Awaiting</t>
        </is>
      </c>
    </row>
    <row r="16" ht="22" customHeight="1">
      <c r="B16" s="4" t="n">
        <v>12</v>
      </c>
      <c r="C16" s="5" t="inlineStr"/>
      <c r="D16" s="6" t="inlineStr">
        <is>
          <t>APP/2024/0111</t>
        </is>
      </c>
      <c r="E16" s="6" t="inlineStr">
        <is>
          <t>General</t>
        </is>
      </c>
      <c r="F16" s="6" t="inlineStr"/>
      <c r="G16" s="6" t="inlineStr"/>
      <c r="H16" s="6" t="inlineStr"/>
      <c r="I16" s="6" t="inlineStr"/>
      <c r="J16" s="6" t="inlineStr">
        <is>
          <t>Upgraded</t>
        </is>
      </c>
    </row>
    <row r="17" ht="22" customHeight="1">
      <c r="B17" s="60" t="n">
        <v>13</v>
      </c>
      <c r="C17" s="61" t="inlineStr"/>
      <c r="D17" s="62" t="inlineStr">
        <is>
          <t>APP/2024/0112</t>
        </is>
      </c>
      <c r="E17" s="62" t="inlineStr">
        <is>
          <t>General</t>
        </is>
      </c>
      <c r="F17" s="62" t="inlineStr"/>
      <c r="G17" s="62" t="inlineStr"/>
      <c r="H17" s="62" t="inlineStr"/>
      <c r="I17" s="62" t="inlineStr"/>
      <c r="J17" s="62" t="inlineStr">
        <is>
          <t>Not Upgraded</t>
        </is>
      </c>
    </row>
    <row r="18" ht="22" customHeight="1">
      <c r="B18" s="4" t="n">
        <v>14</v>
      </c>
      <c r="C18" s="5" t="inlineStr"/>
      <c r="D18" s="6" t="inlineStr">
        <is>
          <t>APP/2024/0113</t>
        </is>
      </c>
      <c r="E18" s="6" t="inlineStr">
        <is>
          <t>General</t>
        </is>
      </c>
      <c r="F18" s="6" t="inlineStr"/>
      <c r="G18" s="6" t="inlineStr"/>
      <c r="H18" s="6" t="inlineStr"/>
      <c r="I18" s="6" t="inlineStr"/>
      <c r="J18" s="6" t="inlineStr">
        <is>
          <t>Withdrawn</t>
        </is>
      </c>
    </row>
    <row r="19" ht="22" customHeight="1">
      <c r="B19" s="60" t="n">
        <v>15</v>
      </c>
      <c r="C19" s="61" t="inlineStr"/>
      <c r="D19" s="62" t="inlineStr">
        <is>
          <t>APP/2024/0114</t>
        </is>
      </c>
      <c r="E19" s="62" t="inlineStr">
        <is>
          <t>General</t>
        </is>
      </c>
      <c r="F19" s="62" t="inlineStr"/>
      <c r="G19" s="62" t="inlineStr"/>
      <c r="H19" s="62" t="inlineStr"/>
      <c r="I19" s="62" t="inlineStr"/>
      <c r="J19" s="62" t="inlineStr">
        <is>
          <t>Lapsed</t>
        </is>
      </c>
    </row>
    <row r="20" ht="22" customHeight="1">
      <c r="B20" s="4" t="n">
        <v>16</v>
      </c>
      <c r="C20" s="5" t="inlineStr"/>
      <c r="D20" s="6" t="inlineStr">
        <is>
          <t>APP/2024/0115</t>
        </is>
      </c>
      <c r="E20" s="6" t="inlineStr">
        <is>
          <t>General</t>
        </is>
      </c>
      <c r="F20" s="6" t="inlineStr"/>
      <c r="G20" s="6" t="inlineStr"/>
      <c r="H20" s="6" t="inlineStr"/>
      <c r="I20" s="6" t="inlineStr"/>
      <c r="J20" s="6" t="inlineStr">
        <is>
          <t>Awaiting</t>
        </is>
      </c>
    </row>
    <row r="21" ht="22" customHeight="1">
      <c r="B21" s="60" t="n">
        <v>17</v>
      </c>
      <c r="C21" s="61" t="inlineStr"/>
      <c r="D21" s="62" t="inlineStr">
        <is>
          <t>APP/2024/0116</t>
        </is>
      </c>
      <c r="E21" s="62" t="inlineStr">
        <is>
          <t>General</t>
        </is>
      </c>
      <c r="F21" s="62" t="inlineStr"/>
      <c r="G21" s="62" t="inlineStr"/>
      <c r="H21" s="62" t="inlineStr"/>
      <c r="I21" s="62" t="inlineStr"/>
      <c r="J21" s="62" t="inlineStr">
        <is>
          <t>Upgraded</t>
        </is>
      </c>
    </row>
    <row r="22" ht="22" customHeight="1">
      <c r="B22" s="4" t="n">
        <v>18</v>
      </c>
      <c r="C22" s="5" t="inlineStr"/>
      <c r="D22" s="6" t="inlineStr">
        <is>
          <t>APP/2024/0117</t>
        </is>
      </c>
      <c r="E22" s="6" t="inlineStr">
        <is>
          <t>General</t>
        </is>
      </c>
      <c r="F22" s="6" t="inlineStr"/>
      <c r="G22" s="6" t="inlineStr"/>
      <c r="H22" s="6" t="inlineStr"/>
      <c r="I22" s="6" t="inlineStr"/>
      <c r="J22" s="6" t="inlineStr">
        <is>
          <t>Not Upgraded</t>
        </is>
      </c>
    </row>
    <row r="23" ht="22" customHeight="1">
      <c r="B23" s="60" t="n">
        <v>19</v>
      </c>
      <c r="C23" s="61" t="inlineStr"/>
      <c r="D23" s="62" t="inlineStr">
        <is>
          <t>APP/2024/0118</t>
        </is>
      </c>
      <c r="E23" s="62" t="inlineStr">
        <is>
          <t>General</t>
        </is>
      </c>
      <c r="F23" s="62" t="inlineStr"/>
      <c r="G23" s="62" t="inlineStr"/>
      <c r="H23" s="62" t="inlineStr"/>
      <c r="I23" s="62" t="inlineStr"/>
      <c r="J23" s="62" t="inlineStr">
        <is>
          <t>Withdrawn</t>
        </is>
      </c>
    </row>
    <row r="24" ht="22" customHeight="1">
      <c r="B24" s="4" t="n">
        <v>20</v>
      </c>
      <c r="C24" s="5" t="inlineStr"/>
      <c r="D24" s="6" t="inlineStr">
        <is>
          <t>APP/2024/0119</t>
        </is>
      </c>
      <c r="E24" s="6" t="inlineStr">
        <is>
          <t>General</t>
        </is>
      </c>
      <c r="F24" s="6" t="inlineStr"/>
      <c r="G24" s="6" t="inlineStr"/>
      <c r="H24" s="6" t="inlineStr"/>
      <c r="I24" s="6" t="inlineStr"/>
      <c r="J24" s="6" t="inlineStr">
        <is>
          <t>Lapsed</t>
        </is>
      </c>
    </row>
    <row r="25" ht="22" customHeight="1">
      <c r="B25" s="60" t="n">
        <v>21</v>
      </c>
      <c r="C25" s="61" t="inlineStr"/>
      <c r="D25" s="62" t="inlineStr">
        <is>
          <t>APP/2024/0120</t>
        </is>
      </c>
      <c r="E25" s="62" t="inlineStr">
        <is>
          <t>General</t>
        </is>
      </c>
      <c r="F25" s="62" t="inlineStr"/>
      <c r="G25" s="62" t="inlineStr"/>
      <c r="H25" s="62" t="inlineStr"/>
      <c r="I25" s="62" t="inlineStr"/>
      <c r="J25" s="62" t="inlineStr">
        <is>
          <t>Awaiting</t>
        </is>
      </c>
    </row>
    <row r="26" ht="22" customHeight="1">
      <c r="B26" s="4" t="n">
        <v>22</v>
      </c>
      <c r="C26" s="5" t="inlineStr"/>
      <c r="D26" s="6" t="inlineStr">
        <is>
          <t>APP/2024/0121</t>
        </is>
      </c>
      <c r="E26" s="6" t="inlineStr">
        <is>
          <t>General</t>
        </is>
      </c>
      <c r="F26" s="6" t="inlineStr"/>
      <c r="G26" s="6" t="inlineStr"/>
      <c r="H26" s="6" t="inlineStr"/>
      <c r="I26" s="6" t="inlineStr"/>
      <c r="J26" s="6" t="inlineStr">
        <is>
          <t>Upgraded</t>
        </is>
      </c>
    </row>
    <row r="27" ht="22" customHeight="1">
      <c r="B27" s="60" t="n">
        <v>23</v>
      </c>
      <c r="C27" s="61" t="inlineStr"/>
      <c r="D27" s="62" t="inlineStr">
        <is>
          <t>APP/2024/0122</t>
        </is>
      </c>
      <c r="E27" s="62" t="inlineStr">
        <is>
          <t>General</t>
        </is>
      </c>
      <c r="F27" s="62" t="inlineStr"/>
      <c r="G27" s="62" t="inlineStr"/>
      <c r="H27" s="62" t="inlineStr"/>
      <c r="I27" s="62" t="inlineStr"/>
      <c r="J27" s="62" t="inlineStr">
        <is>
          <t>Not Upgraded</t>
        </is>
      </c>
    </row>
    <row r="28" ht="22" customHeight="1">
      <c r="B28" s="4" t="n">
        <v>24</v>
      </c>
      <c r="C28" s="5" t="inlineStr"/>
      <c r="D28" s="6" t="inlineStr">
        <is>
          <t>APP/2024/0123</t>
        </is>
      </c>
      <c r="E28" s="6" t="inlineStr">
        <is>
          <t>General</t>
        </is>
      </c>
      <c r="F28" s="6" t="inlineStr"/>
      <c r="G28" s="6" t="inlineStr"/>
      <c r="H28" s="6" t="inlineStr"/>
      <c r="I28" s="6" t="inlineStr"/>
      <c r="J28" s="6" t="inlineStr">
        <is>
          <t>Withdrawn</t>
        </is>
      </c>
    </row>
    <row r="29" ht="22" customHeight="1"/>
    <row r="30" ht="24" customHeight="1">
      <c r="B30" s="21" t="inlineStr">
        <is>
          <t>WAITLIST MOVEMENT SUMMARY</t>
        </is>
      </c>
    </row>
    <row r="31" ht="22" customHeight="1">
      <c r="B31" s="66" t="inlineStr">
        <is>
          <t>Total on Waiting List</t>
        </is>
      </c>
      <c r="F31" s="34">
        <f>COUNTA(B5:B28)</f>
        <v/>
      </c>
    </row>
    <row r="32" ht="22" customHeight="1">
      <c r="B32" s="18" t="inlineStr">
        <is>
          <t>Upgraded to Main List</t>
        </is>
      </c>
      <c r="F32" s="35">
        <f>COUNTIF(J5:J28,"Upgraded")</f>
        <v/>
      </c>
    </row>
    <row r="33" ht="22" customHeight="1">
      <c r="B33" s="66" t="inlineStr">
        <is>
          <t>Still Awaiting</t>
        </is>
      </c>
      <c r="F33" s="34">
        <f>COUNTIF(J5:J28,"Awaiting")</f>
        <v/>
      </c>
    </row>
    <row r="34" ht="22" customHeight="1">
      <c r="B34" s="18" t="inlineStr">
        <is>
          <t>Withdrawn by Candidate</t>
        </is>
      </c>
      <c r="F34" s="35">
        <f>COUNTIF(J5:J28,"Withdrawn")</f>
        <v/>
      </c>
    </row>
    <row r="35" ht="22" customHeight="1">
      <c r="B35" s="66" t="inlineStr">
        <is>
          <t>Lapsed / Expired</t>
        </is>
      </c>
      <c r="F35" s="34">
        <f>COUNTIF(J5:J28,"Lapsed")</f>
        <v/>
      </c>
    </row>
    <row r="36" ht="22" customHeight="1">
      <c r="B36" s="18" t="inlineStr">
        <is>
          <t>Upgradation Rate (%)</t>
        </is>
      </c>
      <c r="F36" s="35">
        <f>IFERROR(ROUND(C32/C31*100,1),"")</f>
        <v/>
      </c>
    </row>
    <row r="37" ht="22" customHeight="1"/>
  </sheetData>
  <mergeCells count="15">
    <mergeCell ref="B31:E31"/>
    <mergeCell ref="B36:E36"/>
    <mergeCell ref="B3:J3"/>
    <mergeCell ref="B35:E35"/>
    <mergeCell ref="F35:J35"/>
    <mergeCell ref="F34:J34"/>
    <mergeCell ref="F36:J36"/>
    <mergeCell ref="B33:E33"/>
    <mergeCell ref="F33:J33"/>
    <mergeCell ref="F31:J31"/>
    <mergeCell ref="B34:E34"/>
    <mergeCell ref="F32:J32"/>
    <mergeCell ref="B30:J30"/>
    <mergeCell ref="B2:J2"/>
    <mergeCell ref="B32:E3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1" t="inlineStr">
        <is>
          <t>AD-12: LATERAL ENTRY ADMISSION REGISTER</t>
        </is>
      </c>
    </row>
    <row r="3" ht="25" customHeight="1">
      <c r="B3" s="2" t="inlineStr">
        <is>
          <t>A.Y.: _______  Programme: ___________________  Lateral Entry to Semester / Year: _______</t>
        </is>
      </c>
    </row>
    <row r="4" ht="30" customHeight="1">
      <c r="B4" s="67" t="inlineStr">
        <is>
          <t>Adm. No.</t>
        </is>
      </c>
      <c r="C4" s="67" t="inlineStr">
        <is>
          <t>Student Name</t>
        </is>
      </c>
      <c r="D4" s="67" t="inlineStr">
        <is>
          <t>Qualifying
Degree / Diploma</t>
        </is>
      </c>
      <c r="E4" s="67" t="inlineStr">
        <is>
          <t>Institute Last
Attended</t>
        </is>
      </c>
      <c r="F4" s="67" t="inlineStr">
        <is>
          <t>% in Qualifying
Exam</t>
        </is>
      </c>
      <c r="G4" s="67" t="inlineStr">
        <is>
          <t>Category</t>
        </is>
      </c>
      <c r="H4" s="67" t="inlineStr">
        <is>
          <t>Lateral Entry
Entrance Score</t>
        </is>
      </c>
      <c r="I4" s="67" t="inlineStr">
        <is>
          <t>Programme
Admitted</t>
        </is>
      </c>
      <c r="J4" s="67" t="inlineStr">
        <is>
          <t>Fee Paid (₹)</t>
        </is>
      </c>
    </row>
    <row r="5" ht="22" customHeight="1">
      <c r="B5" s="68" t="inlineStr">
        <is>
          <t>LAT/2024/001</t>
        </is>
      </c>
      <c r="C5" s="69" t="inlineStr"/>
      <c r="D5" s="70" t="inlineStr">
        <is>
          <t>Diploma (3-yr)</t>
        </is>
      </c>
      <c r="E5" s="69" t="inlineStr"/>
      <c r="F5" s="70" t="inlineStr"/>
      <c r="G5" s="70" t="inlineStr">
        <is>
          <t>General</t>
        </is>
      </c>
      <c r="H5" s="70" t="inlineStr"/>
      <c r="I5" s="70" t="inlineStr"/>
      <c r="J5" s="70" t="inlineStr"/>
    </row>
    <row r="6" ht="22" customHeight="1">
      <c r="B6" s="4" t="inlineStr">
        <is>
          <t>LAT/2024/002</t>
        </is>
      </c>
      <c r="C6" s="5" t="inlineStr"/>
      <c r="D6" s="6" t="inlineStr">
        <is>
          <t>Diploma (3-yr)</t>
        </is>
      </c>
      <c r="E6" s="5" t="inlineStr"/>
      <c r="F6" s="6" t="inlineStr"/>
      <c r="G6" s="6" t="inlineStr">
        <is>
          <t>General</t>
        </is>
      </c>
      <c r="H6" s="6" t="inlineStr"/>
      <c r="I6" s="6" t="inlineStr"/>
      <c r="J6" s="6" t="inlineStr"/>
    </row>
    <row r="7" ht="22" customHeight="1">
      <c r="B7" s="68" t="inlineStr">
        <is>
          <t>LAT/2024/003</t>
        </is>
      </c>
      <c r="C7" s="69" t="inlineStr"/>
      <c r="D7" s="70" t="inlineStr">
        <is>
          <t>Diploma (3-yr)</t>
        </is>
      </c>
      <c r="E7" s="69" t="inlineStr"/>
      <c r="F7" s="70" t="inlineStr"/>
      <c r="G7" s="70" t="inlineStr">
        <is>
          <t>General</t>
        </is>
      </c>
      <c r="H7" s="70" t="inlineStr"/>
      <c r="I7" s="70" t="inlineStr"/>
      <c r="J7" s="70" t="inlineStr"/>
    </row>
    <row r="8" ht="22" customHeight="1">
      <c r="B8" s="4" t="inlineStr">
        <is>
          <t>LAT/2024/004</t>
        </is>
      </c>
      <c r="C8" s="5" t="inlineStr"/>
      <c r="D8" s="6" t="inlineStr">
        <is>
          <t>Diploma (3-yr)</t>
        </is>
      </c>
      <c r="E8" s="5" t="inlineStr"/>
      <c r="F8" s="6" t="inlineStr"/>
      <c r="G8" s="6" t="inlineStr">
        <is>
          <t>General</t>
        </is>
      </c>
      <c r="H8" s="6" t="inlineStr"/>
      <c r="I8" s="6" t="inlineStr"/>
      <c r="J8" s="6" t="inlineStr"/>
    </row>
    <row r="9" ht="22" customHeight="1">
      <c r="B9" s="68" t="inlineStr">
        <is>
          <t>LAT/2024/005</t>
        </is>
      </c>
      <c r="C9" s="69" t="inlineStr"/>
      <c r="D9" s="70" t="inlineStr">
        <is>
          <t>Diploma (3-yr)</t>
        </is>
      </c>
      <c r="E9" s="69" t="inlineStr"/>
      <c r="F9" s="70" t="inlineStr"/>
      <c r="G9" s="70" t="inlineStr">
        <is>
          <t>General</t>
        </is>
      </c>
      <c r="H9" s="70" t="inlineStr"/>
      <c r="I9" s="70" t="inlineStr"/>
      <c r="J9" s="70" t="inlineStr"/>
    </row>
    <row r="10" ht="22" customHeight="1">
      <c r="B10" s="4" t="inlineStr">
        <is>
          <t>LAT/2024/006</t>
        </is>
      </c>
      <c r="C10" s="5" t="inlineStr"/>
      <c r="D10" s="6" t="inlineStr">
        <is>
          <t>Diploma (3-yr)</t>
        </is>
      </c>
      <c r="E10" s="5" t="inlineStr"/>
      <c r="F10" s="6" t="inlineStr"/>
      <c r="G10" s="6" t="inlineStr">
        <is>
          <t>General</t>
        </is>
      </c>
      <c r="H10" s="6" t="inlineStr"/>
      <c r="I10" s="6" t="inlineStr"/>
      <c r="J10" s="6" t="inlineStr"/>
    </row>
    <row r="11" ht="22" customHeight="1">
      <c r="B11" s="68" t="inlineStr">
        <is>
          <t>LAT/2024/007</t>
        </is>
      </c>
      <c r="C11" s="69" t="inlineStr"/>
      <c r="D11" s="70" t="inlineStr">
        <is>
          <t>Diploma (3-yr)</t>
        </is>
      </c>
      <c r="E11" s="69" t="inlineStr"/>
      <c r="F11" s="70" t="inlineStr"/>
      <c r="G11" s="70" t="inlineStr">
        <is>
          <t>General</t>
        </is>
      </c>
      <c r="H11" s="70" t="inlineStr"/>
      <c r="I11" s="70" t="inlineStr"/>
      <c r="J11" s="70" t="inlineStr"/>
    </row>
    <row r="12" ht="22" customHeight="1">
      <c r="B12" s="4" t="inlineStr">
        <is>
          <t>LAT/2024/008</t>
        </is>
      </c>
      <c r="C12" s="5" t="inlineStr"/>
      <c r="D12" s="6" t="inlineStr">
        <is>
          <t>Diploma (3-yr)</t>
        </is>
      </c>
      <c r="E12" s="5" t="inlineStr"/>
      <c r="F12" s="6" t="inlineStr"/>
      <c r="G12" s="6" t="inlineStr">
        <is>
          <t>General</t>
        </is>
      </c>
      <c r="H12" s="6" t="inlineStr"/>
      <c r="I12" s="6" t="inlineStr"/>
      <c r="J12" s="6" t="inlineStr"/>
    </row>
    <row r="13" ht="22" customHeight="1">
      <c r="B13" s="68" t="inlineStr">
        <is>
          <t>LAT/2024/009</t>
        </is>
      </c>
      <c r="C13" s="69" t="inlineStr"/>
      <c r="D13" s="70" t="inlineStr">
        <is>
          <t>Diploma (3-yr)</t>
        </is>
      </c>
      <c r="E13" s="69" t="inlineStr"/>
      <c r="F13" s="70" t="inlineStr"/>
      <c r="G13" s="70" t="inlineStr">
        <is>
          <t>General</t>
        </is>
      </c>
      <c r="H13" s="70" t="inlineStr"/>
      <c r="I13" s="70" t="inlineStr"/>
      <c r="J13" s="70" t="inlineStr"/>
    </row>
    <row r="14" ht="22" customHeight="1">
      <c r="B14" s="4" t="inlineStr">
        <is>
          <t>LAT/2024/010</t>
        </is>
      </c>
      <c r="C14" s="5" t="inlineStr"/>
      <c r="D14" s="6" t="inlineStr">
        <is>
          <t>Diploma (3-yr)</t>
        </is>
      </c>
      <c r="E14" s="5" t="inlineStr"/>
      <c r="F14" s="6" t="inlineStr"/>
      <c r="G14" s="6" t="inlineStr">
        <is>
          <t>General</t>
        </is>
      </c>
      <c r="H14" s="6" t="inlineStr"/>
      <c r="I14" s="6" t="inlineStr"/>
      <c r="J14" s="6" t="inlineStr"/>
    </row>
    <row r="15" ht="22" customHeight="1">
      <c r="B15" s="68" t="inlineStr">
        <is>
          <t>LAT/2024/011</t>
        </is>
      </c>
      <c r="C15" s="69" t="inlineStr"/>
      <c r="D15" s="70" t="inlineStr">
        <is>
          <t>Diploma (3-yr)</t>
        </is>
      </c>
      <c r="E15" s="69" t="inlineStr"/>
      <c r="F15" s="70" t="inlineStr"/>
      <c r="G15" s="70" t="inlineStr">
        <is>
          <t>General</t>
        </is>
      </c>
      <c r="H15" s="70" t="inlineStr"/>
      <c r="I15" s="70" t="inlineStr"/>
      <c r="J15" s="70" t="inlineStr"/>
    </row>
    <row r="16" ht="22" customHeight="1">
      <c r="B16" s="4" t="inlineStr">
        <is>
          <t>LAT/2024/012</t>
        </is>
      </c>
      <c r="C16" s="5" t="inlineStr"/>
      <c r="D16" s="6" t="inlineStr">
        <is>
          <t>Diploma (3-yr)</t>
        </is>
      </c>
      <c r="E16" s="5" t="inlineStr"/>
      <c r="F16" s="6" t="inlineStr"/>
      <c r="G16" s="6" t="inlineStr">
        <is>
          <t>General</t>
        </is>
      </c>
      <c r="H16" s="6" t="inlineStr"/>
      <c r="I16" s="6" t="inlineStr"/>
      <c r="J16" s="6" t="inlineStr"/>
    </row>
    <row r="17" ht="22" customHeight="1">
      <c r="B17" s="68" t="inlineStr">
        <is>
          <t>LAT/2024/013</t>
        </is>
      </c>
      <c r="C17" s="69" t="inlineStr"/>
      <c r="D17" s="70" t="inlineStr">
        <is>
          <t>Diploma (3-yr)</t>
        </is>
      </c>
      <c r="E17" s="69" t="inlineStr"/>
      <c r="F17" s="70" t="inlineStr"/>
      <c r="G17" s="70" t="inlineStr">
        <is>
          <t>General</t>
        </is>
      </c>
      <c r="H17" s="70" t="inlineStr"/>
      <c r="I17" s="70" t="inlineStr"/>
      <c r="J17" s="70" t="inlineStr"/>
    </row>
    <row r="18" ht="22" customHeight="1">
      <c r="B18" s="4" t="inlineStr">
        <is>
          <t>LAT/2024/014</t>
        </is>
      </c>
      <c r="C18" s="5" t="inlineStr"/>
      <c r="D18" s="6" t="inlineStr">
        <is>
          <t>Diploma (3-yr)</t>
        </is>
      </c>
      <c r="E18" s="5" t="inlineStr"/>
      <c r="F18" s="6" t="inlineStr"/>
      <c r="G18" s="6" t="inlineStr">
        <is>
          <t>General</t>
        </is>
      </c>
      <c r="H18" s="6" t="inlineStr"/>
      <c r="I18" s="6" t="inlineStr"/>
      <c r="J18" s="6" t="inlineStr"/>
    </row>
    <row r="19" ht="22" customHeight="1">
      <c r="B19" s="68" t="inlineStr">
        <is>
          <t>LAT/2024/015</t>
        </is>
      </c>
      <c r="C19" s="69" t="inlineStr"/>
      <c r="D19" s="70" t="inlineStr">
        <is>
          <t>Diploma (3-yr)</t>
        </is>
      </c>
      <c r="E19" s="69" t="inlineStr"/>
      <c r="F19" s="70" t="inlineStr"/>
      <c r="G19" s="70" t="inlineStr">
        <is>
          <t>General</t>
        </is>
      </c>
      <c r="H19" s="70" t="inlineStr"/>
      <c r="I19" s="70" t="inlineStr"/>
      <c r="J19" s="70" t="inlineStr"/>
    </row>
    <row r="20" ht="22" customHeight="1">
      <c r="B20" s="4" t="inlineStr">
        <is>
          <t>LAT/2024/016</t>
        </is>
      </c>
      <c r="C20" s="5" t="inlineStr"/>
      <c r="D20" s="6" t="inlineStr">
        <is>
          <t>Diploma (3-yr)</t>
        </is>
      </c>
      <c r="E20" s="5" t="inlineStr"/>
      <c r="F20" s="6" t="inlineStr"/>
      <c r="G20" s="6" t="inlineStr">
        <is>
          <t>General</t>
        </is>
      </c>
      <c r="H20" s="6" t="inlineStr"/>
      <c r="I20" s="6" t="inlineStr"/>
      <c r="J20" s="6" t="inlineStr"/>
    </row>
    <row r="21" ht="22" customHeight="1">
      <c r="B21" s="68" t="inlineStr">
        <is>
          <t>LAT/2024/017</t>
        </is>
      </c>
      <c r="C21" s="69" t="inlineStr"/>
      <c r="D21" s="70" t="inlineStr">
        <is>
          <t>Diploma (3-yr)</t>
        </is>
      </c>
      <c r="E21" s="69" t="inlineStr"/>
      <c r="F21" s="70" t="inlineStr"/>
      <c r="G21" s="70" t="inlineStr">
        <is>
          <t>General</t>
        </is>
      </c>
      <c r="H21" s="70" t="inlineStr"/>
      <c r="I21" s="70" t="inlineStr"/>
      <c r="J21" s="70" t="inlineStr"/>
    </row>
    <row r="22" ht="22" customHeight="1">
      <c r="B22" s="4" t="inlineStr">
        <is>
          <t>LAT/2024/018</t>
        </is>
      </c>
      <c r="C22" s="5" t="inlineStr"/>
      <c r="D22" s="6" t="inlineStr">
        <is>
          <t>Diploma (3-yr)</t>
        </is>
      </c>
      <c r="E22" s="5" t="inlineStr"/>
      <c r="F22" s="6" t="inlineStr"/>
      <c r="G22" s="6" t="inlineStr">
        <is>
          <t>General</t>
        </is>
      </c>
      <c r="H22" s="6" t="inlineStr"/>
      <c r="I22" s="6" t="inlineStr"/>
      <c r="J22" s="6" t="inlineStr"/>
    </row>
    <row r="23" ht="22" customHeight="1">
      <c r="B23" s="68" t="inlineStr">
        <is>
          <t>LAT/2024/019</t>
        </is>
      </c>
      <c r="C23" s="69" t="inlineStr"/>
      <c r="D23" s="70" t="inlineStr">
        <is>
          <t>Diploma (3-yr)</t>
        </is>
      </c>
      <c r="E23" s="69" t="inlineStr"/>
      <c r="F23" s="70" t="inlineStr"/>
      <c r="G23" s="70" t="inlineStr">
        <is>
          <t>General</t>
        </is>
      </c>
      <c r="H23" s="70" t="inlineStr"/>
      <c r="I23" s="70" t="inlineStr"/>
      <c r="J23" s="70" t="inlineStr"/>
    </row>
    <row r="24" ht="22" customHeight="1">
      <c r="B24" s="4" t="inlineStr">
        <is>
          <t>LAT/2024/020</t>
        </is>
      </c>
      <c r="C24" s="5" t="inlineStr"/>
      <c r="D24" s="6" t="inlineStr">
        <is>
          <t>Diploma (3-yr)</t>
        </is>
      </c>
      <c r="E24" s="5" t="inlineStr"/>
      <c r="F24" s="6" t="inlineStr"/>
      <c r="G24" s="6" t="inlineStr">
        <is>
          <t>General</t>
        </is>
      </c>
      <c r="H24" s="6" t="inlineStr"/>
      <c r="I24" s="6" t="inlineStr"/>
      <c r="J24" s="6" t="inlineStr"/>
    </row>
    <row r="25" ht="22" customHeight="1"/>
    <row r="26" ht="24" customHeight="1">
      <c r="B26" s="21" t="inlineStr">
        <is>
          <t>LATERAL ENTRY SUMMARY</t>
        </is>
      </c>
    </row>
    <row r="27" ht="22" customHeight="1">
      <c r="B27" s="71" t="inlineStr">
        <is>
          <t>Total Lateral Entry Applications</t>
        </is>
      </c>
      <c r="F27" s="72">
        <f>COUNTA(B5:B24)</f>
        <v/>
      </c>
    </row>
    <row r="28" ht="22" customHeight="1">
      <c r="B28" s="18" t="inlineStr">
        <is>
          <t>Lateral Entry Sanctioned Intake</t>
        </is>
      </c>
      <c r="F28" s="35" t="inlineStr"/>
    </row>
    <row r="29" ht="22" customHeight="1">
      <c r="B29" s="71" t="inlineStr">
        <is>
          <t>Admissions Confirmed</t>
        </is>
      </c>
      <c r="F29" s="72" t="inlineStr"/>
    </row>
    <row r="30" ht="22" customHeight="1">
      <c r="B30" s="18" t="inlineStr">
        <is>
          <t>Diploma Holders</t>
        </is>
      </c>
      <c r="F30" s="35" t="inlineStr"/>
    </row>
    <row r="31" ht="22" customHeight="1">
      <c r="B31" s="71" t="inlineStr">
        <is>
          <t>B.Sc. / Degree Holders</t>
        </is>
      </c>
      <c r="F31" s="72" t="inlineStr"/>
    </row>
    <row r="32">
      <c r="B32" s="18" t="inlineStr">
        <is>
          <t>Seats Vacant</t>
        </is>
      </c>
      <c r="F32" s="35" t="inlineStr"/>
    </row>
  </sheetData>
  <mergeCells count="15">
    <mergeCell ref="B31:E31"/>
    <mergeCell ref="F30:J30"/>
    <mergeCell ref="B27:E27"/>
    <mergeCell ref="B3:J3"/>
    <mergeCell ref="F29:J29"/>
    <mergeCell ref="B28:E28"/>
    <mergeCell ref="B30:E30"/>
    <mergeCell ref="B26:J26"/>
    <mergeCell ref="F28:J28"/>
    <mergeCell ref="B29:E29"/>
    <mergeCell ref="F31:J31"/>
    <mergeCell ref="B2:J2"/>
    <mergeCell ref="F32:J32"/>
    <mergeCell ref="F27:J27"/>
    <mergeCell ref="B32:E3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14" customWidth="1" min="5" max="5"/>
    <col width="12" customWidth="1" min="6" max="6"/>
    <col width="14" customWidth="1" min="7" max="7"/>
    <col width="14" customWidth="1" min="8" max="8"/>
    <col width="12" customWidth="1" min="9" max="9"/>
    <col width="14" customWidth="1" min="10" max="10"/>
    <col width="3" customWidth="1" min="11" max="11"/>
  </cols>
  <sheetData>
    <row r="1" ht="10" customHeight="1"/>
    <row r="2" ht="48" customHeight="1">
      <c r="B2" s="11" t="inlineStr">
        <is>
          <t>AD-13: NRI / MANAGEMENT / PAID SEAT QUOTA REGISTER</t>
        </is>
      </c>
    </row>
    <row r="3" ht="25" customHeight="1">
      <c r="B3" s="2" t="inlineStr">
        <is>
          <t>A.Y.: _______  Quota Type: NRI / Management / Paid  University Approval Ref.: _______</t>
        </is>
      </c>
    </row>
    <row r="4" ht="30" customHeight="1">
      <c r="B4" s="73" t="inlineStr">
        <is>
          <t>Adm. No.</t>
        </is>
      </c>
      <c r="C4" s="73" t="inlineStr">
        <is>
          <t>Student Name</t>
        </is>
      </c>
      <c r="D4" s="73" t="inlineStr">
        <is>
          <t>Programme</t>
        </is>
      </c>
      <c r="E4" s="73" t="inlineStr">
        <is>
          <t>Quota Type
(NRI/Mgmt/Paid)</t>
        </is>
      </c>
      <c r="F4" s="73" t="inlineStr">
        <is>
          <t>Nationality /
Domicile</t>
        </is>
      </c>
      <c r="G4" s="73" t="inlineStr">
        <is>
          <t>Qualifying %
/ Score</t>
        </is>
      </c>
      <c r="H4" s="73" t="inlineStr">
        <is>
          <t>Fee Charged (₹)
(as per norms)</t>
        </is>
      </c>
      <c r="I4" s="73" t="inlineStr">
        <is>
          <t>Receipt No.</t>
        </is>
      </c>
      <c r="J4" s="73" t="inlineStr">
        <is>
          <t>University Approval</t>
        </is>
      </c>
    </row>
    <row r="5" ht="22" customHeight="1">
      <c r="B5" s="74" t="inlineStr">
        <is>
          <t>MGT/2024/001</t>
        </is>
      </c>
      <c r="C5" s="75" t="inlineStr"/>
      <c r="D5" s="76" t="inlineStr"/>
      <c r="E5" s="74" t="inlineStr">
        <is>
          <t>NRI</t>
        </is>
      </c>
      <c r="F5" s="76" t="inlineStr"/>
      <c r="G5" s="76" t="inlineStr"/>
      <c r="H5" s="76" t="inlineStr"/>
      <c r="I5" s="76" t="inlineStr"/>
      <c r="J5" s="76" t="inlineStr">
        <is>
          <t>Y</t>
        </is>
      </c>
    </row>
    <row r="6" ht="22" customHeight="1">
      <c r="B6" s="4" t="inlineStr">
        <is>
          <t>MGT/2024/002</t>
        </is>
      </c>
      <c r="C6" s="5" t="inlineStr"/>
      <c r="D6" s="6" t="inlineStr"/>
      <c r="E6" s="4" t="inlineStr">
        <is>
          <t>Management</t>
        </is>
      </c>
      <c r="F6" s="6" t="inlineStr"/>
      <c r="G6" s="6" t="inlineStr"/>
      <c r="H6" s="6" t="inlineStr"/>
      <c r="I6" s="6" t="inlineStr"/>
      <c r="J6" s="6" t="inlineStr">
        <is>
          <t>Y</t>
        </is>
      </c>
    </row>
    <row r="7" ht="22" customHeight="1">
      <c r="B7" s="74" t="inlineStr">
        <is>
          <t>MGT/2024/003</t>
        </is>
      </c>
      <c r="C7" s="75" t="inlineStr"/>
      <c r="D7" s="76" t="inlineStr"/>
      <c r="E7" s="74" t="inlineStr">
        <is>
          <t>Paid Seat</t>
        </is>
      </c>
      <c r="F7" s="76" t="inlineStr"/>
      <c r="G7" s="76" t="inlineStr"/>
      <c r="H7" s="76" t="inlineStr"/>
      <c r="I7" s="76" t="inlineStr"/>
      <c r="J7" s="76" t="inlineStr">
        <is>
          <t>Y</t>
        </is>
      </c>
    </row>
    <row r="8" ht="22" customHeight="1">
      <c r="B8" s="4" t="inlineStr">
        <is>
          <t>MGT/2024/004</t>
        </is>
      </c>
      <c r="C8" s="5" t="inlineStr"/>
      <c r="D8" s="6" t="inlineStr"/>
      <c r="E8" s="4" t="inlineStr">
        <is>
          <t>NRI</t>
        </is>
      </c>
      <c r="F8" s="6" t="inlineStr"/>
      <c r="G8" s="6" t="inlineStr"/>
      <c r="H8" s="6" t="inlineStr"/>
      <c r="I8" s="6" t="inlineStr"/>
      <c r="J8" s="6" t="inlineStr">
        <is>
          <t>Y</t>
        </is>
      </c>
    </row>
    <row r="9" ht="22" customHeight="1">
      <c r="B9" s="74" t="inlineStr">
        <is>
          <t>MGT/2024/005</t>
        </is>
      </c>
      <c r="C9" s="75" t="inlineStr"/>
      <c r="D9" s="76" t="inlineStr"/>
      <c r="E9" s="74" t="inlineStr">
        <is>
          <t>Management</t>
        </is>
      </c>
      <c r="F9" s="76" t="inlineStr"/>
      <c r="G9" s="76" t="inlineStr"/>
      <c r="H9" s="76" t="inlineStr"/>
      <c r="I9" s="76" t="inlineStr"/>
      <c r="J9" s="76" t="inlineStr">
        <is>
          <t>Y</t>
        </is>
      </c>
    </row>
    <row r="10" ht="22" customHeight="1">
      <c r="B10" s="4" t="inlineStr">
        <is>
          <t>MGT/2024/006</t>
        </is>
      </c>
      <c r="C10" s="5" t="inlineStr"/>
      <c r="D10" s="6" t="inlineStr"/>
      <c r="E10" s="4" t="inlineStr">
        <is>
          <t>Paid Seat</t>
        </is>
      </c>
      <c r="F10" s="6" t="inlineStr"/>
      <c r="G10" s="6" t="inlineStr"/>
      <c r="H10" s="6" t="inlineStr"/>
      <c r="I10" s="6" t="inlineStr"/>
      <c r="J10" s="6" t="inlineStr">
        <is>
          <t>Y</t>
        </is>
      </c>
    </row>
    <row r="11" ht="22" customHeight="1">
      <c r="B11" s="74" t="inlineStr">
        <is>
          <t>MGT/2024/007</t>
        </is>
      </c>
      <c r="C11" s="75" t="inlineStr"/>
      <c r="D11" s="76" t="inlineStr"/>
      <c r="E11" s="74" t="inlineStr">
        <is>
          <t>NRI</t>
        </is>
      </c>
      <c r="F11" s="76" t="inlineStr"/>
      <c r="G11" s="76" t="inlineStr"/>
      <c r="H11" s="76" t="inlineStr"/>
      <c r="I11" s="76" t="inlineStr"/>
      <c r="J11" s="76" t="inlineStr">
        <is>
          <t>Y</t>
        </is>
      </c>
    </row>
    <row r="12" ht="22" customHeight="1">
      <c r="B12" s="4" t="inlineStr">
        <is>
          <t>MGT/2024/008</t>
        </is>
      </c>
      <c r="C12" s="5" t="inlineStr"/>
      <c r="D12" s="6" t="inlineStr"/>
      <c r="E12" s="4" t="inlineStr">
        <is>
          <t>Management</t>
        </is>
      </c>
      <c r="F12" s="6" t="inlineStr"/>
      <c r="G12" s="6" t="inlineStr"/>
      <c r="H12" s="6" t="inlineStr"/>
      <c r="I12" s="6" t="inlineStr"/>
      <c r="J12" s="6" t="inlineStr">
        <is>
          <t>Y</t>
        </is>
      </c>
    </row>
    <row r="13" ht="22" customHeight="1">
      <c r="B13" s="74" t="inlineStr">
        <is>
          <t>MGT/2024/009</t>
        </is>
      </c>
      <c r="C13" s="75" t="inlineStr"/>
      <c r="D13" s="76" t="inlineStr"/>
      <c r="E13" s="74" t="inlineStr">
        <is>
          <t>Paid Seat</t>
        </is>
      </c>
      <c r="F13" s="76" t="inlineStr"/>
      <c r="G13" s="76" t="inlineStr"/>
      <c r="H13" s="76" t="inlineStr"/>
      <c r="I13" s="76" t="inlineStr"/>
      <c r="J13" s="76" t="inlineStr">
        <is>
          <t>Y</t>
        </is>
      </c>
    </row>
    <row r="14" ht="22" customHeight="1">
      <c r="B14" s="4" t="inlineStr">
        <is>
          <t>MGT/2024/010</t>
        </is>
      </c>
      <c r="C14" s="5" t="inlineStr"/>
      <c r="D14" s="6" t="inlineStr"/>
      <c r="E14" s="4" t="inlineStr">
        <is>
          <t>NRI</t>
        </is>
      </c>
      <c r="F14" s="6" t="inlineStr"/>
      <c r="G14" s="6" t="inlineStr"/>
      <c r="H14" s="6" t="inlineStr"/>
      <c r="I14" s="6" t="inlineStr"/>
      <c r="J14" s="6" t="inlineStr">
        <is>
          <t>Y</t>
        </is>
      </c>
    </row>
    <row r="15" ht="22" customHeight="1">
      <c r="B15" s="74" t="inlineStr">
        <is>
          <t>MGT/2024/011</t>
        </is>
      </c>
      <c r="C15" s="75" t="inlineStr"/>
      <c r="D15" s="76" t="inlineStr"/>
      <c r="E15" s="74" t="inlineStr">
        <is>
          <t>Management</t>
        </is>
      </c>
      <c r="F15" s="76" t="inlineStr"/>
      <c r="G15" s="76" t="inlineStr"/>
      <c r="H15" s="76" t="inlineStr"/>
      <c r="I15" s="76" t="inlineStr"/>
      <c r="J15" s="76" t="inlineStr">
        <is>
          <t>Y</t>
        </is>
      </c>
    </row>
    <row r="16" ht="22" customHeight="1">
      <c r="B16" s="4" t="inlineStr">
        <is>
          <t>MGT/2024/012</t>
        </is>
      </c>
      <c r="C16" s="5" t="inlineStr"/>
      <c r="D16" s="6" t="inlineStr"/>
      <c r="E16" s="4" t="inlineStr">
        <is>
          <t>Paid Seat</t>
        </is>
      </c>
      <c r="F16" s="6" t="inlineStr"/>
      <c r="G16" s="6" t="inlineStr"/>
      <c r="H16" s="6" t="inlineStr"/>
      <c r="I16" s="6" t="inlineStr"/>
      <c r="J16" s="6" t="inlineStr">
        <is>
          <t>Y</t>
        </is>
      </c>
    </row>
    <row r="17" ht="22" customHeight="1">
      <c r="B17" s="74" t="inlineStr">
        <is>
          <t>MGT/2024/013</t>
        </is>
      </c>
      <c r="C17" s="75" t="inlineStr"/>
      <c r="D17" s="76" t="inlineStr"/>
      <c r="E17" s="74" t="inlineStr">
        <is>
          <t>NRI</t>
        </is>
      </c>
      <c r="F17" s="76" t="inlineStr"/>
      <c r="G17" s="76" t="inlineStr"/>
      <c r="H17" s="76" t="inlineStr"/>
      <c r="I17" s="76" t="inlineStr"/>
      <c r="J17" s="76" t="inlineStr">
        <is>
          <t>Y</t>
        </is>
      </c>
    </row>
    <row r="18" ht="22" customHeight="1">
      <c r="B18" s="4" t="inlineStr">
        <is>
          <t>MGT/2024/014</t>
        </is>
      </c>
      <c r="C18" s="5" t="inlineStr"/>
      <c r="D18" s="6" t="inlineStr"/>
      <c r="E18" s="4" t="inlineStr">
        <is>
          <t>Management</t>
        </is>
      </c>
      <c r="F18" s="6" t="inlineStr"/>
      <c r="G18" s="6" t="inlineStr"/>
      <c r="H18" s="6" t="inlineStr"/>
      <c r="I18" s="6" t="inlineStr"/>
      <c r="J18" s="6" t="inlineStr">
        <is>
          <t>Y</t>
        </is>
      </c>
    </row>
    <row r="19" ht="22" customHeight="1">
      <c r="B19" s="74" t="inlineStr">
        <is>
          <t>MGT/2024/015</t>
        </is>
      </c>
      <c r="C19" s="75" t="inlineStr"/>
      <c r="D19" s="76" t="inlineStr"/>
      <c r="E19" s="74" t="inlineStr">
        <is>
          <t>Paid Seat</t>
        </is>
      </c>
      <c r="F19" s="76" t="inlineStr"/>
      <c r="G19" s="76" t="inlineStr"/>
      <c r="H19" s="76" t="inlineStr"/>
      <c r="I19" s="76" t="inlineStr"/>
      <c r="J19" s="76" t="inlineStr">
        <is>
          <t>Y</t>
        </is>
      </c>
    </row>
    <row r="20" ht="22" customHeight="1">
      <c r="B20" s="4" t="inlineStr">
        <is>
          <t>MGT/2024/016</t>
        </is>
      </c>
      <c r="C20" s="5" t="inlineStr"/>
      <c r="D20" s="6" t="inlineStr"/>
      <c r="E20" s="4" t="inlineStr">
        <is>
          <t>NRI</t>
        </is>
      </c>
      <c r="F20" s="6" t="inlineStr"/>
      <c r="G20" s="6" t="inlineStr"/>
      <c r="H20" s="6" t="inlineStr"/>
      <c r="I20" s="6" t="inlineStr"/>
      <c r="J20" s="6" t="inlineStr">
        <is>
          <t>Y</t>
        </is>
      </c>
    </row>
    <row r="21" ht="22" customHeight="1">
      <c r="B21" s="74" t="inlineStr">
        <is>
          <t>MGT/2024/017</t>
        </is>
      </c>
      <c r="C21" s="75" t="inlineStr"/>
      <c r="D21" s="76" t="inlineStr"/>
      <c r="E21" s="74" t="inlineStr">
        <is>
          <t>Management</t>
        </is>
      </c>
      <c r="F21" s="76" t="inlineStr"/>
      <c r="G21" s="76" t="inlineStr"/>
      <c r="H21" s="76" t="inlineStr"/>
      <c r="I21" s="76" t="inlineStr"/>
      <c r="J21" s="76" t="inlineStr">
        <is>
          <t>Y</t>
        </is>
      </c>
    </row>
    <row r="22" ht="22" customHeight="1">
      <c r="B22" s="4" t="inlineStr">
        <is>
          <t>MGT/2024/018</t>
        </is>
      </c>
      <c r="C22" s="5" t="inlineStr"/>
      <c r="D22" s="6" t="inlineStr"/>
      <c r="E22" s="4" t="inlineStr">
        <is>
          <t>Paid Seat</t>
        </is>
      </c>
      <c r="F22" s="6" t="inlineStr"/>
      <c r="G22" s="6" t="inlineStr"/>
      <c r="H22" s="6" t="inlineStr"/>
      <c r="I22" s="6" t="inlineStr"/>
      <c r="J22" s="6" t="inlineStr">
        <is>
          <t>Y</t>
        </is>
      </c>
    </row>
    <row r="23" ht="22" customHeight="1"/>
    <row r="24" ht="20" customHeight="1">
      <c r="B24" s="16" t="inlineStr">
        <is>
          <t>NRI / Management quota admissions must comply with University approval &amp; fee norms. Maintain separate roster for regulatory audit.</t>
        </is>
      </c>
    </row>
    <row r="25" ht="22" customHeight="1"/>
    <row r="26" ht="24" customHeight="1">
      <c r="B26" s="21" t="inlineStr">
        <is>
          <t>QUOTA UTILISATION SUMMARY</t>
        </is>
      </c>
    </row>
    <row r="27" ht="22" customHeight="1">
      <c r="B27" s="22" t="inlineStr">
        <is>
          <t>Quota Type</t>
        </is>
      </c>
      <c r="C27" s="22" t="inlineStr">
        <is>
          <t>Approved Seats</t>
        </is>
      </c>
      <c r="D27" s="22" t="inlineStr">
        <is>
          <t>Filled</t>
        </is>
      </c>
      <c r="E27" s="22" t="inlineStr">
        <is>
          <t>Vacant</t>
        </is>
      </c>
      <c r="F27" s="22" t="inlineStr">
        <is>
          <t>Fee per Seat (₹)</t>
        </is>
      </c>
      <c r="G27" s="22" t="inlineStr">
        <is>
          <t>Total Revenue (₹)</t>
        </is>
      </c>
      <c r="H27" s="22" t="inlineStr">
        <is>
          <t>University
Approval</t>
        </is>
      </c>
    </row>
    <row r="28" ht="22" customHeight="1">
      <c r="B28" s="77" t="inlineStr">
        <is>
          <t>NRI Quota</t>
        </is>
      </c>
      <c r="C28" s="76" t="inlineStr"/>
      <c r="D28" s="76" t="inlineStr"/>
      <c r="E28" s="76">
        <f>IFERROR(C28-D28,"")</f>
        <v/>
      </c>
      <c r="F28" s="76" t="inlineStr"/>
      <c r="G28" s="76">
        <f>IFERROR(D28*F28,"")</f>
        <v/>
      </c>
      <c r="H28" s="76" t="inlineStr">
        <is>
          <t>Y</t>
        </is>
      </c>
      <c r="I28" s="78" t="n"/>
      <c r="J28" s="78" t="n"/>
    </row>
    <row r="29" ht="22" customHeight="1">
      <c r="B29" s="18" t="inlineStr">
        <is>
          <t>Management Quota</t>
        </is>
      </c>
      <c r="C29" s="6" t="inlineStr"/>
      <c r="D29" s="6" t="inlineStr"/>
      <c r="E29" s="6">
        <f>IFERROR(C29-D29,"")</f>
        <v/>
      </c>
      <c r="F29" s="6" t="inlineStr"/>
      <c r="G29" s="6">
        <f>IFERROR(D29*F29,"")</f>
        <v/>
      </c>
      <c r="H29" s="6" t="inlineStr">
        <is>
          <t>Y</t>
        </is>
      </c>
      <c r="I29" s="26" t="n"/>
      <c r="J29" s="26" t="n"/>
    </row>
    <row r="30" ht="22" customHeight="1">
      <c r="B30" s="77" t="inlineStr">
        <is>
          <t>Paid Seat</t>
        </is>
      </c>
      <c r="C30" s="76" t="inlineStr"/>
      <c r="D30" s="76" t="inlineStr"/>
      <c r="E30" s="76">
        <f>IFERROR(C30-D30,"")</f>
        <v/>
      </c>
      <c r="F30" s="76" t="inlineStr"/>
      <c r="G30" s="76">
        <f>IFERROR(D30*F30,"")</f>
        <v/>
      </c>
      <c r="H30" s="76" t="inlineStr">
        <is>
          <t>Y</t>
        </is>
      </c>
      <c r="I30" s="78" t="n"/>
      <c r="J30" s="78" t="n"/>
    </row>
    <row r="31" ht="22" customHeight="1"/>
  </sheetData>
  <mergeCells count="4">
    <mergeCell ref="B26:J26"/>
    <mergeCell ref="B3:J3"/>
    <mergeCell ref="B24:J24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3" customWidth="1" min="11" max="11"/>
  </cols>
  <sheetData>
    <row r="1" ht="10" customHeight="1"/>
    <row r="2" ht="48" customHeight="1">
      <c r="B2" s="11" t="inlineStr">
        <is>
          <t>AD-14: ADMISSION CANCELLATION &amp; FEE REFUND REGISTER</t>
        </is>
      </c>
    </row>
    <row r="3" ht="25" customHeight="1">
      <c r="B3" s="2" t="inlineStr">
        <is>
          <t>A.Y.: _______  Finance Officer: ___________________  Refund Policy: AICTE / UGC Guidelines</t>
        </is>
      </c>
    </row>
    <row r="4" ht="30" customHeight="1">
      <c r="B4" s="79" t="inlineStr">
        <is>
          <t>Adm. No.</t>
        </is>
      </c>
      <c r="C4" s="79" t="inlineStr">
        <is>
          <t>Student Name</t>
        </is>
      </c>
      <c r="D4" s="79" t="inlineStr">
        <is>
          <t>Programme</t>
        </is>
      </c>
      <c r="E4" s="79" t="inlineStr">
        <is>
          <t>Date of
Cancellation</t>
        </is>
      </c>
      <c r="F4" s="79" t="inlineStr">
        <is>
          <t>Reason for
Cancellation</t>
        </is>
      </c>
      <c r="G4" s="79" t="inlineStr">
        <is>
          <t>Fee Paid (₹)</t>
        </is>
      </c>
      <c r="H4" s="79" t="inlineStr">
        <is>
          <t>Refund Eligible (₹)</t>
        </is>
      </c>
      <c r="I4" s="79" t="inlineStr">
        <is>
          <t>Refund Processed
Date</t>
        </is>
      </c>
      <c r="J4" s="79" t="inlineStr">
        <is>
          <t>Status</t>
        </is>
      </c>
    </row>
    <row r="5" ht="22" customHeight="1">
      <c r="B5" s="80" t="inlineStr">
        <is>
          <t>ADM/2024/0001</t>
        </is>
      </c>
      <c r="C5" s="81" t="inlineStr"/>
      <c r="D5" s="82" t="inlineStr"/>
      <c r="E5" s="82" t="inlineStr"/>
      <c r="F5" s="81" t="inlineStr">
        <is>
          <t>Got admission elsewhere</t>
        </is>
      </c>
      <c r="G5" s="82" t="inlineStr"/>
      <c r="H5" s="82" t="inlineStr"/>
      <c r="I5" s="82" t="inlineStr"/>
      <c r="J5" s="82" t="inlineStr">
        <is>
          <t>Refund Processed</t>
        </is>
      </c>
    </row>
    <row r="6" ht="22" customHeight="1">
      <c r="B6" s="4" t="inlineStr">
        <is>
          <t>ADM/2024/0002</t>
        </is>
      </c>
      <c r="C6" s="5" t="inlineStr"/>
      <c r="D6" s="6" t="inlineStr"/>
      <c r="E6" s="6" t="inlineStr"/>
      <c r="F6" s="5" t="inlineStr">
        <is>
          <t>Personal reasons</t>
        </is>
      </c>
      <c r="G6" s="6" t="inlineStr"/>
      <c r="H6" s="6" t="inlineStr"/>
      <c r="I6" s="6" t="inlineStr"/>
      <c r="J6" s="6" t="inlineStr">
        <is>
          <t>Pending</t>
        </is>
      </c>
    </row>
    <row r="7" ht="22" customHeight="1">
      <c r="B7" s="80" t="inlineStr">
        <is>
          <t>ADM/2024/0003</t>
        </is>
      </c>
      <c r="C7" s="81" t="inlineStr"/>
      <c r="D7" s="82" t="inlineStr"/>
      <c r="E7" s="82" t="inlineStr"/>
      <c r="F7" s="81" t="inlineStr">
        <is>
          <t>Financial difficulty</t>
        </is>
      </c>
      <c r="G7" s="82" t="inlineStr"/>
      <c r="H7" s="82" t="inlineStr"/>
      <c r="I7" s="82" t="inlineStr"/>
      <c r="J7" s="82" t="inlineStr">
        <is>
          <t>Deducted &amp; Processed</t>
        </is>
      </c>
    </row>
    <row r="8" ht="22" customHeight="1">
      <c r="B8" s="4" t="inlineStr">
        <is>
          <t>ADM/2024/0004</t>
        </is>
      </c>
      <c r="C8" s="5" t="inlineStr"/>
      <c r="D8" s="6" t="inlineStr"/>
      <c r="E8" s="6" t="inlineStr"/>
      <c r="F8" s="5" t="inlineStr">
        <is>
          <t>Medical reasons</t>
        </is>
      </c>
      <c r="G8" s="6" t="inlineStr"/>
      <c r="H8" s="6" t="inlineStr"/>
      <c r="I8" s="6" t="inlineStr"/>
      <c r="J8" s="6" t="inlineStr">
        <is>
          <t>Under Review</t>
        </is>
      </c>
    </row>
    <row r="9" ht="22" customHeight="1">
      <c r="B9" s="80" t="inlineStr">
        <is>
          <t>ADM/2024/0005</t>
        </is>
      </c>
      <c r="C9" s="81" t="inlineStr"/>
      <c r="D9" s="82" t="inlineStr"/>
      <c r="E9" s="82" t="inlineStr"/>
      <c r="F9" s="81" t="inlineStr">
        <is>
          <t>Not interested</t>
        </is>
      </c>
      <c r="G9" s="82" t="inlineStr"/>
      <c r="H9" s="82" t="inlineStr"/>
      <c r="I9" s="82" t="inlineStr"/>
      <c r="J9" s="82" t="inlineStr">
        <is>
          <t>Refund Processed</t>
        </is>
      </c>
    </row>
    <row r="10" ht="22" customHeight="1">
      <c r="B10" s="4" t="inlineStr">
        <is>
          <t>ADM/2024/0006</t>
        </is>
      </c>
      <c r="C10" s="5" t="inlineStr"/>
      <c r="D10" s="6" t="inlineStr"/>
      <c r="E10" s="6" t="inlineStr"/>
      <c r="F10" s="5" t="inlineStr">
        <is>
          <t>Migrated to other state</t>
        </is>
      </c>
      <c r="G10" s="6" t="inlineStr"/>
      <c r="H10" s="6" t="inlineStr"/>
      <c r="I10" s="6" t="inlineStr"/>
      <c r="J10" s="6" t="inlineStr">
        <is>
          <t>Pending</t>
        </is>
      </c>
    </row>
    <row r="11" ht="22" customHeight="1">
      <c r="B11" s="80" t="inlineStr">
        <is>
          <t>ADM/2024/0007</t>
        </is>
      </c>
      <c r="C11" s="81" t="inlineStr"/>
      <c r="D11" s="82" t="inlineStr"/>
      <c r="E11" s="82" t="inlineStr"/>
      <c r="F11" s="81" t="inlineStr">
        <is>
          <t>Other</t>
        </is>
      </c>
      <c r="G11" s="82" t="inlineStr"/>
      <c r="H11" s="82" t="inlineStr"/>
      <c r="I11" s="82" t="inlineStr"/>
      <c r="J11" s="82" t="inlineStr">
        <is>
          <t>Deducted &amp; Processed</t>
        </is>
      </c>
    </row>
    <row r="12" ht="22" customHeight="1">
      <c r="B12" s="4" t="inlineStr">
        <is>
          <t>ADM/2024/0008</t>
        </is>
      </c>
      <c r="C12" s="5" t="inlineStr"/>
      <c r="D12" s="6" t="inlineStr"/>
      <c r="E12" s="6" t="inlineStr"/>
      <c r="F12" s="5" t="inlineStr">
        <is>
          <t>Got admission elsewhere</t>
        </is>
      </c>
      <c r="G12" s="6" t="inlineStr"/>
      <c r="H12" s="6" t="inlineStr"/>
      <c r="I12" s="6" t="inlineStr"/>
      <c r="J12" s="6" t="inlineStr">
        <is>
          <t>Under Review</t>
        </is>
      </c>
    </row>
    <row r="13" ht="22" customHeight="1">
      <c r="B13" s="80" t="inlineStr">
        <is>
          <t>ADM/2024/0009</t>
        </is>
      </c>
      <c r="C13" s="81" t="inlineStr"/>
      <c r="D13" s="82" t="inlineStr"/>
      <c r="E13" s="82" t="inlineStr"/>
      <c r="F13" s="81" t="inlineStr">
        <is>
          <t>Personal reasons</t>
        </is>
      </c>
      <c r="G13" s="82" t="inlineStr"/>
      <c r="H13" s="82" t="inlineStr"/>
      <c r="I13" s="82" t="inlineStr"/>
      <c r="J13" s="82" t="inlineStr">
        <is>
          <t>Refund Processed</t>
        </is>
      </c>
    </row>
    <row r="14" ht="22" customHeight="1">
      <c r="B14" s="4" t="inlineStr">
        <is>
          <t>ADM/2024/0010</t>
        </is>
      </c>
      <c r="C14" s="5" t="inlineStr"/>
      <c r="D14" s="6" t="inlineStr"/>
      <c r="E14" s="6" t="inlineStr"/>
      <c r="F14" s="5" t="inlineStr">
        <is>
          <t>Financial difficulty</t>
        </is>
      </c>
      <c r="G14" s="6" t="inlineStr"/>
      <c r="H14" s="6" t="inlineStr"/>
      <c r="I14" s="6" t="inlineStr"/>
      <c r="J14" s="6" t="inlineStr">
        <is>
          <t>Pending</t>
        </is>
      </c>
    </row>
    <row r="15" ht="22" customHeight="1">
      <c r="B15" s="80" t="inlineStr">
        <is>
          <t>ADM/2024/0011</t>
        </is>
      </c>
      <c r="C15" s="81" t="inlineStr"/>
      <c r="D15" s="82" t="inlineStr"/>
      <c r="E15" s="82" t="inlineStr"/>
      <c r="F15" s="81" t="inlineStr">
        <is>
          <t>Medical reasons</t>
        </is>
      </c>
      <c r="G15" s="82" t="inlineStr"/>
      <c r="H15" s="82" t="inlineStr"/>
      <c r="I15" s="82" t="inlineStr"/>
      <c r="J15" s="82" t="inlineStr">
        <is>
          <t>Deducted &amp; Processed</t>
        </is>
      </c>
    </row>
    <row r="16" ht="22" customHeight="1">
      <c r="B16" s="4" t="inlineStr">
        <is>
          <t>ADM/2024/0012</t>
        </is>
      </c>
      <c r="C16" s="5" t="inlineStr"/>
      <c r="D16" s="6" t="inlineStr"/>
      <c r="E16" s="6" t="inlineStr"/>
      <c r="F16" s="5" t="inlineStr">
        <is>
          <t>Not interested</t>
        </is>
      </c>
      <c r="G16" s="6" t="inlineStr"/>
      <c r="H16" s="6" t="inlineStr"/>
      <c r="I16" s="6" t="inlineStr"/>
      <c r="J16" s="6" t="inlineStr">
        <is>
          <t>Under Review</t>
        </is>
      </c>
    </row>
    <row r="17" ht="22" customHeight="1">
      <c r="B17" s="80" t="inlineStr">
        <is>
          <t>ADM/2024/0013</t>
        </is>
      </c>
      <c r="C17" s="81" t="inlineStr"/>
      <c r="D17" s="82" t="inlineStr"/>
      <c r="E17" s="82" t="inlineStr"/>
      <c r="F17" s="81" t="inlineStr">
        <is>
          <t>Migrated to other state</t>
        </is>
      </c>
      <c r="G17" s="82" t="inlineStr"/>
      <c r="H17" s="82" t="inlineStr"/>
      <c r="I17" s="82" t="inlineStr"/>
      <c r="J17" s="82" t="inlineStr">
        <is>
          <t>Refund Processed</t>
        </is>
      </c>
    </row>
    <row r="18" ht="22" customHeight="1">
      <c r="B18" s="4" t="inlineStr">
        <is>
          <t>ADM/2024/0014</t>
        </is>
      </c>
      <c r="C18" s="5" t="inlineStr"/>
      <c r="D18" s="6" t="inlineStr"/>
      <c r="E18" s="6" t="inlineStr"/>
      <c r="F18" s="5" t="inlineStr">
        <is>
          <t>Other</t>
        </is>
      </c>
      <c r="G18" s="6" t="inlineStr"/>
      <c r="H18" s="6" t="inlineStr"/>
      <c r="I18" s="6" t="inlineStr"/>
      <c r="J18" s="6" t="inlineStr">
        <is>
          <t>Pending</t>
        </is>
      </c>
    </row>
    <row r="19" ht="22" customHeight="1">
      <c r="B19" s="80" t="inlineStr">
        <is>
          <t>ADM/2024/0015</t>
        </is>
      </c>
      <c r="C19" s="81" t="inlineStr"/>
      <c r="D19" s="82" t="inlineStr"/>
      <c r="E19" s="82" t="inlineStr"/>
      <c r="F19" s="81" t="inlineStr">
        <is>
          <t>Got admission elsewhere</t>
        </is>
      </c>
      <c r="G19" s="82" t="inlineStr"/>
      <c r="H19" s="82" t="inlineStr"/>
      <c r="I19" s="82" t="inlineStr"/>
      <c r="J19" s="82" t="inlineStr">
        <is>
          <t>Deducted &amp; Processed</t>
        </is>
      </c>
    </row>
    <row r="20" ht="22" customHeight="1">
      <c r="B20" s="4" t="inlineStr">
        <is>
          <t>ADM/2024/0016</t>
        </is>
      </c>
      <c r="C20" s="5" t="inlineStr"/>
      <c r="D20" s="6" t="inlineStr"/>
      <c r="E20" s="6" t="inlineStr"/>
      <c r="F20" s="5" t="inlineStr">
        <is>
          <t>Personal reasons</t>
        </is>
      </c>
      <c r="G20" s="6" t="inlineStr"/>
      <c r="H20" s="6" t="inlineStr"/>
      <c r="I20" s="6" t="inlineStr"/>
      <c r="J20" s="6" t="inlineStr">
        <is>
          <t>Under Review</t>
        </is>
      </c>
    </row>
    <row r="21" ht="22" customHeight="1">
      <c r="B21" s="80" t="inlineStr">
        <is>
          <t>ADM/2024/0017</t>
        </is>
      </c>
      <c r="C21" s="81" t="inlineStr"/>
      <c r="D21" s="82" t="inlineStr"/>
      <c r="E21" s="82" t="inlineStr"/>
      <c r="F21" s="81" t="inlineStr">
        <is>
          <t>Financial difficulty</t>
        </is>
      </c>
      <c r="G21" s="82" t="inlineStr"/>
      <c r="H21" s="82" t="inlineStr"/>
      <c r="I21" s="82" t="inlineStr"/>
      <c r="J21" s="82" t="inlineStr">
        <is>
          <t>Refund Processed</t>
        </is>
      </c>
    </row>
    <row r="22" ht="22" customHeight="1">
      <c r="B22" s="4" t="inlineStr">
        <is>
          <t>ADM/2024/0018</t>
        </is>
      </c>
      <c r="C22" s="5" t="inlineStr"/>
      <c r="D22" s="6" t="inlineStr"/>
      <c r="E22" s="6" t="inlineStr"/>
      <c r="F22" s="5" t="inlineStr">
        <is>
          <t>Medical reasons</t>
        </is>
      </c>
      <c r="G22" s="6" t="inlineStr"/>
      <c r="H22" s="6" t="inlineStr"/>
      <c r="I22" s="6" t="inlineStr"/>
      <c r="J22" s="6" t="inlineStr">
        <is>
          <t>Pending</t>
        </is>
      </c>
    </row>
    <row r="23" ht="22" customHeight="1">
      <c r="B23" s="80" t="inlineStr">
        <is>
          <t>ADM/2024/0019</t>
        </is>
      </c>
      <c r="C23" s="81" t="inlineStr"/>
      <c r="D23" s="82" t="inlineStr"/>
      <c r="E23" s="82" t="inlineStr"/>
      <c r="F23" s="81" t="inlineStr">
        <is>
          <t>Not interested</t>
        </is>
      </c>
      <c r="G23" s="82" t="inlineStr"/>
      <c r="H23" s="82" t="inlineStr"/>
      <c r="I23" s="82" t="inlineStr"/>
      <c r="J23" s="82" t="inlineStr">
        <is>
          <t>Deducted &amp; Processed</t>
        </is>
      </c>
    </row>
    <row r="24" ht="22" customHeight="1">
      <c r="B24" s="4" t="inlineStr">
        <is>
          <t>ADM/2024/0020</t>
        </is>
      </c>
      <c r="C24" s="5" t="inlineStr"/>
      <c r="D24" s="6" t="inlineStr"/>
      <c r="E24" s="6" t="inlineStr"/>
      <c r="F24" s="5" t="inlineStr">
        <is>
          <t>Migrated to other state</t>
        </is>
      </c>
      <c r="G24" s="6" t="inlineStr"/>
      <c r="H24" s="6" t="inlineStr"/>
      <c r="I24" s="6" t="inlineStr"/>
      <c r="J24" s="6" t="inlineStr">
        <is>
          <t>Under Review</t>
        </is>
      </c>
    </row>
    <row r="25" ht="22" customHeight="1"/>
    <row r="26" ht="24" customHeight="1">
      <c r="B26" s="83" t="inlineStr">
        <is>
          <t>AICTE / UGC REFUND POLICY REFERENCE</t>
        </is>
      </c>
    </row>
    <row r="27" ht="22" customHeight="1">
      <c r="B27" s="59" t="inlineStr">
        <is>
          <t>Cancellation Timeline</t>
        </is>
      </c>
      <c r="C27" s="59" t="inlineStr">
        <is>
          <t>Refund Entitled</t>
        </is>
      </c>
      <c r="D27" s="59" t="inlineStr">
        <is>
          <t>Deduction / Retention</t>
        </is>
      </c>
      <c r="E27" s="59" t="inlineStr">
        <is>
          <t>Processing Time</t>
        </is>
      </c>
      <c r="F27" s="59" t="inlineStr">
        <is>
          <t>Authority</t>
        </is>
      </c>
    </row>
    <row r="28" ht="22" customHeight="1">
      <c r="B28" s="66" t="inlineStr">
        <is>
          <t>Before commencement of course</t>
        </is>
      </c>
      <c r="C28" s="62" t="inlineStr">
        <is>
          <t>Full refund</t>
        </is>
      </c>
      <c r="D28" s="62" t="inlineStr">
        <is>
          <t>Processing fee only</t>
        </is>
      </c>
      <c r="E28" s="62" t="inlineStr">
        <is>
          <t>15 days</t>
        </is>
      </c>
      <c r="F28" s="62" t="inlineStr">
        <is>
          <t>UGC / AICTE</t>
        </is>
      </c>
      <c r="G28" s="65" t="n"/>
      <c r="H28" s="65" t="n"/>
      <c r="I28" s="65" t="n"/>
      <c r="J28" s="65" t="n"/>
    </row>
    <row r="29" ht="22" customHeight="1">
      <c r="B29" s="18" t="inlineStr">
        <is>
          <t>Within 15 days of commencement</t>
        </is>
      </c>
      <c r="C29" s="6" t="inlineStr">
        <is>
          <t>Full refund – processing fee</t>
        </is>
      </c>
      <c r="D29" s="6" t="inlineStr">
        <is>
          <t>Upto ₹1,000</t>
        </is>
      </c>
      <c r="E29" s="6" t="inlineStr">
        <is>
          <t>15 days</t>
        </is>
      </c>
      <c r="F29" s="6" t="inlineStr">
        <is>
          <t>UGC 2018</t>
        </is>
      </c>
      <c r="G29" s="26" t="n"/>
      <c r="H29" s="26" t="n"/>
      <c r="I29" s="26" t="n"/>
      <c r="J29" s="26" t="n"/>
    </row>
    <row r="30" ht="22" customHeight="1">
      <c r="B30" s="66" t="inlineStr">
        <is>
          <t>After 15 days but within 30 days</t>
        </is>
      </c>
      <c r="C30" s="62" t="inlineStr">
        <is>
          <t>80% refund</t>
        </is>
      </c>
      <c r="D30" s="62" t="inlineStr">
        <is>
          <t>20% retained</t>
        </is>
      </c>
      <c r="E30" s="62" t="inlineStr">
        <is>
          <t>30 days</t>
        </is>
      </c>
      <c r="F30" s="62" t="inlineStr">
        <is>
          <t>UGC 2018</t>
        </is>
      </c>
      <c r="G30" s="65" t="n"/>
      <c r="H30" s="65" t="n"/>
      <c r="I30" s="65" t="n"/>
      <c r="J30" s="65" t="n"/>
    </row>
    <row r="31" ht="22" customHeight="1">
      <c r="B31" s="18" t="inlineStr">
        <is>
          <t>After 30 days but within 60 days</t>
        </is>
      </c>
      <c r="C31" s="6" t="inlineStr">
        <is>
          <t>50% refund</t>
        </is>
      </c>
      <c r="D31" s="6" t="inlineStr">
        <is>
          <t>50% retained</t>
        </is>
      </c>
      <c r="E31" s="6" t="inlineStr">
        <is>
          <t>30 days</t>
        </is>
      </c>
      <c r="F31" s="6" t="inlineStr">
        <is>
          <t>UGC 2018</t>
        </is>
      </c>
      <c r="G31" s="26" t="n"/>
      <c r="H31" s="26" t="n"/>
      <c r="I31" s="26" t="n"/>
      <c r="J31" s="26" t="n"/>
    </row>
    <row r="32" ht="22" customHeight="1">
      <c r="B32" s="66" t="inlineStr">
        <is>
          <t>After 60 days of commencement</t>
        </is>
      </c>
      <c r="C32" s="62" t="inlineStr">
        <is>
          <t>No refund</t>
        </is>
      </c>
      <c r="D32" s="62" t="inlineStr">
        <is>
          <t>Full fee retained</t>
        </is>
      </c>
      <c r="E32" s="62" t="inlineStr">
        <is>
          <t>—</t>
        </is>
      </c>
      <c r="F32" s="62" t="inlineStr">
        <is>
          <t>UGC 2018</t>
        </is>
      </c>
      <c r="G32" s="65" t="n"/>
      <c r="H32" s="65" t="n"/>
      <c r="I32" s="65" t="n"/>
      <c r="J32" s="65" t="n"/>
    </row>
    <row r="33" ht="22" customHeight="1">
      <c r="B33" s="18" t="inlineStr">
        <is>
          <t>NRI / Management Quota</t>
        </is>
      </c>
      <c r="C33" s="6" t="inlineStr">
        <is>
          <t>As per Univ. norms</t>
        </is>
      </c>
      <c r="D33" s="6" t="inlineStr">
        <is>
          <t>Varies</t>
        </is>
      </c>
      <c r="E33" s="6" t="inlineStr">
        <is>
          <t>Per policy</t>
        </is>
      </c>
      <c r="F33" s="6" t="inlineStr">
        <is>
          <t>University</t>
        </is>
      </c>
      <c r="G33" s="26" t="n"/>
      <c r="H33" s="26" t="n"/>
      <c r="I33" s="26" t="n"/>
      <c r="J33" s="26" t="n"/>
    </row>
    <row r="34" ht="22" customHeight="1"/>
    <row r="35" ht="24" customHeight="1">
      <c r="B35" s="21" t="inlineStr">
        <is>
          <t>REFUND SUMMARY</t>
        </is>
      </c>
    </row>
    <row r="36" ht="22" customHeight="1">
      <c r="B36" s="84" t="inlineStr">
        <is>
          <t>Total Cancellations</t>
        </is>
      </c>
      <c r="F36" s="34">
        <f>COUNTA(B5:B24)</f>
        <v/>
      </c>
    </row>
    <row r="37" ht="22" customHeight="1">
      <c r="B37" s="18" t="inlineStr">
        <is>
          <t>Total Fee Collected from Cancelled Students</t>
        </is>
      </c>
      <c r="F37" s="35">
        <f>IFERROR(SUM(G5:G24),"")</f>
        <v/>
      </c>
    </row>
    <row r="38">
      <c r="B38" s="84" t="inlineStr">
        <is>
          <t>Total Refund Eligible</t>
        </is>
      </c>
      <c r="F38" s="34">
        <f>IFERROR(SUM(H5:H24),"")</f>
        <v/>
      </c>
    </row>
    <row r="39">
      <c r="B39" s="18" t="inlineStr">
        <is>
          <t>Refund Processed</t>
        </is>
      </c>
      <c r="F39" s="35">
        <f>COUNTIF(J5:J24,"Refund Processed")</f>
        <v/>
      </c>
    </row>
    <row r="40">
      <c r="B40" s="84" t="inlineStr">
        <is>
          <t>Pending Refunds</t>
        </is>
      </c>
      <c r="F40" s="34">
        <f>COUNTIF(J5:J24,"Pending")</f>
        <v/>
      </c>
    </row>
    <row r="41">
      <c r="B41" s="18" t="inlineStr">
        <is>
          <t>Refund Processing Rate (%)</t>
        </is>
      </c>
      <c r="F41" s="35">
        <f>IFERROR(ROUND(C40/C36*100,1),"")</f>
        <v/>
      </c>
    </row>
  </sheetData>
  <mergeCells count="16">
    <mergeCell ref="B40:E40"/>
    <mergeCell ref="B41:E41"/>
    <mergeCell ref="B3:J3"/>
    <mergeCell ref="F37:J37"/>
    <mergeCell ref="F39:J39"/>
    <mergeCell ref="F40:J40"/>
    <mergeCell ref="F38:J38"/>
    <mergeCell ref="B38:E38"/>
    <mergeCell ref="B26:J26"/>
    <mergeCell ref="F36:J36"/>
    <mergeCell ref="B39:E39"/>
    <mergeCell ref="B35:J35"/>
    <mergeCell ref="B37:E37"/>
    <mergeCell ref="F41:J41"/>
    <mergeCell ref="B36:E36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K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" customWidth="1" min="12" max="12"/>
  </cols>
  <sheetData>
    <row r="1" ht="10" customHeight="1"/>
    <row r="2" ht="48" customHeight="1">
      <c r="B2" s="11" t="inlineStr">
        <is>
          <t>AD-15: FINAL ADMISSION CONFIRMATION &amp; REGULATORY REPORTING</t>
        </is>
      </c>
    </row>
    <row r="3" ht="25" customHeight="1">
      <c r="B3" s="2" t="inlineStr">
        <is>
          <t>A.Y.: _______  Submission to: AICTE / University / State Govt.  Date: _______  Prepared by: ___________________</t>
        </is>
      </c>
    </row>
    <row r="4" ht="24" customHeight="1">
      <c r="B4" s="44" t="inlineStr">
        <is>
          <t>PROGRAMME-WISE ADMISSION SUMMARY</t>
        </is>
      </c>
    </row>
    <row r="5" ht="22" customHeight="1">
      <c r="B5" s="12" t="inlineStr">
        <is>
          <t>Programme</t>
        </is>
      </c>
      <c r="C5" s="12" t="inlineStr">
        <is>
          <t>Approved
Intake</t>
        </is>
      </c>
      <c r="D5" s="12" t="inlineStr">
        <is>
          <t>Applications
Received</t>
        </is>
      </c>
      <c r="E5" s="12" t="inlineStr">
        <is>
          <t>Shortlisted</t>
        </is>
      </c>
      <c r="F5" s="12" t="inlineStr">
        <is>
          <t>Allotted</t>
        </is>
      </c>
      <c r="G5" s="12" t="inlineStr">
        <is>
          <t>Confirmed</t>
        </is>
      </c>
      <c r="H5" s="12" t="inlineStr">
        <is>
          <t>Cancelled</t>
        </is>
      </c>
      <c r="I5" s="12" t="inlineStr">
        <is>
          <t>Final
Enrolled</t>
        </is>
      </c>
      <c r="J5" s="12" t="inlineStr">
        <is>
          <t>Filling
Rate %</t>
        </is>
      </c>
      <c r="K5" s="12" t="inlineStr">
        <is>
          <t>Vacant</t>
        </is>
      </c>
    </row>
    <row r="6" ht="22" customHeight="1">
      <c r="B6" s="17" t="inlineStr">
        <is>
          <t>B.E. CSE</t>
        </is>
      </c>
      <c r="C6" s="15" t="inlineStr"/>
      <c r="D6" s="15" t="inlineStr"/>
      <c r="E6" s="15" t="inlineStr"/>
      <c r="F6" s="15" t="inlineStr"/>
      <c r="G6" s="15" t="inlineStr"/>
      <c r="H6" s="15" t="inlineStr"/>
      <c r="I6" s="15">
        <f>IFERROR(H6-I6,"")</f>
        <v/>
      </c>
      <c r="J6" s="15">
        <f>IFERROR(ROUND(J6/C6*100,1),"")</f>
        <v/>
      </c>
      <c r="K6" s="15">
        <f>IFERROR(C6-J6,"")</f>
        <v/>
      </c>
    </row>
    <row r="7" ht="22" customHeight="1">
      <c r="B7" s="18" t="inlineStr">
        <is>
          <t>B.E. ECE</t>
        </is>
      </c>
      <c r="C7" s="6" t="inlineStr"/>
      <c r="D7" s="6" t="inlineStr"/>
      <c r="E7" s="6" t="inlineStr"/>
      <c r="F7" s="6" t="inlineStr"/>
      <c r="G7" s="6" t="inlineStr"/>
      <c r="H7" s="6" t="inlineStr"/>
      <c r="I7" s="6">
        <f>IFERROR(H7-I7,"")</f>
        <v/>
      </c>
      <c r="J7" s="6">
        <f>IFERROR(ROUND(J7/C7*100,1),"")</f>
        <v/>
      </c>
      <c r="K7" s="6">
        <f>IFERROR(C7-J7,"")</f>
        <v/>
      </c>
    </row>
    <row r="8" ht="22" customHeight="1">
      <c r="B8" s="17" t="inlineStr">
        <is>
          <t>B.E. EEE</t>
        </is>
      </c>
      <c r="C8" s="15" t="inlineStr"/>
      <c r="D8" s="15" t="inlineStr"/>
      <c r="E8" s="15" t="inlineStr"/>
      <c r="F8" s="15" t="inlineStr"/>
      <c r="G8" s="15" t="inlineStr"/>
      <c r="H8" s="15" t="inlineStr"/>
      <c r="I8" s="15">
        <f>IFERROR(H8-I8,"")</f>
        <v/>
      </c>
      <c r="J8" s="15">
        <f>IFERROR(ROUND(J8/C8*100,1),"")</f>
        <v/>
      </c>
      <c r="K8" s="15">
        <f>IFERROR(C8-J8,"")</f>
        <v/>
      </c>
    </row>
    <row r="9" ht="22" customHeight="1">
      <c r="B9" s="18" t="inlineStr">
        <is>
          <t>B.E. MECH</t>
        </is>
      </c>
      <c r="C9" s="6" t="inlineStr"/>
      <c r="D9" s="6" t="inlineStr"/>
      <c r="E9" s="6" t="inlineStr"/>
      <c r="F9" s="6" t="inlineStr"/>
      <c r="G9" s="6" t="inlineStr"/>
      <c r="H9" s="6" t="inlineStr"/>
      <c r="I9" s="6">
        <f>IFERROR(H9-I9,"")</f>
        <v/>
      </c>
      <c r="J9" s="6">
        <f>IFERROR(ROUND(J9/C9*100,1),"")</f>
        <v/>
      </c>
      <c r="K9" s="6">
        <f>IFERROR(C9-J9,"")</f>
        <v/>
      </c>
    </row>
    <row r="10" ht="22" customHeight="1">
      <c r="B10" s="17" t="inlineStr">
        <is>
          <t>B.E. CIVIL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>
        <f>IFERROR(H10-I10,"")</f>
        <v/>
      </c>
      <c r="J10" s="15">
        <f>IFERROR(ROUND(J10/C10*100,1),"")</f>
        <v/>
      </c>
      <c r="K10" s="15">
        <f>IFERROR(C10-J10,"")</f>
        <v/>
      </c>
    </row>
    <row r="11" ht="22" customHeight="1">
      <c r="B11" s="18" t="inlineStr">
        <is>
          <t>M.E./M.Tech</t>
        </is>
      </c>
      <c r="C11" s="6" t="inlineStr"/>
      <c r="D11" s="6" t="inlineStr"/>
      <c r="E11" s="6" t="inlineStr"/>
      <c r="F11" s="6" t="inlineStr"/>
      <c r="G11" s="6" t="inlineStr"/>
      <c r="H11" s="6" t="inlineStr"/>
      <c r="I11" s="6">
        <f>IFERROR(H11-I11,"")</f>
        <v/>
      </c>
      <c r="J11" s="6">
        <f>IFERROR(ROUND(J11/C11*100,1),"")</f>
        <v/>
      </c>
      <c r="K11" s="6">
        <f>IFERROR(C11-J11,"")</f>
        <v/>
      </c>
    </row>
    <row r="12" ht="22" customHeight="1">
      <c r="B12" s="17" t="inlineStr">
        <is>
          <t>MBA</t>
        </is>
      </c>
      <c r="C12" s="15" t="inlineStr"/>
      <c r="D12" s="15" t="inlineStr"/>
      <c r="E12" s="15" t="inlineStr"/>
      <c r="F12" s="15" t="inlineStr"/>
      <c r="G12" s="15" t="inlineStr"/>
      <c r="H12" s="15" t="inlineStr"/>
      <c r="I12" s="15">
        <f>IFERROR(H12-I12,"")</f>
        <v/>
      </c>
      <c r="J12" s="15">
        <f>IFERROR(ROUND(J12/C12*100,1),"")</f>
        <v/>
      </c>
      <c r="K12" s="15">
        <f>IFERROR(C12-J12,"")</f>
        <v/>
      </c>
    </row>
    <row r="13" ht="22" customHeight="1">
      <c r="B13" s="18" t="inlineStr">
        <is>
          <t>MCA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>
        <f>IFERROR(H13-I13,"")</f>
        <v/>
      </c>
      <c r="J13" s="6">
        <f>IFERROR(ROUND(J13/C13*100,1),"")</f>
        <v/>
      </c>
      <c r="K13" s="6">
        <f>IFERROR(C13-J13,"")</f>
        <v/>
      </c>
    </row>
    <row r="14" ht="22" customHeight="1">
      <c r="B14" s="17" t="inlineStr">
        <is>
          <t>B.Sc.</t>
        </is>
      </c>
      <c r="C14" s="15" t="inlineStr"/>
      <c r="D14" s="15" t="inlineStr"/>
      <c r="E14" s="15" t="inlineStr"/>
      <c r="F14" s="15" t="inlineStr"/>
      <c r="G14" s="15" t="inlineStr"/>
      <c r="H14" s="15" t="inlineStr"/>
      <c r="I14" s="15">
        <f>IFERROR(H14-I14,"")</f>
        <v/>
      </c>
      <c r="J14" s="15">
        <f>IFERROR(ROUND(J14/C14*100,1),"")</f>
        <v/>
      </c>
      <c r="K14" s="15">
        <f>IFERROR(C14-J14,"")</f>
        <v/>
      </c>
    </row>
    <row r="15" ht="22" customHeight="1">
      <c r="B15" s="18" t="inlineStr">
        <is>
          <t>B.Com.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>
        <f>IFERROR(H15-I15,"")</f>
        <v/>
      </c>
      <c r="J15" s="6">
        <f>IFERROR(ROUND(J15/C15*100,1),"")</f>
        <v/>
      </c>
      <c r="K15" s="6">
        <f>IFERROR(C15-J15,"")</f>
        <v/>
      </c>
    </row>
    <row r="16" ht="22" customHeight="1">
      <c r="B16" s="17" t="inlineStr">
        <is>
          <t>B.A.</t>
        </is>
      </c>
      <c r="C16" s="15" t="inlineStr"/>
      <c r="D16" s="15" t="inlineStr"/>
      <c r="E16" s="15" t="inlineStr"/>
      <c r="F16" s="15" t="inlineStr"/>
      <c r="G16" s="15" t="inlineStr"/>
      <c r="H16" s="15" t="inlineStr"/>
      <c r="I16" s="15">
        <f>IFERROR(H16-I16,"")</f>
        <v/>
      </c>
      <c r="J16" s="15">
        <f>IFERROR(ROUND(J16/C16*100,1),"")</f>
        <v/>
      </c>
      <c r="K16" s="15">
        <f>IFERROR(C16-J16,"")</f>
        <v/>
      </c>
    </row>
    <row r="17" ht="22" customHeight="1">
      <c r="B17" s="18" t="inlineStr">
        <is>
          <t>Ph.D.</t>
        </is>
      </c>
      <c r="C17" s="6" t="inlineStr"/>
      <c r="D17" s="6" t="inlineStr"/>
      <c r="E17" s="6" t="inlineStr"/>
      <c r="F17" s="6" t="inlineStr"/>
      <c r="G17" s="6" t="inlineStr"/>
      <c r="H17" s="6" t="inlineStr"/>
      <c r="I17" s="6">
        <f>IFERROR(H17-I17,"")</f>
        <v/>
      </c>
      <c r="J17" s="6">
        <f>IFERROR(ROUND(J17/C17*100,1),"")</f>
        <v/>
      </c>
      <c r="K17" s="6">
        <f>IFERROR(C17-J17,"")</f>
        <v/>
      </c>
    </row>
    <row r="18" ht="22" customHeight="1">
      <c r="B18" s="85" t="inlineStr">
        <is>
          <t>INSTITUTION TOTAL</t>
        </is>
      </c>
      <c r="C18" s="20">
        <f>IFERROR(SUM(C6:C17),"")</f>
        <v/>
      </c>
      <c r="D18" s="20">
        <f>IFERROR(SUM(D6:D17),"")</f>
        <v/>
      </c>
      <c r="E18" s="20">
        <f>IFERROR(SUM(E6:E17),"")</f>
        <v/>
      </c>
      <c r="F18" s="20">
        <f>IFERROR(SUM(F6:F17),"")</f>
        <v/>
      </c>
      <c r="G18" s="20">
        <f>IFERROR(SUM(G6:G17),"")</f>
        <v/>
      </c>
      <c r="H18" s="20">
        <f>IFERROR(SUM(H6:H17),"")</f>
        <v/>
      </c>
      <c r="I18" s="20">
        <f>IFERROR(SUM(I6:I17),"")</f>
        <v/>
      </c>
      <c r="J18" s="20">
        <f>IFERROR(ROUND(J18/C18*100,1),"")</f>
        <v/>
      </c>
      <c r="K18" s="20">
        <f>IFERROR(SUM(K6:K17),"")</f>
        <v/>
      </c>
    </row>
    <row r="19" ht="22" customHeight="1"/>
    <row r="20" ht="24" customHeight="1">
      <c r="B20" s="86" t="inlineStr">
        <is>
          <t>CATEGORY-WISE ENROLLED SUMMARY (INSTITUTION TOTAL)</t>
        </is>
      </c>
    </row>
    <row r="21" ht="22" customHeight="1">
      <c r="B21" s="36" t="inlineStr">
        <is>
          <t>Programme</t>
        </is>
      </c>
      <c r="C21" s="36" t="inlineStr">
        <is>
          <t>General</t>
        </is>
      </c>
      <c r="D21" s="36" t="inlineStr">
        <is>
          <t>OBC</t>
        </is>
      </c>
      <c r="E21" s="36" t="inlineStr">
        <is>
          <t>SC</t>
        </is>
      </c>
      <c r="F21" s="36" t="inlineStr">
        <is>
          <t>ST</t>
        </is>
      </c>
      <c r="G21" s="36" t="inlineStr">
        <is>
          <t>EWS</t>
        </is>
      </c>
      <c r="H21" s="36" t="inlineStr">
        <is>
          <t>PH</t>
        </is>
      </c>
      <c r="I21" s="36" t="inlineStr">
        <is>
          <t>NRI</t>
        </is>
      </c>
      <c r="J21" s="36" t="inlineStr">
        <is>
          <t>Mgmt.</t>
        </is>
      </c>
      <c r="K21" s="36" t="inlineStr">
        <is>
          <t>Total</t>
        </is>
      </c>
    </row>
    <row r="22" ht="22" customHeight="1">
      <c r="B22" s="38" t="inlineStr">
        <is>
          <t>B.E. CSE</t>
        </is>
      </c>
      <c r="C22" s="39" t="inlineStr"/>
      <c r="D22" s="39" t="inlineStr"/>
      <c r="E22" s="39" t="inlineStr"/>
      <c r="F22" s="39" t="inlineStr"/>
      <c r="G22" s="39" t="inlineStr"/>
      <c r="H22" s="39" t="inlineStr"/>
      <c r="I22" s="39" t="inlineStr"/>
      <c r="J22" s="39" t="inlineStr"/>
      <c r="K22" s="39">
        <f>IFERROR(SUM(C22:J22),"")</f>
        <v/>
      </c>
    </row>
    <row r="23" ht="22" customHeight="1">
      <c r="B23" s="5" t="inlineStr">
        <is>
          <t>B.E. ECE</t>
        </is>
      </c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>
        <f>IFERROR(SUM(C23:J23),"")</f>
        <v/>
      </c>
    </row>
    <row r="24" ht="22" customHeight="1">
      <c r="B24" s="38" t="inlineStr">
        <is>
          <t>B.E. EEE</t>
        </is>
      </c>
      <c r="C24" s="39" t="inlineStr"/>
      <c r="D24" s="39" t="inlineStr"/>
      <c r="E24" s="39" t="inlineStr"/>
      <c r="F24" s="39" t="inlineStr"/>
      <c r="G24" s="39" t="inlineStr"/>
      <c r="H24" s="39" t="inlineStr"/>
      <c r="I24" s="39" t="inlineStr"/>
      <c r="J24" s="39" t="inlineStr"/>
      <c r="K24" s="39">
        <f>IFERROR(SUM(C24:J24),"")</f>
        <v/>
      </c>
    </row>
    <row r="25" ht="22" customHeight="1">
      <c r="B25" s="5" t="inlineStr">
        <is>
          <t>B.E. MECH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>
        <f>IFERROR(SUM(C25:J25),"")</f>
        <v/>
      </c>
    </row>
    <row r="26" ht="22" customHeight="1">
      <c r="B26" s="38" t="inlineStr">
        <is>
          <t>B.E. CIVIL</t>
        </is>
      </c>
      <c r="C26" s="39" t="inlineStr"/>
      <c r="D26" s="39" t="inlineStr"/>
      <c r="E26" s="39" t="inlineStr"/>
      <c r="F26" s="39" t="inlineStr"/>
      <c r="G26" s="39" t="inlineStr"/>
      <c r="H26" s="39" t="inlineStr"/>
      <c r="I26" s="39" t="inlineStr"/>
      <c r="J26" s="39" t="inlineStr"/>
      <c r="K26" s="39">
        <f>IFERROR(SUM(C26:J26),"")</f>
        <v/>
      </c>
    </row>
    <row r="27" ht="22" customHeight="1">
      <c r="B27" s="5" t="inlineStr">
        <is>
          <t>M.E./M.Tech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>
        <f>IFERROR(SUM(C27:J27),"")</f>
        <v/>
      </c>
    </row>
    <row r="28" ht="22" customHeight="1">
      <c r="B28" s="38" t="inlineStr">
        <is>
          <t>MBA</t>
        </is>
      </c>
      <c r="C28" s="39" t="inlineStr"/>
      <c r="D28" s="39" t="inlineStr"/>
      <c r="E28" s="39" t="inlineStr"/>
      <c r="F28" s="39" t="inlineStr"/>
      <c r="G28" s="39" t="inlineStr"/>
      <c r="H28" s="39" t="inlineStr"/>
      <c r="I28" s="39" t="inlineStr"/>
      <c r="J28" s="39" t="inlineStr"/>
      <c r="K28" s="39">
        <f>IFERROR(SUM(C28:J28),"")</f>
        <v/>
      </c>
    </row>
    <row r="29" ht="22" customHeight="1">
      <c r="B29" s="5" t="inlineStr">
        <is>
          <t>MCA</t>
        </is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  <c r="J29" s="6" t="inlineStr"/>
      <c r="K29" s="6">
        <f>IFERROR(SUM(C29:J29),"")</f>
        <v/>
      </c>
    </row>
    <row r="30" ht="22" customHeight="1">
      <c r="B30" s="38" t="inlineStr">
        <is>
          <t>B.Sc.</t>
        </is>
      </c>
      <c r="C30" s="39" t="inlineStr"/>
      <c r="D30" s="39" t="inlineStr"/>
      <c r="E30" s="39" t="inlineStr"/>
      <c r="F30" s="39" t="inlineStr"/>
      <c r="G30" s="39" t="inlineStr"/>
      <c r="H30" s="39" t="inlineStr"/>
      <c r="I30" s="39" t="inlineStr"/>
      <c r="J30" s="39" t="inlineStr"/>
      <c r="K30" s="39">
        <f>IFERROR(SUM(C30:J30),"")</f>
        <v/>
      </c>
    </row>
    <row r="31" ht="22" customHeight="1">
      <c r="B31" s="5" t="inlineStr">
        <is>
          <t>B.Com.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>
        <f>IFERROR(SUM(C31:J31),"")</f>
        <v/>
      </c>
    </row>
    <row r="32" ht="22" customHeight="1">
      <c r="B32" s="38" t="inlineStr">
        <is>
          <t>B.A.</t>
        </is>
      </c>
      <c r="C32" s="39" t="inlineStr"/>
      <c r="D32" s="39" t="inlineStr"/>
      <c r="E32" s="39" t="inlineStr"/>
      <c r="F32" s="39" t="inlineStr"/>
      <c r="G32" s="39" t="inlineStr"/>
      <c r="H32" s="39" t="inlineStr"/>
      <c r="I32" s="39" t="inlineStr"/>
      <c r="J32" s="39" t="inlineStr"/>
      <c r="K32" s="39">
        <f>IFERROR(SUM(C32:J32),"")</f>
        <v/>
      </c>
    </row>
    <row r="33" ht="22" customHeight="1">
      <c r="B33" s="66" t="inlineStr">
        <is>
          <t>TOTAL</t>
        </is>
      </c>
      <c r="C33" s="60" t="inlineStr"/>
      <c r="D33" s="60" t="inlineStr"/>
      <c r="E33" s="60" t="inlineStr"/>
      <c r="F33" s="60" t="inlineStr"/>
      <c r="G33" s="60" t="inlineStr"/>
      <c r="H33" s="60" t="inlineStr"/>
      <c r="I33" s="60" t="inlineStr"/>
      <c r="J33" s="60" t="inlineStr"/>
      <c r="K33" s="60">
        <f>IFERROR(SUM(C33:J33),"")</f>
        <v/>
      </c>
    </row>
    <row r="34" ht="22" customHeight="1"/>
    <row r="35" ht="24" customHeight="1">
      <c r="B35" s="21" t="inlineStr">
        <is>
          <t>GENDER-WISE SUMMARY</t>
        </is>
      </c>
    </row>
    <row r="36" ht="22" customHeight="1">
      <c r="B36" s="22" t="inlineStr">
        <is>
          <t>Programme</t>
        </is>
      </c>
      <c r="C36" s="22" t="inlineStr">
        <is>
          <t>Male</t>
        </is>
      </c>
      <c r="D36" s="22" t="inlineStr">
        <is>
          <t>Female</t>
        </is>
      </c>
      <c r="E36" s="22" t="inlineStr">
        <is>
          <t>Transgender</t>
        </is>
      </c>
      <c r="F36" s="22" t="inlineStr">
        <is>
          <t>Total</t>
        </is>
      </c>
      <c r="G36" s="22" t="inlineStr">
        <is>
          <t>% Female</t>
        </is>
      </c>
    </row>
    <row r="37" ht="22" customHeight="1">
      <c r="B37" s="56" t="inlineStr">
        <is>
          <t>B.E. / B.Tech (All)</t>
        </is>
      </c>
      <c r="C37" s="24" t="inlineStr"/>
      <c r="D37" s="24" t="inlineStr"/>
      <c r="E37" s="24" t="inlineStr"/>
      <c r="F37" s="24">
        <f>IFERROR(SUM(C37:E37),"")</f>
        <v/>
      </c>
      <c r="G37" s="24">
        <f>IFERROR(ROUND(D37/G37*100,1),"")</f>
        <v/>
      </c>
      <c r="H37" s="24" t="inlineStr"/>
      <c r="I37" s="25" t="n"/>
      <c r="J37" s="25" t="n"/>
      <c r="K37" s="25" t="n"/>
    </row>
    <row r="38" ht="22" customHeight="1">
      <c r="B38" s="5" t="inlineStr">
        <is>
          <t>PG Engineering</t>
        </is>
      </c>
      <c r="C38" s="6" t="inlineStr"/>
      <c r="D38" s="6" t="inlineStr"/>
      <c r="E38" s="6" t="inlineStr"/>
      <c r="F38" s="6">
        <f>IFERROR(SUM(C38:E38),"")</f>
        <v/>
      </c>
      <c r="G38" s="6">
        <f>IFERROR(ROUND(D38/G38*100,1),"")</f>
        <v/>
      </c>
      <c r="H38" s="6" t="inlineStr"/>
      <c r="I38" s="26" t="n"/>
      <c r="J38" s="26" t="n"/>
      <c r="K38" s="26" t="n"/>
    </row>
    <row r="39" ht="22" customHeight="1">
      <c r="B39" s="56" t="inlineStr">
        <is>
          <t>MBA / MCA</t>
        </is>
      </c>
      <c r="C39" s="24" t="inlineStr"/>
      <c r="D39" s="24" t="inlineStr"/>
      <c r="E39" s="24" t="inlineStr"/>
      <c r="F39" s="24">
        <f>IFERROR(SUM(C39:E39),"")</f>
        <v/>
      </c>
      <c r="G39" s="24">
        <f>IFERROR(ROUND(D39/G39*100,1),"")</f>
        <v/>
      </c>
      <c r="H39" s="24" t="inlineStr"/>
      <c r="I39" s="25" t="n"/>
      <c r="J39" s="25" t="n"/>
      <c r="K39" s="25" t="n"/>
    </row>
    <row r="40" ht="22" customHeight="1">
      <c r="B40" s="5" t="inlineStr">
        <is>
          <t>UG Others</t>
        </is>
      </c>
      <c r="C40" s="6" t="inlineStr"/>
      <c r="D40" s="6" t="inlineStr"/>
      <c r="E40" s="6" t="inlineStr"/>
      <c r="F40" s="6">
        <f>IFERROR(SUM(C40:E40),"")</f>
        <v/>
      </c>
      <c r="G40" s="6">
        <f>IFERROR(ROUND(D40/G40*100,1),"")</f>
        <v/>
      </c>
      <c r="H40" s="6" t="inlineStr"/>
      <c r="I40" s="26" t="n"/>
      <c r="J40" s="26" t="n"/>
      <c r="K40" s="26" t="n"/>
    </row>
    <row r="41" ht="22" customHeight="1">
      <c r="B41" s="66" t="inlineStr">
        <is>
          <t>INSTITUTION TOTAL</t>
        </is>
      </c>
      <c r="C41" s="60" t="inlineStr"/>
      <c r="D41" s="60" t="inlineStr"/>
      <c r="E41" s="60" t="inlineStr"/>
      <c r="F41" s="60">
        <f>IFERROR(SUM(C41:E41),"")</f>
        <v/>
      </c>
      <c r="G41" s="60">
        <f>IFERROR(ROUND(D41/G41*100,1),"")</f>
        <v/>
      </c>
      <c r="H41" s="60" t="inlineStr"/>
      <c r="I41" s="65" t="n"/>
      <c r="J41" s="65" t="n"/>
      <c r="K41" s="65" t="n"/>
    </row>
    <row r="42" ht="22" customHeight="1"/>
    <row r="43" ht="20" customHeight="1">
      <c r="B43" s="16" t="inlineStr">
        <is>
          <t>This report to be submitted to: AICTE (via EAP portal), Affiliating University, State DME / DHE, NIRF data portal &amp; IQAC for AQAR.</t>
        </is>
      </c>
    </row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</sheetData>
  <mergeCells count="6">
    <mergeCell ref="B4:K4"/>
    <mergeCell ref="B35:K35"/>
    <mergeCell ref="B43:K43"/>
    <mergeCell ref="B2:K2"/>
    <mergeCell ref="B20:K20"/>
    <mergeCell ref="B3:K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I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14" customWidth="1" min="4" max="4"/>
    <col width="20" customWidth="1" min="5" max="5"/>
    <col width="12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AD-16: ADMISSION GRIEVANCE REGISTER</t>
        </is>
      </c>
    </row>
    <row r="3" ht="25" customHeight="1">
      <c r="B3" s="2" t="inlineStr">
        <is>
          <t>A.Y.: _______  Grievance Officer: ___________________  Grievance Cell Email: _______</t>
        </is>
      </c>
    </row>
    <row r="4" ht="30" customHeight="1">
      <c r="B4" s="73" t="inlineStr">
        <is>
          <t>Grievance
Ref. No.</t>
        </is>
      </c>
      <c r="C4" s="73" t="inlineStr">
        <is>
          <t>Applicant / Student Name</t>
        </is>
      </c>
      <c r="D4" s="73" t="inlineStr">
        <is>
          <t>Contact</t>
        </is>
      </c>
      <c r="E4" s="73" t="inlineStr">
        <is>
          <t>Nature of Grievance</t>
        </is>
      </c>
      <c r="F4" s="73" t="inlineStr">
        <is>
          <t>Date
Filed</t>
        </is>
      </c>
      <c r="G4" s="73" t="inlineStr">
        <is>
          <t>Assigned to</t>
        </is>
      </c>
      <c r="H4" s="73" t="inlineStr">
        <is>
          <t>Date
Resolved</t>
        </is>
      </c>
      <c r="I4" s="73" t="inlineStr">
        <is>
          <t>Status &amp; Action Taken</t>
        </is>
      </c>
    </row>
    <row r="5" ht="25" customHeight="1">
      <c r="B5" s="74" t="inlineStr">
        <is>
          <t>GRV/ADM/2024/001</t>
        </is>
      </c>
      <c r="C5" s="75" t="inlineStr"/>
      <c r="D5" s="76" t="inlineStr"/>
      <c r="E5" s="75" t="inlineStr">
        <is>
          <t>Merit list error</t>
        </is>
      </c>
      <c r="F5" s="76" t="inlineStr"/>
      <c r="G5" s="76" t="inlineStr"/>
      <c r="H5" s="76" t="inlineStr"/>
      <c r="I5" s="75" t="inlineStr">
        <is>
          <t>Resolved</t>
        </is>
      </c>
    </row>
    <row r="6" ht="25" customHeight="1">
      <c r="B6" s="4" t="inlineStr">
        <is>
          <t>GRV/ADM/2024/002</t>
        </is>
      </c>
      <c r="C6" s="5" t="inlineStr"/>
      <c r="D6" s="6" t="inlineStr"/>
      <c r="E6" s="5" t="inlineStr">
        <is>
          <t>Wrong category allotment</t>
        </is>
      </c>
      <c r="F6" s="6" t="inlineStr"/>
      <c r="G6" s="6" t="inlineStr"/>
      <c r="H6" s="6" t="inlineStr"/>
      <c r="I6" s="5" t="inlineStr">
        <is>
          <t>Pending</t>
        </is>
      </c>
    </row>
    <row r="7" ht="25" customHeight="1">
      <c r="B7" s="74" t="inlineStr">
        <is>
          <t>GRV/ADM/2024/003</t>
        </is>
      </c>
      <c r="C7" s="75" t="inlineStr"/>
      <c r="D7" s="76" t="inlineStr"/>
      <c r="E7" s="75" t="inlineStr">
        <is>
          <t>Document rejection</t>
        </is>
      </c>
      <c r="F7" s="76" t="inlineStr"/>
      <c r="G7" s="76" t="inlineStr"/>
      <c r="H7" s="76" t="inlineStr"/>
      <c r="I7" s="75" t="inlineStr">
        <is>
          <t>Under Review</t>
        </is>
      </c>
    </row>
    <row r="8" ht="25" customHeight="1">
      <c r="B8" s="4" t="inlineStr">
        <is>
          <t>GRV/ADM/2024/004</t>
        </is>
      </c>
      <c r="C8" s="5" t="inlineStr"/>
      <c r="D8" s="6" t="inlineStr"/>
      <c r="E8" s="5" t="inlineStr">
        <is>
          <t>Fee refund not processed</t>
        </is>
      </c>
      <c r="F8" s="6" t="inlineStr"/>
      <c r="G8" s="6" t="inlineStr"/>
      <c r="H8" s="6" t="inlineStr"/>
      <c r="I8" s="5" t="inlineStr">
        <is>
          <t>Escalated</t>
        </is>
      </c>
    </row>
    <row r="9" ht="25" customHeight="1">
      <c r="B9" s="74" t="inlineStr">
        <is>
          <t>GRV/ADM/2024/005</t>
        </is>
      </c>
      <c r="C9" s="75" t="inlineStr"/>
      <c r="D9" s="76" t="inlineStr"/>
      <c r="E9" s="75" t="inlineStr">
        <is>
          <t>Counselling process issue</t>
        </is>
      </c>
      <c r="F9" s="76" t="inlineStr"/>
      <c r="G9" s="76" t="inlineStr"/>
      <c r="H9" s="76" t="inlineStr"/>
      <c r="I9" s="75" t="inlineStr">
        <is>
          <t>Closed</t>
        </is>
      </c>
    </row>
    <row r="10" ht="25" customHeight="1">
      <c r="B10" s="4" t="inlineStr">
        <is>
          <t>GRV/ADM/2024/006</t>
        </is>
      </c>
      <c r="C10" s="5" t="inlineStr"/>
      <c r="D10" s="6" t="inlineStr"/>
      <c r="E10" s="5" t="inlineStr">
        <is>
          <t>NRI quota dispute</t>
        </is>
      </c>
      <c r="F10" s="6" t="inlineStr"/>
      <c r="G10" s="6" t="inlineStr"/>
      <c r="H10" s="6" t="inlineStr"/>
      <c r="I10" s="5" t="inlineStr">
        <is>
          <t>Resolved</t>
        </is>
      </c>
    </row>
    <row r="11" ht="25" customHeight="1">
      <c r="B11" s="74" t="inlineStr">
        <is>
          <t>GRV/ADM/2024/007</t>
        </is>
      </c>
      <c r="C11" s="75" t="inlineStr"/>
      <c r="D11" s="76" t="inlineStr"/>
      <c r="E11" s="75" t="inlineStr">
        <is>
          <t>Reservation complaint</t>
        </is>
      </c>
      <c r="F11" s="76" t="inlineStr"/>
      <c r="G11" s="76" t="inlineStr"/>
      <c r="H11" s="76" t="inlineStr"/>
      <c r="I11" s="75" t="inlineStr">
        <is>
          <t>Pending</t>
        </is>
      </c>
    </row>
    <row r="12" ht="25" customHeight="1">
      <c r="B12" s="4" t="inlineStr">
        <is>
          <t>GRV/ADM/2024/008</t>
        </is>
      </c>
      <c r="C12" s="5" t="inlineStr"/>
      <c r="D12" s="6" t="inlineStr"/>
      <c r="E12" s="5" t="inlineStr">
        <is>
          <t>Seat not allotted despite eligibility</t>
        </is>
      </c>
      <c r="F12" s="6" t="inlineStr"/>
      <c r="G12" s="6" t="inlineStr"/>
      <c r="H12" s="6" t="inlineStr"/>
      <c r="I12" s="5" t="inlineStr">
        <is>
          <t>Under Review</t>
        </is>
      </c>
    </row>
    <row r="13" ht="25" customHeight="1">
      <c r="B13" s="74" t="inlineStr">
        <is>
          <t>GRV/ADM/2024/009</t>
        </is>
      </c>
      <c r="C13" s="75" t="inlineStr"/>
      <c r="D13" s="76" t="inlineStr"/>
      <c r="E13" s="75" t="inlineStr">
        <is>
          <t>Wrong programme allotment</t>
        </is>
      </c>
      <c r="F13" s="76" t="inlineStr"/>
      <c r="G13" s="76" t="inlineStr"/>
      <c r="H13" s="76" t="inlineStr"/>
      <c r="I13" s="75" t="inlineStr">
        <is>
          <t>Escalated</t>
        </is>
      </c>
    </row>
    <row r="14" ht="25" customHeight="1">
      <c r="B14" s="4" t="inlineStr">
        <is>
          <t>GRV/ADM/2024/010</t>
        </is>
      </c>
      <c r="C14" s="5" t="inlineStr"/>
      <c r="D14" s="6" t="inlineStr"/>
      <c r="E14" s="5" t="inlineStr">
        <is>
          <t>Other admission issue</t>
        </is>
      </c>
      <c r="F14" s="6" t="inlineStr"/>
      <c r="G14" s="6" t="inlineStr"/>
      <c r="H14" s="6" t="inlineStr"/>
      <c r="I14" s="5" t="inlineStr">
        <is>
          <t>Closed</t>
        </is>
      </c>
    </row>
    <row r="15" ht="25" customHeight="1">
      <c r="B15" s="74" t="inlineStr">
        <is>
          <t>GRV/ADM/2024/011</t>
        </is>
      </c>
      <c r="C15" s="75" t="inlineStr"/>
      <c r="D15" s="76" t="inlineStr"/>
      <c r="E15" s="75" t="inlineStr">
        <is>
          <t>Merit list error</t>
        </is>
      </c>
      <c r="F15" s="76" t="inlineStr"/>
      <c r="G15" s="76" t="inlineStr"/>
      <c r="H15" s="76" t="inlineStr"/>
      <c r="I15" s="75" t="inlineStr">
        <is>
          <t>Resolved</t>
        </is>
      </c>
    </row>
    <row r="16" ht="25" customHeight="1">
      <c r="B16" s="4" t="inlineStr">
        <is>
          <t>GRV/ADM/2025/012</t>
        </is>
      </c>
      <c r="C16" s="5" t="inlineStr"/>
      <c r="D16" s="6" t="inlineStr"/>
      <c r="E16" s="5" t="inlineStr">
        <is>
          <t>Wrong category allotment</t>
        </is>
      </c>
      <c r="F16" s="6" t="inlineStr"/>
      <c r="G16" s="6" t="inlineStr"/>
      <c r="H16" s="6" t="inlineStr"/>
      <c r="I16" s="5" t="inlineStr">
        <is>
          <t>Pending</t>
        </is>
      </c>
    </row>
    <row r="17" ht="25" customHeight="1">
      <c r="B17" s="74" t="inlineStr">
        <is>
          <t>GRV/ADM/2025/013</t>
        </is>
      </c>
      <c r="C17" s="75" t="inlineStr"/>
      <c r="D17" s="76" t="inlineStr"/>
      <c r="E17" s="75" t="inlineStr">
        <is>
          <t>Document rejection</t>
        </is>
      </c>
      <c r="F17" s="76" t="inlineStr"/>
      <c r="G17" s="76" t="inlineStr"/>
      <c r="H17" s="76" t="inlineStr"/>
      <c r="I17" s="75" t="inlineStr">
        <is>
          <t>Under Review</t>
        </is>
      </c>
    </row>
    <row r="18" ht="25" customHeight="1">
      <c r="B18" s="4" t="inlineStr">
        <is>
          <t>GRV/ADM/2025/014</t>
        </is>
      </c>
      <c r="C18" s="5" t="inlineStr"/>
      <c r="D18" s="6" t="inlineStr"/>
      <c r="E18" s="5" t="inlineStr">
        <is>
          <t>Fee refund not processed</t>
        </is>
      </c>
      <c r="F18" s="6" t="inlineStr"/>
      <c r="G18" s="6" t="inlineStr"/>
      <c r="H18" s="6" t="inlineStr"/>
      <c r="I18" s="5" t="inlineStr">
        <is>
          <t>Escalated</t>
        </is>
      </c>
    </row>
    <row r="19" ht="25" customHeight="1">
      <c r="B19" s="74" t="inlineStr">
        <is>
          <t>GRV/ADM/2025/015</t>
        </is>
      </c>
      <c r="C19" s="75" t="inlineStr"/>
      <c r="D19" s="76" t="inlineStr"/>
      <c r="E19" s="75" t="inlineStr">
        <is>
          <t>Counselling process issue</t>
        </is>
      </c>
      <c r="F19" s="76" t="inlineStr"/>
      <c r="G19" s="76" t="inlineStr"/>
      <c r="H19" s="76" t="inlineStr"/>
      <c r="I19" s="75" t="inlineStr">
        <is>
          <t>Closed</t>
        </is>
      </c>
    </row>
    <row r="20" ht="25" customHeight="1">
      <c r="B20" s="4" t="inlineStr">
        <is>
          <t>GRV/ADM/2025/016</t>
        </is>
      </c>
      <c r="C20" s="5" t="inlineStr"/>
      <c r="D20" s="6" t="inlineStr"/>
      <c r="E20" s="5" t="inlineStr">
        <is>
          <t>NRI quota dispute</t>
        </is>
      </c>
      <c r="F20" s="6" t="inlineStr"/>
      <c r="G20" s="6" t="inlineStr"/>
      <c r="H20" s="6" t="inlineStr"/>
      <c r="I20" s="5" t="inlineStr">
        <is>
          <t>Resolved</t>
        </is>
      </c>
    </row>
    <row r="21" ht="25" customHeight="1">
      <c r="B21" s="74" t="inlineStr">
        <is>
          <t>GRV/ADM/2025/017</t>
        </is>
      </c>
      <c r="C21" s="75" t="inlineStr"/>
      <c r="D21" s="76" t="inlineStr"/>
      <c r="E21" s="75" t="inlineStr">
        <is>
          <t>Reservation complaint</t>
        </is>
      </c>
      <c r="F21" s="76" t="inlineStr"/>
      <c r="G21" s="76" t="inlineStr"/>
      <c r="H21" s="76" t="inlineStr"/>
      <c r="I21" s="75" t="inlineStr">
        <is>
          <t>Pending</t>
        </is>
      </c>
    </row>
    <row r="22" ht="25" customHeight="1">
      <c r="B22" s="4" t="inlineStr">
        <is>
          <t>GRV/ADM/2025/018</t>
        </is>
      </c>
      <c r="C22" s="5" t="inlineStr"/>
      <c r="D22" s="6" t="inlineStr"/>
      <c r="E22" s="5" t="inlineStr">
        <is>
          <t>Seat not allotted despite eligibility</t>
        </is>
      </c>
      <c r="F22" s="6" t="inlineStr"/>
      <c r="G22" s="6" t="inlineStr"/>
      <c r="H22" s="6" t="inlineStr"/>
      <c r="I22" s="5" t="inlineStr">
        <is>
          <t>Under Review</t>
        </is>
      </c>
    </row>
    <row r="23" ht="25" customHeight="1">
      <c r="B23" s="74" t="inlineStr">
        <is>
          <t>GRV/ADM/2025/019</t>
        </is>
      </c>
      <c r="C23" s="75" t="inlineStr"/>
      <c r="D23" s="76" t="inlineStr"/>
      <c r="E23" s="75" t="inlineStr">
        <is>
          <t>Wrong programme allotment</t>
        </is>
      </c>
      <c r="F23" s="76" t="inlineStr"/>
      <c r="G23" s="76" t="inlineStr"/>
      <c r="H23" s="76" t="inlineStr"/>
      <c r="I23" s="75" t="inlineStr">
        <is>
          <t>Escalated</t>
        </is>
      </c>
    </row>
    <row r="24" ht="25" customHeight="1">
      <c r="B24" s="4" t="inlineStr">
        <is>
          <t>GRV/ADM/2025/020</t>
        </is>
      </c>
      <c r="C24" s="5" t="inlineStr"/>
      <c r="D24" s="6" t="inlineStr"/>
      <c r="E24" s="5" t="inlineStr">
        <is>
          <t>Other admission issue</t>
        </is>
      </c>
      <c r="F24" s="6" t="inlineStr"/>
      <c r="G24" s="6" t="inlineStr"/>
      <c r="H24" s="6" t="inlineStr"/>
      <c r="I24" s="5" t="inlineStr">
        <is>
          <t>Closed</t>
        </is>
      </c>
    </row>
    <row r="25" ht="25" customHeight="1">
      <c r="B25" s="74" t="inlineStr">
        <is>
          <t>GRV/ADM/2025/021</t>
        </is>
      </c>
      <c r="C25" s="75" t="inlineStr"/>
      <c r="D25" s="76" t="inlineStr"/>
      <c r="E25" s="75" t="inlineStr">
        <is>
          <t>Merit list error</t>
        </is>
      </c>
      <c r="F25" s="76" t="inlineStr"/>
      <c r="G25" s="76" t="inlineStr"/>
      <c r="H25" s="76" t="inlineStr"/>
      <c r="I25" s="75" t="inlineStr">
        <is>
          <t>Resolved</t>
        </is>
      </c>
    </row>
    <row r="26" ht="25" customHeight="1">
      <c r="B26" s="4" t="inlineStr">
        <is>
          <t>GRV/ADM/2025/022</t>
        </is>
      </c>
      <c r="C26" s="5" t="inlineStr"/>
      <c r="D26" s="6" t="inlineStr"/>
      <c r="E26" s="5" t="inlineStr">
        <is>
          <t>Wrong category allotment</t>
        </is>
      </c>
      <c r="F26" s="6" t="inlineStr"/>
      <c r="G26" s="6" t="inlineStr"/>
      <c r="H26" s="6" t="inlineStr"/>
      <c r="I26" s="5" t="inlineStr">
        <is>
          <t>Pending</t>
        </is>
      </c>
    </row>
    <row r="27" ht="25" customHeight="1"/>
    <row r="28" ht="24" customHeight="1">
      <c r="B28" s="21" t="inlineStr">
        <is>
          <t>GRIEVANCE SUMMARY</t>
        </is>
      </c>
    </row>
    <row r="29" ht="25" customHeight="1">
      <c r="B29" s="77" t="inlineStr">
        <is>
          <t>Total Grievances Filed</t>
        </is>
      </c>
      <c r="F29" s="34">
        <f>COUNTA(B5:B26)</f>
        <v/>
      </c>
    </row>
    <row r="30" ht="25" customHeight="1">
      <c r="B30" s="18" t="inlineStr">
        <is>
          <t>Resolved within 7 days</t>
        </is>
      </c>
      <c r="F30" s="35">
        <f>COUNTIF(I5:I26,"Resolved")</f>
        <v/>
      </c>
    </row>
    <row r="31" ht="25" customHeight="1">
      <c r="B31" s="77" t="inlineStr">
        <is>
          <t>Under Review</t>
        </is>
      </c>
      <c r="F31" s="34">
        <f>COUNTIF(I5:I26,"Under Review")</f>
        <v/>
      </c>
    </row>
    <row r="32" ht="25" customHeight="1">
      <c r="B32" s="18" t="inlineStr">
        <is>
          <t>Pending</t>
        </is>
      </c>
      <c r="F32" s="35">
        <f>COUNTIF(I5:I26,"Pending")</f>
        <v/>
      </c>
    </row>
    <row r="33" ht="25" customHeight="1">
      <c r="B33" s="77" t="inlineStr">
        <is>
          <t>Escalated</t>
        </is>
      </c>
      <c r="F33" s="34">
        <f>COUNTIF(I5:I26,"Escalated")</f>
        <v/>
      </c>
    </row>
    <row r="34" ht="25" customHeight="1">
      <c r="B34" s="18" t="inlineStr">
        <is>
          <t>Resolution Rate (%)</t>
        </is>
      </c>
      <c r="F34" s="35">
        <f>IFERROR(ROUND(C30/C29*100,1),"")</f>
        <v/>
      </c>
    </row>
    <row r="35" ht="25" customHeight="1"/>
    <row r="36" ht="25" customHeight="1"/>
    <row r="37" ht="25" customHeight="1"/>
  </sheetData>
  <mergeCells count="15">
    <mergeCell ref="B31:E31"/>
    <mergeCell ref="F32:I32"/>
    <mergeCell ref="F31:I31"/>
    <mergeCell ref="B2:I2"/>
    <mergeCell ref="B30:E30"/>
    <mergeCell ref="B28:I28"/>
    <mergeCell ref="B29:E29"/>
    <mergeCell ref="B3:I3"/>
    <mergeCell ref="F29:I29"/>
    <mergeCell ref="F30:I30"/>
    <mergeCell ref="B33:E33"/>
    <mergeCell ref="B34:E34"/>
    <mergeCell ref="F34:I34"/>
    <mergeCell ref="F33:I33"/>
    <mergeCell ref="B32:E3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I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6" customWidth="1" min="4" max="4"/>
    <col width="14" customWidth="1" min="5" max="5"/>
    <col width="12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/>
    <row r="2" ht="48" customHeight="1">
      <c r="B2" s="11" t="inlineStr">
        <is>
          <t>AD-17: ADMISSION MARKETING &amp; OUTREACH ACTIVITY REGISTER</t>
        </is>
      </c>
    </row>
    <row r="3" ht="25" customHeight="1">
      <c r="B3" s="2" t="inlineStr">
        <is>
          <t>A.Y.: _______  Marketing Officer: ___________________  Budget Allocated (₹): _______</t>
        </is>
      </c>
    </row>
    <row r="4" ht="30" customHeight="1">
      <c r="B4" s="22" t="inlineStr">
        <is>
          <t>Sl.</t>
        </is>
      </c>
      <c r="C4" s="22" t="inlineStr">
        <is>
          <t>Activity / Campaign</t>
        </is>
      </c>
      <c r="D4" s="22" t="inlineStr">
        <is>
          <t>Type</t>
        </is>
      </c>
      <c r="E4" s="22" t="inlineStr">
        <is>
          <t>Date(s)</t>
        </is>
      </c>
      <c r="F4" s="22" t="inlineStr">
        <is>
          <t>Location / Platform</t>
        </is>
      </c>
      <c r="G4" s="22" t="inlineStr">
        <is>
          <t>Reach
(No. of Students/Schools)</t>
        </is>
      </c>
      <c r="H4" s="22" t="inlineStr">
        <is>
          <t>Cost (₹)</t>
        </is>
      </c>
      <c r="I4" s="22" t="inlineStr">
        <is>
          <t>Enquiries Generated</t>
        </is>
      </c>
    </row>
    <row r="5" ht="22" customHeight="1">
      <c r="B5" s="23" t="n">
        <v>1</v>
      </c>
      <c r="C5" s="56" t="inlineStr"/>
      <c r="D5" s="24" t="inlineStr">
        <is>
          <t>School / College Visit</t>
        </is>
      </c>
      <c r="E5" s="24" t="inlineStr"/>
      <c r="F5" s="24" t="inlineStr"/>
      <c r="G5" s="24" t="inlineStr"/>
      <c r="H5" s="24" t="inlineStr"/>
      <c r="I5" s="24" t="inlineStr"/>
    </row>
    <row r="6" ht="22" customHeight="1">
      <c r="B6" s="4" t="n">
        <v>2</v>
      </c>
      <c r="C6" s="5" t="inlineStr"/>
      <c r="D6" s="6" t="inlineStr">
        <is>
          <t>Education Fair</t>
        </is>
      </c>
      <c r="E6" s="6" t="inlineStr"/>
      <c r="F6" s="6" t="inlineStr"/>
      <c r="G6" s="6" t="inlineStr"/>
      <c r="H6" s="6" t="inlineStr"/>
      <c r="I6" s="6" t="inlineStr"/>
    </row>
    <row r="7" ht="22" customHeight="1">
      <c r="B7" s="23" t="n">
        <v>3</v>
      </c>
      <c r="C7" s="56" t="inlineStr"/>
      <c r="D7" s="24" t="inlineStr">
        <is>
          <t>Newspaper Advertisement</t>
        </is>
      </c>
      <c r="E7" s="24" t="inlineStr"/>
      <c r="F7" s="24" t="inlineStr"/>
      <c r="G7" s="24" t="inlineStr"/>
      <c r="H7" s="24" t="inlineStr"/>
      <c r="I7" s="24" t="inlineStr"/>
    </row>
    <row r="8" ht="22" customHeight="1">
      <c r="B8" s="4" t="n">
        <v>4</v>
      </c>
      <c r="C8" s="5" t="inlineStr"/>
      <c r="D8" s="6" t="inlineStr">
        <is>
          <t>Social Media Campaign</t>
        </is>
      </c>
      <c r="E8" s="6" t="inlineStr"/>
      <c r="F8" s="6" t="inlineStr"/>
      <c r="G8" s="6" t="inlineStr"/>
      <c r="H8" s="6" t="inlineStr"/>
      <c r="I8" s="6" t="inlineStr"/>
    </row>
    <row r="9" ht="22" customHeight="1">
      <c r="B9" s="23" t="n">
        <v>5</v>
      </c>
      <c r="C9" s="56" t="inlineStr"/>
      <c r="D9" s="24" t="inlineStr">
        <is>
          <t>YouTube / Video Ad</t>
        </is>
      </c>
      <c r="E9" s="24" t="inlineStr"/>
      <c r="F9" s="24" t="inlineStr"/>
      <c r="G9" s="24" t="inlineStr"/>
      <c r="H9" s="24" t="inlineStr"/>
      <c r="I9" s="24" t="inlineStr"/>
    </row>
    <row r="10" ht="22" customHeight="1">
      <c r="B10" s="4" t="n">
        <v>6</v>
      </c>
      <c r="C10" s="5" t="inlineStr"/>
      <c r="D10" s="6" t="inlineStr">
        <is>
          <t>WhatsApp Campaign</t>
        </is>
      </c>
      <c r="E10" s="6" t="inlineStr"/>
      <c r="F10" s="6" t="inlineStr"/>
      <c r="G10" s="6" t="inlineStr"/>
      <c r="H10" s="6" t="inlineStr"/>
      <c r="I10" s="6" t="inlineStr"/>
    </row>
    <row r="11" ht="22" customHeight="1">
      <c r="B11" s="23" t="n">
        <v>7</v>
      </c>
      <c r="C11" s="56" t="inlineStr"/>
      <c r="D11" s="24" t="inlineStr">
        <is>
          <t>SMS / Email Campaign</t>
        </is>
      </c>
      <c r="E11" s="24" t="inlineStr"/>
      <c r="F11" s="24" t="inlineStr"/>
      <c r="G11" s="24" t="inlineStr"/>
      <c r="H11" s="24" t="inlineStr"/>
      <c r="I11" s="24" t="inlineStr"/>
    </row>
    <row r="12" ht="22" customHeight="1">
      <c r="B12" s="4" t="n">
        <v>8</v>
      </c>
      <c r="C12" s="5" t="inlineStr"/>
      <c r="D12" s="6" t="inlineStr">
        <is>
          <t>Radio Advertisement</t>
        </is>
      </c>
      <c r="E12" s="6" t="inlineStr"/>
      <c r="F12" s="6" t="inlineStr"/>
      <c r="G12" s="6" t="inlineStr"/>
      <c r="H12" s="6" t="inlineStr"/>
      <c r="I12" s="6" t="inlineStr"/>
    </row>
    <row r="13" ht="22" customHeight="1">
      <c r="B13" s="23" t="n">
        <v>9</v>
      </c>
      <c r="C13" s="56" t="inlineStr"/>
      <c r="D13" s="24" t="inlineStr">
        <is>
          <t>Hoarding / Banner</t>
        </is>
      </c>
      <c r="E13" s="24" t="inlineStr"/>
      <c r="F13" s="24" t="inlineStr"/>
      <c r="G13" s="24" t="inlineStr"/>
      <c r="H13" s="24" t="inlineStr"/>
      <c r="I13" s="24" t="inlineStr"/>
    </row>
    <row r="14" ht="22" customHeight="1">
      <c r="B14" s="4" t="n">
        <v>10</v>
      </c>
      <c r="C14" s="5" t="inlineStr"/>
      <c r="D14" s="6" t="inlineStr">
        <is>
          <t>Open Day / Campus Visit</t>
        </is>
      </c>
      <c r="E14" s="6" t="inlineStr"/>
      <c r="F14" s="6" t="inlineStr"/>
      <c r="G14" s="6" t="inlineStr"/>
      <c r="H14" s="6" t="inlineStr"/>
      <c r="I14" s="6" t="inlineStr"/>
    </row>
    <row r="15" ht="22" customHeight="1">
      <c r="B15" s="23" t="n">
        <v>11</v>
      </c>
      <c r="C15" s="56" t="inlineStr"/>
      <c r="D15" s="24" t="inlineStr">
        <is>
          <t>Alumni Referral Drive</t>
        </is>
      </c>
      <c r="E15" s="24" t="inlineStr"/>
      <c r="F15" s="24" t="inlineStr"/>
      <c r="G15" s="24" t="inlineStr"/>
      <c r="H15" s="24" t="inlineStr"/>
      <c r="I15" s="24" t="inlineStr"/>
    </row>
    <row r="16" ht="22" customHeight="1">
      <c r="B16" s="4" t="n">
        <v>12</v>
      </c>
      <c r="C16" s="5" t="inlineStr"/>
      <c r="D16" s="6" t="inlineStr">
        <is>
          <t>Online Webinar / Info Session</t>
        </is>
      </c>
      <c r="E16" s="6" t="inlineStr"/>
      <c r="F16" s="6" t="inlineStr"/>
      <c r="G16" s="6" t="inlineStr"/>
      <c r="H16" s="6" t="inlineStr"/>
      <c r="I16" s="6" t="inlineStr"/>
    </row>
    <row r="17" ht="22" customHeight="1">
      <c r="B17" s="23" t="n">
        <v>13</v>
      </c>
      <c r="C17" s="56" t="inlineStr"/>
      <c r="D17" s="24" t="inlineStr">
        <is>
          <t>Career Guidance Programme</t>
        </is>
      </c>
      <c r="E17" s="24" t="inlineStr"/>
      <c r="F17" s="24" t="inlineStr"/>
      <c r="G17" s="24" t="inlineStr"/>
      <c r="H17" s="24" t="inlineStr"/>
      <c r="I17" s="24" t="inlineStr"/>
    </row>
    <row r="18" ht="22" customHeight="1">
      <c r="B18" s="4" t="n">
        <v>14</v>
      </c>
      <c r="C18" s="5" t="inlineStr"/>
      <c r="D18" s="6" t="inlineStr">
        <is>
          <t>Prospectus Distribution</t>
        </is>
      </c>
      <c r="E18" s="6" t="inlineStr"/>
      <c r="F18" s="6" t="inlineStr"/>
      <c r="G18" s="6" t="inlineStr"/>
      <c r="H18" s="6" t="inlineStr"/>
      <c r="I18" s="6" t="inlineStr"/>
    </row>
    <row r="19" ht="22" customHeight="1">
      <c r="B19" s="23" t="n">
        <v>15</v>
      </c>
      <c r="C19" s="56" t="inlineStr"/>
      <c r="D19" s="24" t="inlineStr">
        <is>
          <t>School / College Visit</t>
        </is>
      </c>
      <c r="E19" s="24" t="inlineStr"/>
      <c r="F19" s="24" t="inlineStr"/>
      <c r="G19" s="24" t="inlineStr"/>
      <c r="H19" s="24" t="inlineStr"/>
      <c r="I19" s="24" t="inlineStr"/>
    </row>
    <row r="20" ht="22" customHeight="1">
      <c r="B20" s="4" t="n">
        <v>16</v>
      </c>
      <c r="C20" s="5" t="inlineStr"/>
      <c r="D20" s="6" t="inlineStr">
        <is>
          <t>Education Fair</t>
        </is>
      </c>
      <c r="E20" s="6" t="inlineStr"/>
      <c r="F20" s="6" t="inlineStr"/>
      <c r="G20" s="6" t="inlineStr"/>
      <c r="H20" s="6" t="inlineStr"/>
      <c r="I20" s="6" t="inlineStr"/>
    </row>
    <row r="21" ht="22" customHeight="1">
      <c r="B21" s="23" t="n">
        <v>17</v>
      </c>
      <c r="C21" s="56" t="inlineStr"/>
      <c r="D21" s="24" t="inlineStr">
        <is>
          <t>Newspaper Advertisement</t>
        </is>
      </c>
      <c r="E21" s="24" t="inlineStr"/>
      <c r="F21" s="24" t="inlineStr"/>
      <c r="G21" s="24" t="inlineStr"/>
      <c r="H21" s="24" t="inlineStr"/>
      <c r="I21" s="24" t="inlineStr"/>
    </row>
    <row r="22" ht="22" customHeight="1">
      <c r="B22" s="4" t="n">
        <v>18</v>
      </c>
      <c r="C22" s="5" t="inlineStr"/>
      <c r="D22" s="6" t="inlineStr">
        <is>
          <t>Social Media Campaign</t>
        </is>
      </c>
      <c r="E22" s="6" t="inlineStr"/>
      <c r="F22" s="6" t="inlineStr"/>
      <c r="G22" s="6" t="inlineStr"/>
      <c r="H22" s="6" t="inlineStr"/>
      <c r="I22" s="6" t="inlineStr"/>
    </row>
    <row r="23" ht="22" customHeight="1">
      <c r="B23" s="23" t="n">
        <v>19</v>
      </c>
      <c r="C23" s="56" t="inlineStr"/>
      <c r="D23" s="24" t="inlineStr">
        <is>
          <t>YouTube / Video Ad</t>
        </is>
      </c>
      <c r="E23" s="24" t="inlineStr"/>
      <c r="F23" s="24" t="inlineStr"/>
      <c r="G23" s="24" t="inlineStr"/>
      <c r="H23" s="24" t="inlineStr"/>
      <c r="I23" s="24" t="inlineStr"/>
    </row>
    <row r="24" ht="22" customHeight="1">
      <c r="B24" s="4" t="n">
        <v>20</v>
      </c>
      <c r="C24" s="5" t="inlineStr"/>
      <c r="D24" s="6" t="inlineStr">
        <is>
          <t>WhatsApp Campaign</t>
        </is>
      </c>
      <c r="E24" s="6" t="inlineStr"/>
      <c r="F24" s="6" t="inlineStr"/>
      <c r="G24" s="6" t="inlineStr"/>
      <c r="H24" s="6" t="inlineStr"/>
      <c r="I24" s="6" t="inlineStr"/>
    </row>
    <row r="25" ht="22" customHeight="1">
      <c r="B25" s="23" t="n">
        <v>21</v>
      </c>
      <c r="C25" s="56" t="inlineStr"/>
      <c r="D25" s="24" t="inlineStr">
        <is>
          <t>SMS / Email Campaign</t>
        </is>
      </c>
      <c r="E25" s="24" t="inlineStr"/>
      <c r="F25" s="24" t="inlineStr"/>
      <c r="G25" s="24" t="inlineStr"/>
      <c r="H25" s="24" t="inlineStr"/>
      <c r="I25" s="24" t="inlineStr"/>
    </row>
    <row r="26" ht="22" customHeight="1">
      <c r="B26" s="4" t="n">
        <v>22</v>
      </c>
      <c r="C26" s="5" t="inlineStr"/>
      <c r="D26" s="6" t="inlineStr">
        <is>
          <t>Radio Advertisement</t>
        </is>
      </c>
      <c r="E26" s="6" t="inlineStr"/>
      <c r="F26" s="6" t="inlineStr"/>
      <c r="G26" s="6" t="inlineStr"/>
      <c r="H26" s="6" t="inlineStr"/>
      <c r="I26" s="6" t="inlineStr"/>
    </row>
    <row r="27" ht="22" customHeight="1">
      <c r="B27" s="23" t="n">
        <v>23</v>
      </c>
      <c r="C27" s="56" t="inlineStr"/>
      <c r="D27" s="24" t="inlineStr">
        <is>
          <t>Hoarding / Banner</t>
        </is>
      </c>
      <c r="E27" s="24" t="inlineStr"/>
      <c r="F27" s="24" t="inlineStr"/>
      <c r="G27" s="24" t="inlineStr"/>
      <c r="H27" s="24" t="inlineStr"/>
      <c r="I27" s="24" t="inlineStr"/>
    </row>
    <row r="28" ht="22" customHeight="1">
      <c r="B28" s="4" t="n">
        <v>24</v>
      </c>
      <c r="C28" s="5" t="inlineStr"/>
      <c r="D28" s="6" t="inlineStr">
        <is>
          <t>Open Day / Campus Visit</t>
        </is>
      </c>
      <c r="E28" s="6" t="inlineStr"/>
      <c r="F28" s="6" t="inlineStr"/>
      <c r="G28" s="6" t="inlineStr"/>
      <c r="H28" s="6" t="inlineStr"/>
      <c r="I28" s="6" t="inlineStr"/>
    </row>
    <row r="29" ht="22" customHeight="1">
      <c r="B29" s="23" t="n">
        <v>25</v>
      </c>
      <c r="C29" s="56" t="inlineStr"/>
      <c r="D29" s="24" t="inlineStr">
        <is>
          <t>Alumni Referral Drive</t>
        </is>
      </c>
      <c r="E29" s="24" t="inlineStr"/>
      <c r="F29" s="24" t="inlineStr"/>
      <c r="G29" s="24" t="inlineStr"/>
      <c r="H29" s="24" t="inlineStr"/>
      <c r="I29" s="24" t="inlineStr"/>
    </row>
    <row r="30" ht="22" customHeight="1"/>
    <row r="31" ht="24" customHeight="1">
      <c r="B31" s="29" t="inlineStr">
        <is>
          <t>MARKETING EFFECTIVENESS SUMMARY</t>
        </is>
      </c>
    </row>
    <row r="32" ht="22" customHeight="1">
      <c r="B32" s="30" t="inlineStr">
        <is>
          <t>Channel / Type</t>
        </is>
      </c>
      <c r="C32" s="30" t="inlineStr">
        <is>
          <t>No. of Activities</t>
        </is>
      </c>
      <c r="D32" s="30" t="inlineStr">
        <is>
          <t>Total Reach</t>
        </is>
      </c>
      <c r="E32" s="30" t="inlineStr">
        <is>
          <t>Enquiries</t>
        </is>
      </c>
      <c r="F32" s="30" t="inlineStr">
        <is>
          <t>Applications</t>
        </is>
      </c>
      <c r="G32" s="30" t="inlineStr">
        <is>
          <t>Conversions
(Admissions)</t>
        </is>
      </c>
      <c r="H32" s="30" t="inlineStr">
        <is>
          <t>Total Cost (₹)</t>
        </is>
      </c>
      <c r="I32" s="30" t="inlineStr">
        <is>
          <t>Cost per
Admission (₹)</t>
        </is>
      </c>
    </row>
    <row r="33" ht="22" customHeight="1">
      <c r="B33" s="33" t="inlineStr">
        <is>
          <t>School Visits</t>
        </is>
      </c>
      <c r="C33" s="32" t="inlineStr"/>
      <c r="D33" s="32" t="inlineStr"/>
      <c r="E33" s="32" t="inlineStr"/>
      <c r="F33" s="32" t="inlineStr"/>
      <c r="G33" s="32" t="inlineStr"/>
      <c r="H33" s="32" t="inlineStr"/>
      <c r="I33" s="32">
        <f>IFERROR(ROUND(H33/G33,0),"")</f>
        <v/>
      </c>
    </row>
    <row r="34" ht="22" customHeight="1">
      <c r="B34" s="5" t="inlineStr">
        <is>
          <t>Education Fairs</t>
        </is>
      </c>
      <c r="C34" s="6" t="inlineStr"/>
      <c r="D34" s="6" t="inlineStr"/>
      <c r="E34" s="6" t="inlineStr"/>
      <c r="F34" s="6" t="inlineStr"/>
      <c r="G34" s="6" t="inlineStr"/>
      <c r="H34" s="6" t="inlineStr"/>
      <c r="I34" s="6">
        <f>IFERROR(ROUND(H34/G34,0),"")</f>
        <v/>
      </c>
    </row>
    <row r="35" ht="22" customHeight="1">
      <c r="B35" s="33" t="inlineStr">
        <is>
          <t>Digital / Social Media</t>
        </is>
      </c>
      <c r="C35" s="32" t="inlineStr"/>
      <c r="D35" s="32" t="inlineStr"/>
      <c r="E35" s="32" t="inlineStr"/>
      <c r="F35" s="32" t="inlineStr"/>
      <c r="G35" s="32" t="inlineStr"/>
      <c r="H35" s="32" t="inlineStr"/>
      <c r="I35" s="32">
        <f>IFERROR(ROUND(H35/G35,0),"")</f>
        <v/>
      </c>
    </row>
    <row r="36" ht="22" customHeight="1">
      <c r="B36" s="5" t="inlineStr">
        <is>
          <t>Print / Outdoor Ads</t>
        </is>
      </c>
      <c r="C36" s="6" t="inlineStr"/>
      <c r="D36" s="6" t="inlineStr"/>
      <c r="E36" s="6" t="inlineStr"/>
      <c r="F36" s="6" t="inlineStr"/>
      <c r="G36" s="6" t="inlineStr"/>
      <c r="H36" s="6" t="inlineStr"/>
      <c r="I36" s="6">
        <f>IFERROR(ROUND(H36/G36,0),"")</f>
        <v/>
      </c>
    </row>
    <row r="37" ht="22" customHeight="1">
      <c r="B37" s="33" t="inlineStr">
        <is>
          <t>Webinars / Open Days</t>
        </is>
      </c>
      <c r="C37" s="32" t="inlineStr"/>
      <c r="D37" s="32" t="inlineStr"/>
      <c r="E37" s="32" t="inlineStr"/>
      <c r="F37" s="32" t="inlineStr"/>
      <c r="G37" s="32" t="inlineStr"/>
      <c r="H37" s="32" t="inlineStr"/>
      <c r="I37" s="32">
        <f>IFERROR(ROUND(H37/G37,0),"")</f>
        <v/>
      </c>
    </row>
    <row r="38" ht="22" customHeight="1">
      <c r="B38" s="5" t="inlineStr">
        <is>
          <t>Alumni Referrals</t>
        </is>
      </c>
      <c r="C38" s="6" t="inlineStr"/>
      <c r="D38" s="6" t="inlineStr"/>
      <c r="E38" s="6" t="inlineStr"/>
      <c r="F38" s="6" t="inlineStr"/>
      <c r="G38" s="6" t="inlineStr"/>
      <c r="H38" s="6" t="inlineStr"/>
      <c r="I38" s="6">
        <f>IFERROR(ROUND(H38/G38,0),"")</f>
        <v/>
      </c>
    </row>
    <row r="39" ht="22" customHeight="1">
      <c r="B39" s="66" t="inlineStr">
        <is>
          <t>TOTAL</t>
        </is>
      </c>
      <c r="C39" s="60" t="inlineStr"/>
      <c r="D39" s="60" t="inlineStr"/>
      <c r="E39" s="60" t="inlineStr"/>
      <c r="F39" s="60" t="inlineStr"/>
      <c r="G39" s="60" t="inlineStr"/>
      <c r="H39" s="60" t="inlineStr"/>
      <c r="I39" s="60">
        <f>IFERROR(ROUND(H39/G39,0),"")</f>
        <v/>
      </c>
    </row>
    <row r="40" ht="22" customHeight="1"/>
    <row r="41" ht="22" customHeight="1"/>
  </sheetData>
  <mergeCells count="3">
    <mergeCell ref="B3:I3"/>
    <mergeCell ref="B2:I2"/>
    <mergeCell ref="B31:I3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G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36" customWidth="1" min="3" max="3"/>
    <col width="20" customWidth="1" min="4" max="4"/>
    <col width="12" customWidth="1" min="5" max="5"/>
    <col width="14" customWidth="1" min="6" max="6"/>
    <col width="14" customWidth="1" min="7" max="7"/>
    <col width="3" customWidth="1" min="8" max="8"/>
  </cols>
  <sheetData>
    <row r="1" ht="10" customHeight="1"/>
    <row r="2" ht="48" customHeight="1">
      <c r="B2" s="11" t="inlineStr">
        <is>
          <t>AD-18: ADMISSION COMMITTEE MEETING MINUTES &amp; ACTION TAKEN REPORT</t>
        </is>
      </c>
    </row>
    <row r="3" ht="25" customHeight="1">
      <c r="B3" s="2" t="inlineStr">
        <is>
          <t>Meeting No.: _______  Date: _______  Venue: _______  Chairperson: ___________________  A.Y.: _______</t>
        </is>
      </c>
    </row>
    <row r="4" ht="22" customHeight="1">
      <c r="B4" s="87" t="inlineStr">
        <is>
          <t>Admission Phase / Stage:</t>
        </is>
      </c>
      <c r="C4" s="5" t="n"/>
    </row>
    <row r="5" ht="22" customHeight="1">
      <c r="B5" s="87" t="inlineStr">
        <is>
          <t>Agenda Overview:</t>
        </is>
      </c>
      <c r="C5" s="5" t="n"/>
    </row>
    <row r="6" ht="22" customHeight="1">
      <c r="B6" s="87" t="inlineStr">
        <is>
          <t>Issues Raised:</t>
        </is>
      </c>
      <c r="C6" s="5" t="n"/>
    </row>
    <row r="7" ht="22" customHeight="1">
      <c r="B7" s="87" t="inlineStr">
        <is>
          <t>Date of Next Meeting:</t>
        </is>
      </c>
      <c r="C7" s="5" t="n"/>
    </row>
    <row r="8" ht="24" customHeight="1">
      <c r="B8" s="44" t="inlineStr">
        <is>
          <t>DISCUSSION &amp; RESOLUTIONS</t>
        </is>
      </c>
    </row>
    <row r="9" ht="25" customHeight="1">
      <c r="B9" s="12" t="inlineStr">
        <is>
          <t>Resolution
No.</t>
        </is>
      </c>
      <c r="C9" s="12" t="inlineStr">
        <is>
          <t>Discussion Summary &amp; Resolution</t>
        </is>
      </c>
      <c r="D9" s="12" t="inlineStr">
        <is>
          <t>Responsible
Person</t>
        </is>
      </c>
      <c r="E9" s="12" t="inlineStr">
        <is>
          <t>Target
Date</t>
        </is>
      </c>
      <c r="F9" s="12" t="inlineStr">
        <is>
          <t>Effective
Date</t>
        </is>
      </c>
      <c r="G9" s="12" t="inlineStr">
        <is>
          <t>Status</t>
        </is>
      </c>
    </row>
    <row r="10" ht="30" customHeight="1">
      <c r="B10" s="13" t="inlineStr">
        <is>
          <t>AC/RES/01</t>
        </is>
      </c>
      <c r="C10" s="14" t="inlineStr"/>
      <c r="D10" s="15" t="inlineStr"/>
      <c r="E10" s="15" t="inlineStr"/>
      <c r="F10" s="15" t="inlineStr"/>
      <c r="G10" s="15" t="inlineStr">
        <is>
          <t>Pending</t>
        </is>
      </c>
    </row>
    <row r="11" ht="30" customHeight="1">
      <c r="B11" s="4" t="inlineStr">
        <is>
          <t>AC/RES/02</t>
        </is>
      </c>
      <c r="C11" s="5" t="inlineStr"/>
      <c r="D11" s="6" t="inlineStr"/>
      <c r="E11" s="6" t="inlineStr"/>
      <c r="F11" s="6" t="inlineStr"/>
      <c r="G11" s="6" t="inlineStr">
        <is>
          <t>Pending</t>
        </is>
      </c>
    </row>
    <row r="12" ht="30" customHeight="1">
      <c r="B12" s="13" t="inlineStr">
        <is>
          <t>AC/RES/03</t>
        </is>
      </c>
      <c r="C12" s="14" t="inlineStr"/>
      <c r="D12" s="15" t="inlineStr"/>
      <c r="E12" s="15" t="inlineStr"/>
      <c r="F12" s="15" t="inlineStr"/>
      <c r="G12" s="15" t="inlineStr">
        <is>
          <t>Pending</t>
        </is>
      </c>
    </row>
    <row r="13" ht="30" customHeight="1">
      <c r="B13" s="4" t="inlineStr">
        <is>
          <t>AC/RES/04</t>
        </is>
      </c>
      <c r="C13" s="5" t="inlineStr"/>
      <c r="D13" s="6" t="inlineStr"/>
      <c r="E13" s="6" t="inlineStr"/>
      <c r="F13" s="6" t="inlineStr"/>
      <c r="G13" s="6" t="inlineStr">
        <is>
          <t>Pending</t>
        </is>
      </c>
    </row>
    <row r="14" ht="30" customHeight="1">
      <c r="B14" s="13" t="inlineStr">
        <is>
          <t>AC/RES/05</t>
        </is>
      </c>
      <c r="C14" s="14" t="inlineStr"/>
      <c r="D14" s="15" t="inlineStr"/>
      <c r="E14" s="15" t="inlineStr"/>
      <c r="F14" s="15" t="inlineStr"/>
      <c r="G14" s="15" t="inlineStr">
        <is>
          <t>Pending</t>
        </is>
      </c>
    </row>
    <row r="15" ht="30" customHeight="1">
      <c r="B15" s="4" t="inlineStr">
        <is>
          <t>AC/RES/06</t>
        </is>
      </c>
      <c r="C15" s="5" t="inlineStr"/>
      <c r="D15" s="6" t="inlineStr"/>
      <c r="E15" s="6" t="inlineStr"/>
      <c r="F15" s="6" t="inlineStr"/>
      <c r="G15" s="6" t="inlineStr">
        <is>
          <t>Pending</t>
        </is>
      </c>
    </row>
    <row r="16" ht="30" customHeight="1">
      <c r="B16" s="13" t="inlineStr">
        <is>
          <t>AC/RES/07</t>
        </is>
      </c>
      <c r="C16" s="14" t="inlineStr"/>
      <c r="D16" s="15" t="inlineStr"/>
      <c r="E16" s="15" t="inlineStr"/>
      <c r="F16" s="15" t="inlineStr"/>
      <c r="G16" s="15" t="inlineStr">
        <is>
          <t>Pending</t>
        </is>
      </c>
    </row>
    <row r="17" ht="30" customHeight="1">
      <c r="B17" s="4" t="inlineStr">
        <is>
          <t>AC/RES/08</t>
        </is>
      </c>
      <c r="C17" s="5" t="inlineStr"/>
      <c r="D17" s="6" t="inlineStr"/>
      <c r="E17" s="6" t="inlineStr"/>
      <c r="F17" s="6" t="inlineStr"/>
      <c r="G17" s="6" t="inlineStr">
        <is>
          <t>Pending</t>
        </is>
      </c>
    </row>
    <row r="18" ht="30" customHeight="1">
      <c r="B18" s="13" t="inlineStr">
        <is>
          <t>AC/RES/09</t>
        </is>
      </c>
      <c r="C18" s="14" t="inlineStr"/>
      <c r="D18" s="15" t="inlineStr"/>
      <c r="E18" s="15" t="inlineStr"/>
      <c r="F18" s="15" t="inlineStr"/>
      <c r="G18" s="15" t="inlineStr">
        <is>
          <t>Pending</t>
        </is>
      </c>
    </row>
    <row r="19" ht="30" customHeight="1">
      <c r="B19" s="4" t="inlineStr">
        <is>
          <t>AC/RES/10</t>
        </is>
      </c>
      <c r="C19" s="5" t="inlineStr"/>
      <c r="D19" s="6" t="inlineStr"/>
      <c r="E19" s="6" t="inlineStr"/>
      <c r="F19" s="6" t="inlineStr"/>
      <c r="G19" s="6" t="inlineStr">
        <is>
          <t>Pending</t>
        </is>
      </c>
    </row>
    <row r="20" ht="30" customHeight="1">
      <c r="B20" s="13" t="inlineStr">
        <is>
          <t>AC/RES/11</t>
        </is>
      </c>
      <c r="C20" s="14" t="inlineStr"/>
      <c r="D20" s="15" t="inlineStr"/>
      <c r="E20" s="15" t="inlineStr"/>
      <c r="F20" s="15" t="inlineStr"/>
      <c r="G20" s="15" t="inlineStr">
        <is>
          <t>Pending</t>
        </is>
      </c>
    </row>
    <row r="21" ht="30" customHeight="1">
      <c r="B21" s="4" t="inlineStr">
        <is>
          <t>AC/RES/12</t>
        </is>
      </c>
      <c r="C21" s="5" t="inlineStr"/>
      <c r="D21" s="6" t="inlineStr"/>
      <c r="E21" s="6" t="inlineStr"/>
      <c r="F21" s="6" t="inlineStr"/>
      <c r="G21" s="6" t="inlineStr">
        <is>
          <t>Pending</t>
        </is>
      </c>
    </row>
    <row r="22" ht="30" customHeight="1">
      <c r="B22" s="13" t="inlineStr">
        <is>
          <t>AC/RES/13</t>
        </is>
      </c>
      <c r="C22" s="14" t="inlineStr"/>
      <c r="D22" s="15" t="inlineStr"/>
      <c r="E22" s="15" t="inlineStr"/>
      <c r="F22" s="15" t="inlineStr"/>
      <c r="G22" s="15" t="inlineStr">
        <is>
          <t>Pending</t>
        </is>
      </c>
    </row>
    <row r="23" ht="30" customHeight="1">
      <c r="B23" s="4" t="inlineStr">
        <is>
          <t>AC/RES/14</t>
        </is>
      </c>
      <c r="C23" s="5" t="inlineStr"/>
      <c r="D23" s="6" t="inlineStr"/>
      <c r="E23" s="6" t="inlineStr"/>
      <c r="F23" s="6" t="inlineStr"/>
      <c r="G23" s="6" t="inlineStr">
        <is>
          <t>Pending</t>
        </is>
      </c>
    </row>
    <row r="24" ht="25" customHeight="1"/>
    <row r="25" ht="24" customHeight="1">
      <c r="B25" s="21" t="inlineStr">
        <is>
          <t>ACTION TAKEN REPORT — PREVIOUS MEETING RESOLUTIONS</t>
        </is>
      </c>
    </row>
    <row r="26" ht="25" customHeight="1">
      <c r="B26" s="22" t="inlineStr">
        <is>
          <t>Resolution No.</t>
        </is>
      </c>
      <c r="C26" s="22" t="inlineStr">
        <is>
          <t>Resolution / Decision (Previous)</t>
        </is>
      </c>
      <c r="D26" s="22" t="inlineStr">
        <is>
          <t>Action Taken</t>
        </is>
      </c>
      <c r="E26" s="22" t="inlineStr">
        <is>
          <t>Responsible</t>
        </is>
      </c>
      <c r="F26" s="22" t="inlineStr">
        <is>
          <t>Completed Date</t>
        </is>
      </c>
      <c r="G26" s="22" t="inlineStr">
        <is>
          <t>Status</t>
        </is>
      </c>
    </row>
    <row r="27" ht="28" customHeight="1">
      <c r="B27" s="23" t="inlineStr">
        <is>
          <t>AC/RES/01</t>
        </is>
      </c>
      <c r="C27" s="56" t="inlineStr"/>
      <c r="D27" s="56" t="inlineStr"/>
      <c r="E27" s="24" t="inlineStr"/>
      <c r="F27" s="24" t="inlineStr"/>
      <c r="G27" s="24" t="inlineStr">
        <is>
          <t>Implemented</t>
        </is>
      </c>
    </row>
    <row r="28" ht="28" customHeight="1">
      <c r="B28" s="4" t="inlineStr">
        <is>
          <t>AC/RES/02</t>
        </is>
      </c>
      <c r="C28" s="5" t="inlineStr"/>
      <c r="D28" s="5" t="inlineStr"/>
      <c r="E28" s="6" t="inlineStr"/>
      <c r="F28" s="6" t="inlineStr"/>
      <c r="G28" s="6" t="inlineStr">
        <is>
          <t>In Progress</t>
        </is>
      </c>
    </row>
    <row r="29" ht="28" customHeight="1">
      <c r="B29" s="23" t="inlineStr">
        <is>
          <t>AC/RES/03</t>
        </is>
      </c>
      <c r="C29" s="56" t="inlineStr"/>
      <c r="D29" s="56" t="inlineStr"/>
      <c r="E29" s="24" t="inlineStr"/>
      <c r="F29" s="24" t="inlineStr"/>
      <c r="G29" s="24" t="inlineStr">
        <is>
          <t>Pending</t>
        </is>
      </c>
    </row>
    <row r="30" ht="28" customHeight="1">
      <c r="B30" s="4" t="inlineStr">
        <is>
          <t>AC/RES/04</t>
        </is>
      </c>
      <c r="C30" s="5" t="inlineStr"/>
      <c r="D30" s="5" t="inlineStr"/>
      <c r="E30" s="6" t="inlineStr"/>
      <c r="F30" s="6" t="inlineStr"/>
      <c r="G30" s="6" t="inlineStr">
        <is>
          <t>Deferred</t>
        </is>
      </c>
    </row>
    <row r="31" ht="28" customHeight="1">
      <c r="B31" s="23" t="inlineStr">
        <is>
          <t>AC/RES/05</t>
        </is>
      </c>
      <c r="C31" s="56" t="inlineStr"/>
      <c r="D31" s="56" t="inlineStr"/>
      <c r="E31" s="24" t="inlineStr"/>
      <c r="F31" s="24" t="inlineStr"/>
      <c r="G31" s="24" t="inlineStr">
        <is>
          <t>Implemented</t>
        </is>
      </c>
    </row>
    <row r="32" ht="28" customHeight="1">
      <c r="B32" s="4" t="inlineStr">
        <is>
          <t>AC/RES/06</t>
        </is>
      </c>
      <c r="C32" s="5" t="inlineStr"/>
      <c r="D32" s="5" t="inlineStr"/>
      <c r="E32" s="6" t="inlineStr"/>
      <c r="F32" s="6" t="inlineStr"/>
      <c r="G32" s="6" t="inlineStr">
        <is>
          <t>In Progress</t>
        </is>
      </c>
    </row>
    <row r="33" ht="28" customHeight="1">
      <c r="B33" s="23" t="inlineStr">
        <is>
          <t>AC/RES/07</t>
        </is>
      </c>
      <c r="C33" s="56" t="inlineStr"/>
      <c r="D33" s="56" t="inlineStr"/>
      <c r="E33" s="24" t="inlineStr"/>
      <c r="F33" s="24" t="inlineStr"/>
      <c r="G33" s="24" t="inlineStr">
        <is>
          <t>Pending</t>
        </is>
      </c>
    </row>
    <row r="34" ht="28" customHeight="1">
      <c r="B34" s="4" t="inlineStr">
        <is>
          <t>AC/RES/08</t>
        </is>
      </c>
      <c r="C34" s="5" t="inlineStr"/>
      <c r="D34" s="5" t="inlineStr"/>
      <c r="E34" s="6" t="inlineStr"/>
      <c r="F34" s="6" t="inlineStr"/>
      <c r="G34" s="6" t="inlineStr">
        <is>
          <t>Deferred</t>
        </is>
      </c>
    </row>
    <row r="35" ht="28" customHeight="1">
      <c r="B35" s="23" t="inlineStr">
        <is>
          <t>AC/RES/09</t>
        </is>
      </c>
      <c r="C35" s="56" t="inlineStr"/>
      <c r="D35" s="56" t="inlineStr"/>
      <c r="E35" s="24" t="inlineStr"/>
      <c r="F35" s="24" t="inlineStr"/>
      <c r="G35" s="24" t="inlineStr">
        <is>
          <t>Implemented</t>
        </is>
      </c>
    </row>
    <row r="36" ht="28" customHeight="1">
      <c r="B36" s="4" t="inlineStr">
        <is>
          <t>AC/RES/10</t>
        </is>
      </c>
      <c r="C36" s="5" t="inlineStr"/>
      <c r="D36" s="5" t="inlineStr"/>
      <c r="E36" s="6" t="inlineStr"/>
      <c r="F36" s="6" t="inlineStr"/>
      <c r="G36" s="6" t="inlineStr">
        <is>
          <t>In Progress</t>
        </is>
      </c>
    </row>
    <row r="37" ht="28" customHeight="1">
      <c r="B37" s="23" t="inlineStr">
        <is>
          <t>AC/RES/11</t>
        </is>
      </c>
      <c r="C37" s="56" t="inlineStr"/>
      <c r="D37" s="56" t="inlineStr"/>
      <c r="E37" s="24" t="inlineStr"/>
      <c r="F37" s="24" t="inlineStr"/>
      <c r="G37" s="24" t="inlineStr">
        <is>
          <t>Pending</t>
        </is>
      </c>
    </row>
    <row r="38" ht="28" customHeight="1">
      <c r="B38" s="4" t="inlineStr">
        <is>
          <t>AC/RES/12</t>
        </is>
      </c>
      <c r="C38" s="5" t="inlineStr"/>
      <c r="D38" s="5" t="inlineStr"/>
      <c r="E38" s="6" t="inlineStr"/>
      <c r="F38" s="6" t="inlineStr"/>
      <c r="G38" s="6" t="inlineStr">
        <is>
          <t>Deferred</t>
        </is>
      </c>
    </row>
    <row r="39" ht="25" customHeight="1"/>
    <row r="40" ht="24" customHeight="1">
      <c r="B40" s="88" t="inlineStr">
        <is>
          <t>ATR SUMMARY</t>
        </is>
      </c>
    </row>
    <row r="41" ht="25" customHeight="1">
      <c r="B41" s="27" t="inlineStr">
        <is>
          <t>Total Resolutions Under Review</t>
        </is>
      </c>
      <c r="E41" s="34">
        <f>COUNTA(B27:B38)</f>
        <v/>
      </c>
    </row>
    <row r="42" ht="25" customHeight="1">
      <c r="B42" s="18" t="inlineStr">
        <is>
          <t>Implemented</t>
        </is>
      </c>
      <c r="E42" s="35">
        <f>COUNTIF(G27:G38,"Implemented")</f>
        <v/>
      </c>
    </row>
    <row r="43" ht="25" customHeight="1">
      <c r="B43" s="27" t="inlineStr">
        <is>
          <t>In Progress</t>
        </is>
      </c>
      <c r="E43" s="34">
        <f>COUNTIF(G27:G38,"In Progress")</f>
        <v/>
      </c>
    </row>
    <row r="44" ht="25" customHeight="1">
      <c r="B44" s="18" t="inlineStr">
        <is>
          <t>Pending</t>
        </is>
      </c>
      <c r="E44" s="35">
        <f>COUNTIF(G27:G38,"Pending")</f>
        <v/>
      </c>
    </row>
    <row r="45" ht="25" customHeight="1">
      <c r="B45" s="27" t="inlineStr">
        <is>
          <t>Implementation Rate (%)</t>
        </is>
      </c>
      <c r="E45" s="34">
        <f>IFERROR(ROUND(C42/C41*100,1),"")</f>
        <v/>
      </c>
    </row>
    <row r="46" ht="25" customHeight="1"/>
    <row r="47" ht="25" customHeight="1">
      <c r="B47" s="89" t="inlineStr">
        <is>
          <t>Signature — Chairperson: ___________________    Admission Officer: ___________________    Date: ___________________</t>
        </is>
      </c>
    </row>
    <row r="48" ht="25" customHeight="1"/>
    <row r="49" ht="25" customHeight="1"/>
    <row r="50" ht="25" customHeight="1"/>
    <row r="51" ht="25" customHeight="1"/>
  </sheetData>
  <mergeCells count="20">
    <mergeCell ref="B2:G2"/>
    <mergeCell ref="B42:D42"/>
    <mergeCell ref="C6:G6"/>
    <mergeCell ref="B8:G8"/>
    <mergeCell ref="C5:G5"/>
    <mergeCell ref="B44:D44"/>
    <mergeCell ref="C4:G4"/>
    <mergeCell ref="E45:G45"/>
    <mergeCell ref="B40:G40"/>
    <mergeCell ref="E41:G41"/>
    <mergeCell ref="B43:D43"/>
    <mergeCell ref="B45:D45"/>
    <mergeCell ref="B41:D41"/>
    <mergeCell ref="E43:G43"/>
    <mergeCell ref="B25:G25"/>
    <mergeCell ref="B3:G3"/>
    <mergeCell ref="B47:G47"/>
    <mergeCell ref="C7:G7"/>
    <mergeCell ref="E42:G42"/>
    <mergeCell ref="E44:G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2026-04-19T05:02:44Z</dcterms:created>
  <dcterms:modified xmlns:dcterms="http://purl.org/dc/terms/" xmlns:xsi="http://www.w3.org/2001/XMLSchema-instance" xsi:type="dcterms:W3CDTF">2026-04-19T05:02:45Z</dcterms:modified>
</cp:coreProperties>
</file>