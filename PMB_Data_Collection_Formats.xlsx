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M-01 Composition" sheetId="2" state="visible" r:id="rId2"/>
    <sheet xmlns:r="http://schemas.openxmlformats.org/officeDocument/2006/relationships" name="PM-02 Notice &amp; Agenda" sheetId="3" state="visible" r:id="rId3"/>
    <sheet xmlns:r="http://schemas.openxmlformats.org/officeDocument/2006/relationships" name="PM-03 Attendance &amp; Quorum" sheetId="4" state="visible" r:id="rId4"/>
    <sheet xmlns:r="http://schemas.openxmlformats.org/officeDocument/2006/relationships" name="PM-04 Minutes &amp; Resolutions" sheetId="5" state="visible" r:id="rId5"/>
    <sheet xmlns:r="http://schemas.openxmlformats.org/officeDocument/2006/relationships" name="PM-05 Action Taken Report" sheetId="6" state="visible" r:id="rId6"/>
    <sheet xmlns:r="http://schemas.openxmlformats.org/officeDocument/2006/relationships" name="PM-06 Strategic Plan" sheetId="7" state="visible" r:id="rId7"/>
    <sheet xmlns:r="http://schemas.openxmlformats.org/officeDocument/2006/relationships" name="PM-07 Annual Action Plan" sheetId="8" state="visible" r:id="rId8"/>
    <sheet xmlns:r="http://schemas.openxmlformats.org/officeDocument/2006/relationships" name="PM-08 AAP Progress Review" sheetId="9" state="visible" r:id="rId9"/>
    <sheet xmlns:r="http://schemas.openxmlformats.org/officeDocument/2006/relationships" name="PM-09 KPI Dashboard" sheetId="10" state="visible" r:id="rId10"/>
    <sheet xmlns:r="http://schemas.openxmlformats.org/officeDocument/2006/relationships" name="PM-10 Academic Monitoring" sheetId="11" state="visible" r:id="rId11"/>
    <sheet xmlns:r="http://schemas.openxmlformats.org/officeDocument/2006/relationships" name="PM-11 Research Monitoring" sheetId="12" state="visible" r:id="rId12"/>
    <sheet xmlns:r="http://schemas.openxmlformats.org/officeDocument/2006/relationships" name="PM-12 Infrastructure Monitor" sheetId="13" state="visible" r:id="rId13"/>
    <sheet xmlns:r="http://schemas.openxmlformats.org/officeDocument/2006/relationships" name="PM-13 Faculty Monitoring" sheetId="14" state="visible" r:id="rId14"/>
    <sheet xmlns:r="http://schemas.openxmlformats.org/officeDocument/2006/relationships" name="PM-14 Financial Monitoring" sheetId="15" state="visible" r:id="rId15"/>
    <sheet xmlns:r="http://schemas.openxmlformats.org/officeDocument/2006/relationships" name="PM-15 Industry &amp; Alumni" sheetId="16" state="visible" r:id="rId16"/>
    <sheet xmlns:r="http://schemas.openxmlformats.org/officeDocument/2006/relationships" name="PM-16 Accreditation Monitor" sheetId="17" state="visible" r:id="rId17"/>
    <sheet xmlns:r="http://schemas.openxmlformats.org/officeDocument/2006/relationships" name="PM-17 Risk Register" sheetId="18" state="visible" r:id="rId18"/>
    <sheet xmlns:r="http://schemas.openxmlformats.org/officeDocument/2006/relationships" name="PM-18 Compliance Monitoring" sheetId="19" state="visible" r:id="rId19"/>
    <sheet xmlns:r="http://schemas.openxmlformats.org/officeDocument/2006/relationships" name="PM-19 Recommendations Re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3730A3"/>
      <sz val="9"/>
    </font>
    <font>
      <name val="Arial"/>
      <b val="1"/>
      <color rgb="00FFFFFF"/>
      <sz val="11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713F12"/>
      <sz val="9"/>
    </font>
    <font>
      <name val="Arial"/>
      <b val="1"/>
      <color rgb="003730A3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4F46E5"/>
      <sz val="10"/>
    </font>
    <font>
      <name val="Arial"/>
      <b val="1"/>
      <color rgb="001E1035"/>
      <sz val="10"/>
    </font>
    <font>
      <name val="Arial"/>
      <b val="1"/>
      <color rgb="00BE123C"/>
      <sz val="10"/>
    </font>
    <font>
      <name val="Arial"/>
      <b val="1"/>
      <color rgb="00B45309"/>
      <sz val="10"/>
    </font>
  </fonts>
  <fills count="25">
    <fill>
      <patternFill/>
    </fill>
    <fill>
      <patternFill patternType="gray125"/>
    </fill>
    <fill>
      <patternFill patternType="solid">
        <fgColor rgb="001E1035"/>
      </patternFill>
    </fill>
    <fill>
      <patternFill patternType="solid">
        <fgColor rgb="00E0E7FF"/>
      </patternFill>
    </fill>
    <fill>
      <patternFill patternType="solid">
        <fgColor rgb="00EAB30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3730A3"/>
      </patternFill>
    </fill>
    <fill>
      <patternFill patternType="solid">
        <fgColor rgb="00FEF9C3"/>
      </patternFill>
    </fill>
    <fill>
      <patternFill patternType="solid">
        <fgColor rgb="00334155"/>
      </patternFill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E7490"/>
      </patternFill>
    </fill>
    <fill>
      <patternFill patternType="solid">
        <fgColor rgb="00CFFAFE"/>
      </patternFill>
    </fill>
    <fill>
      <patternFill patternType="solid">
        <fgColor rgb="001E4D8C"/>
      </patternFill>
    </fill>
    <fill>
      <patternFill patternType="solid">
        <fgColor rgb="00DBEAFE"/>
      </patternFill>
    </fill>
    <fill>
      <patternFill patternType="solid">
        <fgColor rgb="00166534"/>
      </patternFill>
    </fill>
    <fill>
      <patternFill patternType="solid">
        <fgColor rgb="006D28D9"/>
      </patternFill>
    </fill>
    <fill>
      <patternFill patternType="solid">
        <fgColor rgb="00EDE9FE"/>
      </patternFill>
    </fill>
    <fill>
      <patternFill patternType="solid">
        <fgColor rgb="00CA8A04"/>
      </patternFill>
    </fill>
    <fill>
      <patternFill patternType="solid">
        <fgColor rgb="00BE123C"/>
      </patternFill>
    </fill>
    <fill>
      <patternFill patternType="solid">
        <fgColor rgb="00FFE4E6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3" fillId="18" borderId="0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3" fillId="19" borderId="0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3" fillId="21" borderId="0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22" borderId="0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16" fillId="23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23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4" customWidth="1" min="3" max="3"/>
    <col width="30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PLANNING &amp; MONITORING BOARD (PMB)
Data Collection Formats — Master Workbook</t>
        </is>
      </c>
    </row>
    <row r="3" ht="28" customHeight="1">
      <c r="B3" s="2" t="inlineStr">
        <is>
          <t>Institution: _________________________  PMB Chairman: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Stage</t>
        </is>
      </c>
    </row>
    <row r="5" ht="22" customHeight="1">
      <c r="B5" s="4" t="inlineStr">
        <is>
          <t>PM-01</t>
        </is>
      </c>
      <c r="C5" s="5" t="inlineStr">
        <is>
          <t>PMB Composition &amp; Members Register</t>
        </is>
      </c>
      <c r="D5" s="5" t="inlineStr">
        <is>
          <t>Record members, roles, expertise &amp; terms of office</t>
        </is>
      </c>
      <c r="E5" s="6" t="inlineStr">
        <is>
          <t>Annual / On Change</t>
        </is>
      </c>
    </row>
    <row r="6" ht="22" customHeight="1">
      <c r="B6" s="7" t="inlineStr">
        <is>
          <t>PM-02</t>
        </is>
      </c>
      <c r="C6" s="8" t="inlineStr">
        <is>
          <t>Meeting Notice, Agenda &amp; Dispatch Record</t>
        </is>
      </c>
      <c r="D6" s="8" t="inlineStr">
        <is>
          <t>Formal notice, agenda setting &amp; member dispatch log</t>
        </is>
      </c>
      <c r="E6" s="9" t="inlineStr">
        <is>
          <t>Each Meeting</t>
        </is>
      </c>
    </row>
    <row r="7" ht="22" customHeight="1">
      <c r="B7" s="4" t="inlineStr">
        <is>
          <t>PM-03</t>
        </is>
      </c>
      <c r="C7" s="5" t="inlineStr">
        <is>
          <t>Attendance, Quorum &amp; Proxy Register</t>
        </is>
      </c>
      <c r="D7" s="5" t="inlineStr">
        <is>
          <t>Confirm attendance, quorum validity &amp; proxy authorisation</t>
        </is>
      </c>
      <c r="E7" s="6" t="inlineStr">
        <is>
          <t>Each Meeting</t>
        </is>
      </c>
    </row>
    <row r="8" ht="22" customHeight="1">
      <c r="B8" s="7" t="inlineStr">
        <is>
          <t>PM-04</t>
        </is>
      </c>
      <c r="C8" s="8" t="inlineStr">
        <is>
          <t>Meeting Minutes &amp; Resolutions</t>
        </is>
      </c>
      <c r="D8" s="8" t="inlineStr">
        <is>
          <t>Formal minutes, resolutions, voting &amp; follow-up records</t>
        </is>
      </c>
      <c r="E8" s="9" t="inlineStr">
        <is>
          <t>Each Meeting</t>
        </is>
      </c>
    </row>
    <row r="9" ht="22" customHeight="1">
      <c r="B9" s="4" t="inlineStr">
        <is>
          <t>PM-05</t>
        </is>
      </c>
      <c r="C9" s="5" t="inlineStr">
        <is>
          <t>Action Taken Report (ATR)</t>
        </is>
      </c>
      <c r="D9" s="5" t="inlineStr">
        <is>
          <t>Track implementation of PMB resolutions &amp; directives</t>
        </is>
      </c>
      <c r="E9" s="6" t="inlineStr">
        <is>
          <t>Each Meeting</t>
        </is>
      </c>
    </row>
    <row r="10" ht="22" customHeight="1">
      <c r="B10" s="7" t="inlineStr">
        <is>
          <t>PM-06</t>
        </is>
      </c>
      <c r="C10" s="8" t="inlineStr">
        <is>
          <t>Institutional Strategic Plan (5-Year)</t>
        </is>
      </c>
      <c r="D10" s="8" t="inlineStr">
        <is>
          <t>Capture Vision, Mission, Goals &amp; strategic objectives</t>
        </is>
      </c>
      <c r="E10" s="9" t="inlineStr">
        <is>
          <t>Quinquennial / Annual Review</t>
        </is>
      </c>
    </row>
    <row r="11" ht="22" customHeight="1">
      <c r="B11" s="4" t="inlineStr">
        <is>
          <t>PM-07</t>
        </is>
      </c>
      <c r="C11" s="5" t="inlineStr">
        <is>
          <t>Annual Action Plan (AAP) Form</t>
        </is>
      </c>
      <c r="D11" s="5" t="inlineStr">
        <is>
          <t>Department-wise annual targets, activities &amp; timelines</t>
        </is>
      </c>
      <c r="E11" s="6" t="inlineStr">
        <is>
          <t>Annual (Pre-Year)</t>
        </is>
      </c>
    </row>
    <row r="12" ht="22" customHeight="1">
      <c r="B12" s="7" t="inlineStr">
        <is>
          <t>PM-08</t>
        </is>
      </c>
      <c r="C12" s="8" t="inlineStr">
        <is>
          <t>Annual Action Plan — Progress Review</t>
        </is>
      </c>
      <c r="D12" s="8" t="inlineStr">
        <is>
          <t>Mid-year &amp; year-end review of AAP vs. actuals</t>
        </is>
      </c>
      <c r="E12" s="9" t="inlineStr">
        <is>
          <t>Quarterly / Annual</t>
        </is>
      </c>
    </row>
    <row r="13" ht="22" customHeight="1">
      <c r="B13" s="4" t="inlineStr">
        <is>
          <t>PM-09</t>
        </is>
      </c>
      <c r="C13" s="5" t="inlineStr">
        <is>
          <t>Key Performance Indicator (KPI) Dashboard</t>
        </is>
      </c>
      <c r="D13" s="5" t="inlineStr">
        <is>
          <t>Track institution-wide KPI targets vs. achievements</t>
        </is>
      </c>
      <c r="E13" s="6" t="inlineStr">
        <is>
          <t>Monthly / Quarterly</t>
        </is>
      </c>
    </row>
    <row r="14" ht="22" customHeight="1">
      <c r="B14" s="7" t="inlineStr">
        <is>
          <t>PM-10</t>
        </is>
      </c>
      <c r="C14" s="8" t="inlineStr">
        <is>
          <t>Academic Performance Monitoring Register</t>
        </is>
      </c>
      <c r="D14" s="8" t="inlineStr">
        <is>
          <t>Monitor student performance, pass %, CO attainment</t>
        </is>
      </c>
      <c r="E14" s="9" t="inlineStr">
        <is>
          <t>Each Semester</t>
        </is>
      </c>
    </row>
    <row r="15" ht="22" customHeight="1">
      <c r="B15" s="4" t="inlineStr">
        <is>
          <t>PM-11</t>
        </is>
      </c>
      <c r="C15" s="5" t="inlineStr">
        <is>
          <t>Research &amp; Innovation Monitoring Form</t>
        </is>
      </c>
      <c r="D15" s="5" t="inlineStr">
        <is>
          <t>Track publications, grants, patents &amp; startup ecosystem</t>
        </is>
      </c>
      <c r="E15" s="6" t="inlineStr">
        <is>
          <t>Annual / Quarterly</t>
        </is>
      </c>
    </row>
    <row r="16" ht="22" customHeight="1">
      <c r="B16" s="7" t="inlineStr">
        <is>
          <t>PM-12</t>
        </is>
      </c>
      <c r="C16" s="8" t="inlineStr">
        <is>
          <t>Infrastructure Development Monitoring</t>
        </is>
      </c>
      <c r="D16" s="8" t="inlineStr">
        <is>
          <t>Monitor capital projects — schedule, cost, quality</t>
        </is>
      </c>
      <c r="E16" s="9" t="inlineStr">
        <is>
          <t>Monthly / Quarterly</t>
        </is>
      </c>
    </row>
    <row r="17" ht="22" customHeight="1">
      <c r="B17" s="4" t="inlineStr">
        <is>
          <t>PM-13</t>
        </is>
      </c>
      <c r="C17" s="5" t="inlineStr">
        <is>
          <t>Faculty &amp; Staff Development Monitoring</t>
        </is>
      </c>
      <c r="D17" s="5" t="inlineStr">
        <is>
          <t>Track recruitment, qualifications, FDP &amp; appraisals</t>
        </is>
      </c>
      <c r="E17" s="6" t="inlineStr">
        <is>
          <t>Annual / Semester</t>
        </is>
      </c>
    </row>
    <row r="18" ht="22" customHeight="1">
      <c r="B18" s="7" t="inlineStr">
        <is>
          <t>PM-14</t>
        </is>
      </c>
      <c r="C18" s="8" t="inlineStr">
        <is>
          <t>Financial Performance Monitoring</t>
        </is>
      </c>
      <c r="D18" s="8" t="inlineStr">
        <is>
          <t>Review income, expenditure, grants &amp; financial health</t>
        </is>
      </c>
      <c r="E18" s="9" t="inlineStr">
        <is>
          <t>Quarterly / Annual</t>
        </is>
      </c>
    </row>
    <row r="19" ht="22" customHeight="1">
      <c r="B19" s="4" t="inlineStr">
        <is>
          <t>PM-15</t>
        </is>
      </c>
      <c r="C19" s="5" t="inlineStr">
        <is>
          <t>Industry-Institute &amp; Alumni Monitoring</t>
        </is>
      </c>
      <c r="D19" s="5" t="inlineStr">
        <is>
          <t>Track MoUs, internships, placements &amp; alumni engagement</t>
        </is>
      </c>
      <c r="E19" s="6" t="inlineStr">
        <is>
          <t>Annual</t>
        </is>
      </c>
    </row>
    <row r="20" ht="22" customHeight="1">
      <c r="B20" s="7" t="inlineStr">
        <is>
          <t>PM-16</t>
        </is>
      </c>
      <c r="C20" s="8" t="inlineStr">
        <is>
          <t>Accreditation &amp; Ranking Monitoring</t>
        </is>
      </c>
      <c r="D20" s="8" t="inlineStr">
        <is>
          <t>Monitor NBA/NAAC/NIRF preparation &amp; milestone tracking</t>
        </is>
      </c>
      <c r="E20" s="9" t="inlineStr">
        <is>
          <t>Annual</t>
        </is>
      </c>
    </row>
    <row r="21" ht="22" customHeight="1">
      <c r="B21" s="4" t="inlineStr">
        <is>
          <t>PM-17</t>
        </is>
      </c>
      <c r="C21" s="5" t="inlineStr">
        <is>
          <t>Risk Register &amp; Mitigation Plan</t>
        </is>
      </c>
      <c r="D21" s="5" t="inlineStr">
        <is>
          <t>Identify, assess &amp; monitor institutional risks</t>
        </is>
      </c>
      <c r="E21" s="6" t="inlineStr">
        <is>
          <t>Annual / Continuous</t>
        </is>
      </c>
    </row>
    <row r="22" ht="22" customHeight="1">
      <c r="B22" s="7" t="inlineStr">
        <is>
          <t>PM-18</t>
        </is>
      </c>
      <c r="C22" s="8" t="inlineStr">
        <is>
          <t>Compliance Monitoring Register</t>
        </is>
      </c>
      <c r="D22" s="8" t="inlineStr">
        <is>
          <t>Track statutory, regulatory &amp; University compliance</t>
        </is>
      </c>
      <c r="E22" s="9" t="inlineStr">
        <is>
          <t>Annual / Continuous</t>
        </is>
      </c>
    </row>
    <row r="23" ht="22" customHeight="1">
      <c r="B23" s="4" t="inlineStr">
        <is>
          <t>PM-19</t>
        </is>
      </c>
      <c r="C23" s="5" t="inlineStr">
        <is>
          <t>PMB Recommendations &amp; Follow-up Register</t>
        </is>
      </c>
      <c r="D23" s="5" t="inlineStr">
        <is>
          <t>Cumulative log of all PMB decisions &amp; implementation</t>
        </is>
      </c>
      <c r="E23" s="6" t="inlineStr">
        <is>
          <t>Cumulative</t>
        </is>
      </c>
    </row>
    <row r="24" ht="22" customHeight="1"/>
    <row r="25" ht="22" customHeight="1">
      <c r="B25" s="10" t="inlineStr">
        <is>
          <t>• PMB = Planning &amp; Monitoring Board — the apex strategic planning and performance monitoring body of the institution.</t>
        </is>
      </c>
    </row>
    <row r="26" ht="22" customHeight="1">
      <c r="B26" s="10" t="inlineStr">
        <is>
          <t>• PMB reviews institutional Vision, Mission, Strategic Plan, Annual Action Plans and KPIs periodically.</t>
        </is>
      </c>
    </row>
    <row r="27" ht="22" customHeight="1">
      <c r="B27" s="10" t="inlineStr">
        <is>
          <t>• PMB bridges governance (EC/AC) with operational implementation — ensuring strategic goals are translated into action.</t>
        </is>
      </c>
    </row>
    <row r="28" ht="22" customHeight="1">
      <c r="B28" s="10" t="inlineStr">
        <is>
          <t>• PMB meets at least TWICE a year; quarterly monitoring reviews may be delegated to sub-committees.</t>
        </is>
      </c>
    </row>
    <row r="29" ht="22" customHeight="1">
      <c r="B29" s="10" t="inlineStr">
        <is>
          <t>• Data from PMB feeds into IQAC AQAR, NAAC SSR, NIRF, and Governing Body / University annual reports.</t>
        </is>
      </c>
    </row>
    <row r="30" ht="22" customHeight="1">
      <c r="B30" s="10" t="inlineStr">
        <is>
          <t>• All departments must submit their Annual Action Plans to PMB before the start of each academic year.</t>
        </is>
      </c>
    </row>
    <row r="31" ht="22" customHeight="1"/>
  </sheetData>
  <mergeCells count="8">
    <mergeCell ref="B26:E26"/>
    <mergeCell ref="B27:E27"/>
    <mergeCell ref="B30:E30"/>
    <mergeCell ref="B29:E29"/>
    <mergeCell ref="B25:E25"/>
    <mergeCell ref="B3:E3"/>
    <mergeCell ref="B2:E2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6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PM-01: PLANNING &amp; MONITORING BOARD — COMPOSITION REGISTER</t>
        </is>
      </c>
    </row>
    <row r="3" ht="25" customHeight="1">
      <c r="B3" s="2" t="inlineStr">
        <is>
          <t>Institution: _________________________  A.Y.: _______  Constituted on: _______  Ref. Order No.: _______</t>
        </is>
      </c>
    </row>
    <row r="4" ht="25" customHeight="1">
      <c r="B4" s="12" t="inlineStr">
        <is>
          <t>Sl.</t>
        </is>
      </c>
      <c r="C4" s="12" t="inlineStr">
        <is>
          <t>Name of Member</t>
        </is>
      </c>
      <c r="D4" s="12" t="inlineStr">
        <is>
          <t>Designation / Organisation</t>
        </is>
      </c>
      <c r="E4" s="12" t="inlineStr">
        <is>
          <t>Role in PMB</t>
        </is>
      </c>
      <c r="F4" s="12" t="inlineStr">
        <is>
          <t>Domain Expertise</t>
        </is>
      </c>
      <c r="G4" s="12" t="inlineStr">
        <is>
          <t>Email / Phone</t>
        </is>
      </c>
      <c r="H4" s="12" t="inlineStr">
        <is>
          <t>Term (From–To)</t>
        </is>
      </c>
      <c r="I4" s="12" t="inlineStr">
        <is>
          <t>Signature</t>
        </is>
      </c>
    </row>
    <row r="5" ht="22" customHeight="1">
      <c r="B5" s="13" t="n">
        <v>1</v>
      </c>
      <c r="C5" s="14" t="inlineStr"/>
      <c r="D5" s="14" t="inlineStr">
        <is>
          <t>Chairman – Governing Body / Chancellor / Principal</t>
        </is>
      </c>
      <c r="E5" s="13" t="inlineStr">
        <is>
          <t>Chairman</t>
        </is>
      </c>
      <c r="F5" s="15" t="inlineStr">
        <is>
          <t>Strategic Leadership</t>
        </is>
      </c>
      <c r="G5" s="14" t="inlineStr"/>
      <c r="H5" s="15" t="inlineStr"/>
      <c r="I5" s="15" t="inlineStr"/>
    </row>
    <row r="6" ht="22" customHeight="1">
      <c r="B6" s="4" t="n">
        <v>2</v>
      </c>
      <c r="C6" s="5" t="inlineStr"/>
      <c r="D6" s="5" t="inlineStr">
        <is>
          <t>Vice-Principal / Pro-Chancellor</t>
        </is>
      </c>
      <c r="E6" s="4" t="inlineStr">
        <is>
          <t>Vice-Chairman</t>
        </is>
      </c>
      <c r="F6" s="6" t="inlineStr">
        <is>
          <t>Academic Strategy</t>
        </is>
      </c>
      <c r="G6" s="5" t="inlineStr"/>
      <c r="H6" s="6" t="inlineStr"/>
      <c r="I6" s="6" t="inlineStr"/>
    </row>
    <row r="7" ht="22" customHeight="1">
      <c r="B7" s="13" t="n">
        <v>3</v>
      </c>
      <c r="C7" s="14" t="inlineStr"/>
      <c r="D7" s="14" t="inlineStr">
        <is>
          <t>Registrar / Planning Officer</t>
        </is>
      </c>
      <c r="E7" s="13" t="inlineStr">
        <is>
          <t>Member Secretary</t>
        </is>
      </c>
      <c r="F7" s="15" t="inlineStr">
        <is>
          <t>Planning &amp; Coordination</t>
        </is>
      </c>
      <c r="G7" s="14" t="inlineStr"/>
      <c r="H7" s="15" t="inlineStr"/>
      <c r="I7" s="15" t="inlineStr"/>
    </row>
    <row r="8" ht="22" customHeight="1">
      <c r="B8" s="4" t="n">
        <v>4</v>
      </c>
      <c r="C8" s="5" t="inlineStr"/>
      <c r="D8" s="5" t="inlineStr">
        <is>
          <t>Dean – Academic Affairs</t>
        </is>
      </c>
      <c r="E8" s="4" t="inlineStr">
        <is>
          <t>Academic Affairs Member</t>
        </is>
      </c>
      <c r="F8" s="6" t="inlineStr">
        <is>
          <t>Academic Planning</t>
        </is>
      </c>
      <c r="G8" s="5" t="inlineStr"/>
      <c r="H8" s="6" t="inlineStr"/>
      <c r="I8" s="6" t="inlineStr"/>
    </row>
    <row r="9" ht="22" customHeight="1">
      <c r="B9" s="13" t="n">
        <v>5</v>
      </c>
      <c r="C9" s="14" t="inlineStr"/>
      <c r="D9" s="14" t="inlineStr">
        <is>
          <t>Dean – Research &amp; Development</t>
        </is>
      </c>
      <c r="E9" s="13" t="inlineStr">
        <is>
          <t>Research &amp; Dev. Member</t>
        </is>
      </c>
      <c r="F9" s="15" t="inlineStr">
        <is>
          <t>R&amp;D Strategy</t>
        </is>
      </c>
      <c r="G9" s="14" t="inlineStr"/>
      <c r="H9" s="15" t="inlineStr"/>
      <c r="I9" s="15" t="inlineStr"/>
    </row>
    <row r="10" ht="22" customHeight="1">
      <c r="B10" s="4" t="n">
        <v>6</v>
      </c>
      <c r="C10" s="5" t="inlineStr"/>
      <c r="D10" s="5" t="inlineStr">
        <is>
          <t>Finance Officer / CFO</t>
        </is>
      </c>
      <c r="E10" s="4" t="inlineStr">
        <is>
          <t>Finance Member</t>
        </is>
      </c>
      <c r="F10" s="6" t="inlineStr">
        <is>
          <t>Financial Planning</t>
        </is>
      </c>
      <c r="G10" s="5" t="inlineStr"/>
      <c r="H10" s="6" t="inlineStr"/>
      <c r="I10" s="6" t="inlineStr"/>
    </row>
    <row r="11" ht="22" customHeight="1">
      <c r="B11" s="13" t="n">
        <v>7</v>
      </c>
      <c r="C11" s="14" t="inlineStr"/>
      <c r="D11" s="14" t="inlineStr">
        <is>
          <t>Estate Officer / Works Director</t>
        </is>
      </c>
      <c r="E11" s="13" t="inlineStr">
        <is>
          <t>Infrastructure Member</t>
        </is>
      </c>
      <c r="F11" s="15" t="inlineStr">
        <is>
          <t>Infrastructure Planning</t>
        </is>
      </c>
      <c r="G11" s="14" t="inlineStr"/>
      <c r="H11" s="15" t="inlineStr"/>
      <c r="I11" s="15" t="inlineStr"/>
    </row>
    <row r="12" ht="22" customHeight="1">
      <c r="B12" s="4" t="n">
        <v>8</v>
      </c>
      <c r="C12" s="5" t="inlineStr"/>
      <c r="D12" s="5" t="inlineStr">
        <is>
          <t>Senior Industry Leader / CXO</t>
        </is>
      </c>
      <c r="E12" s="4" t="inlineStr">
        <is>
          <t>Industry Member – 1</t>
        </is>
      </c>
      <c r="F12" s="6" t="inlineStr">
        <is>
          <t>Industry Linkage</t>
        </is>
      </c>
      <c r="G12" s="5" t="inlineStr"/>
      <c r="H12" s="6" t="inlineStr"/>
      <c r="I12" s="6" t="inlineStr"/>
    </row>
    <row r="13" ht="22" customHeight="1">
      <c r="B13" s="13" t="n">
        <v>9</v>
      </c>
      <c r="C13" s="14" t="inlineStr"/>
      <c r="D13" s="14" t="inlineStr">
        <is>
          <t>Industry / Corporate Representative</t>
        </is>
      </c>
      <c r="E13" s="13" t="inlineStr">
        <is>
          <t>Industry Member – 2</t>
        </is>
      </c>
      <c r="F13" s="15" t="inlineStr">
        <is>
          <t>Employability &amp; Skills</t>
        </is>
      </c>
      <c r="G13" s="14" t="inlineStr"/>
      <c r="H13" s="15" t="inlineStr"/>
      <c r="I13" s="15" t="inlineStr"/>
    </row>
    <row r="14" ht="22" customHeight="1">
      <c r="B14" s="4" t="n">
        <v>10</v>
      </c>
      <c r="C14" s="5" t="inlineStr"/>
      <c r="D14" s="5" t="inlineStr">
        <is>
          <t>Distinguished Alumnus / Alumna</t>
        </is>
      </c>
      <c r="E14" s="4" t="inlineStr">
        <is>
          <t>Alumni Member</t>
        </is>
      </c>
      <c r="F14" s="6" t="inlineStr">
        <is>
          <t>Alumni Perspective</t>
        </is>
      </c>
      <c r="G14" s="5" t="inlineStr"/>
      <c r="H14" s="6" t="inlineStr"/>
      <c r="I14" s="6" t="inlineStr"/>
    </row>
    <row r="15" ht="22" customHeight="1">
      <c r="B15" s="13" t="n">
        <v>11</v>
      </c>
      <c r="C15" s="14" t="inlineStr"/>
      <c r="D15" s="14" t="inlineStr">
        <is>
          <t>Eminent Professor / Educationist</t>
        </is>
      </c>
      <c r="E15" s="13" t="inlineStr">
        <is>
          <t>External Academic Expert</t>
        </is>
      </c>
      <c r="F15" s="15" t="inlineStr">
        <is>
          <t>Academic Excellence</t>
        </is>
      </c>
      <c r="G15" s="14" t="inlineStr"/>
      <c r="H15" s="15" t="inlineStr"/>
      <c r="I15" s="15" t="inlineStr"/>
    </row>
    <row r="16" ht="22" customHeight="1">
      <c r="B16" s="4" t="n">
        <v>12</v>
      </c>
      <c r="C16" s="5" t="inlineStr"/>
      <c r="D16" s="5" t="inlineStr">
        <is>
          <t>IQAC In-charge (Ex-officio)</t>
        </is>
      </c>
      <c r="E16" s="4" t="inlineStr">
        <is>
          <t>IQAC Coordinator</t>
        </is>
      </c>
      <c r="F16" s="6" t="inlineStr">
        <is>
          <t>Quality Assurance</t>
        </is>
      </c>
      <c r="G16" s="5" t="inlineStr"/>
      <c r="H16" s="6" t="inlineStr"/>
      <c r="I16" s="6" t="inlineStr"/>
    </row>
    <row r="17" ht="22" customHeight="1">
      <c r="B17" s="13" t="n">
        <v>13</v>
      </c>
      <c r="C17" s="14" t="inlineStr"/>
      <c r="D17" s="14" t="inlineStr">
        <is>
          <t>State Higher Education Department</t>
        </is>
      </c>
      <c r="E17" s="13" t="inlineStr">
        <is>
          <t>Government Nominee</t>
        </is>
      </c>
      <c r="F17" s="15" t="inlineStr">
        <is>
          <t>Regulatory Perspective</t>
        </is>
      </c>
      <c r="G17" s="14" t="inlineStr"/>
      <c r="H17" s="15" t="inlineStr"/>
      <c r="I17" s="15" t="inlineStr"/>
    </row>
    <row r="18" ht="22" customHeight="1">
      <c r="B18" s="4" t="n">
        <v>14</v>
      </c>
      <c r="C18" s="5" t="inlineStr"/>
      <c r="D18" s="5" t="inlineStr">
        <is>
          <t>Student Body President (Ex-officio)</t>
        </is>
      </c>
      <c r="E18" s="4" t="inlineStr">
        <is>
          <t>Student Representative</t>
        </is>
      </c>
      <c r="F18" s="6" t="inlineStr">
        <is>
          <t>Student Voice</t>
        </is>
      </c>
      <c r="G18" s="5" t="inlineStr"/>
      <c r="H18" s="6" t="inlineStr"/>
      <c r="I18" s="6" t="inlineStr"/>
    </row>
    <row r="19" ht="22" customHeight="1"/>
    <row r="20" ht="20" customHeight="1">
      <c r="B20" s="16" t="inlineStr">
        <is>
          <t>PMB should be constituted before the start of the academic year. External members bring strategic industry, alumni &amp; government perspectives.</t>
        </is>
      </c>
    </row>
    <row r="21" ht="22" customHeight="1"/>
  </sheetData>
  <mergeCells count="3">
    <mergeCell ref="B3:I3"/>
    <mergeCell ref="B2:I2"/>
    <mergeCell ref="B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6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1" t="inlineStr">
        <is>
          <t>PM-02: PMB MEETING NOTICE, AGENDA &amp; DISPATCH RECORD</t>
        </is>
      </c>
    </row>
    <row r="3" ht="22" customHeight="1">
      <c r="B3" s="17" t="inlineStr">
        <is>
          <t>PMB Meeting No.:</t>
        </is>
      </c>
      <c r="C3" s="5" t="n"/>
    </row>
    <row r="4" ht="22" customHeight="1">
      <c r="B4" s="17" t="inlineStr">
        <is>
          <t>Academic Year:</t>
        </is>
      </c>
      <c r="C4" s="5" t="n"/>
    </row>
    <row r="5" ht="22" customHeight="1">
      <c r="B5" s="17" t="inlineStr">
        <is>
          <t>Date of Meeting:</t>
        </is>
      </c>
      <c r="C5" s="5" t="n"/>
    </row>
    <row r="6" ht="22" customHeight="1">
      <c r="B6" s="17" t="inlineStr">
        <is>
          <t>Time:</t>
        </is>
      </c>
      <c r="C6" s="5" t="n"/>
    </row>
    <row r="7" ht="22" customHeight="1">
      <c r="B7" s="17" t="inlineStr">
        <is>
          <t>Venue:</t>
        </is>
      </c>
      <c r="C7" s="5" t="n"/>
    </row>
    <row r="8" ht="22" customHeight="1">
      <c r="B8" s="17" t="inlineStr">
        <is>
          <t>Mode (Physical/VC/Hybrid):</t>
        </is>
      </c>
      <c r="C8" s="5" t="n"/>
    </row>
    <row r="9" ht="22" customHeight="1">
      <c r="B9" s="17" t="inlineStr">
        <is>
          <t>Notice Issued by:</t>
        </is>
      </c>
      <c r="C9" s="5" t="n"/>
    </row>
    <row r="10" ht="22" customHeight="1">
      <c r="B10" s="17" t="inlineStr">
        <is>
          <t>Notice Date:</t>
        </is>
      </c>
      <c r="C10" s="5" t="n"/>
    </row>
    <row r="11" ht="24" customHeight="1">
      <c r="B11" s="18" t="inlineStr">
        <is>
          <t>AGENDA ITEMS</t>
        </is>
      </c>
    </row>
    <row r="12" ht="24" customHeight="1">
      <c r="B12" s="19" t="inlineStr">
        <is>
          <t>Item
No.</t>
        </is>
      </c>
      <c r="C12" s="19" t="inlineStr">
        <is>
          <t>Agenda Item / Discussion Topic</t>
        </is>
      </c>
      <c r="D12" s="19" t="inlineStr">
        <is>
          <t>Presenter / Lead</t>
        </is>
      </c>
      <c r="E12" s="19" t="inlineStr">
        <is>
          <t>Duration (Min)</t>
        </is>
      </c>
    </row>
    <row r="13" ht="24" customHeight="1">
      <c r="B13" s="13" t="n">
        <v>1</v>
      </c>
      <c r="C13" s="14" t="inlineStr">
        <is>
          <t>Opening by Chairman — welcome &amp; context setting</t>
        </is>
      </c>
      <c r="D13" s="15" t="inlineStr"/>
      <c r="E13" s="15" t="inlineStr"/>
    </row>
    <row r="14" ht="24" customHeight="1">
      <c r="B14" s="4" t="n">
        <v>2</v>
      </c>
      <c r="C14" s="5" t="inlineStr">
        <is>
          <t>Confirmation of minutes of previous PMB meeting</t>
        </is>
      </c>
      <c r="D14" s="6" t="inlineStr"/>
      <c r="E14" s="6" t="inlineStr"/>
    </row>
    <row r="15" ht="24" customHeight="1">
      <c r="B15" s="13" t="n">
        <v>3</v>
      </c>
      <c r="C15" s="14" t="inlineStr">
        <is>
          <t>Action Taken Report on previous PMB resolutions</t>
        </is>
      </c>
      <c r="D15" s="15" t="inlineStr"/>
      <c r="E15" s="15" t="inlineStr"/>
    </row>
    <row r="16" ht="24" customHeight="1">
      <c r="B16" s="4" t="n">
        <v>4</v>
      </c>
      <c r="C16" s="5" t="inlineStr">
        <is>
          <t>Institutional Strategic Plan — annual review &amp; progress</t>
        </is>
      </c>
      <c r="D16" s="6" t="inlineStr"/>
      <c r="E16" s="6" t="inlineStr"/>
    </row>
    <row r="17" ht="24" customHeight="1">
      <c r="B17" s="13" t="n">
        <v>5</v>
      </c>
      <c r="C17" s="14" t="inlineStr">
        <is>
          <t>Annual Action Plan (AAP) — department-wise submission &amp; review</t>
        </is>
      </c>
      <c r="D17" s="15" t="inlineStr"/>
      <c r="E17" s="15" t="inlineStr"/>
    </row>
    <row r="18" ht="24" customHeight="1">
      <c r="B18" s="4" t="n">
        <v>6</v>
      </c>
      <c r="C18" s="5" t="inlineStr">
        <is>
          <t>Annual Action Plan — mid-year / year-end progress review</t>
        </is>
      </c>
      <c r="D18" s="6" t="inlineStr"/>
      <c r="E18" s="6" t="inlineStr"/>
    </row>
    <row r="19" ht="24" customHeight="1">
      <c r="B19" s="13" t="n">
        <v>7</v>
      </c>
      <c r="C19" s="14" t="inlineStr">
        <is>
          <t>KPI Dashboard review — institutional performance snapshot</t>
        </is>
      </c>
      <c r="D19" s="15" t="inlineStr"/>
      <c r="E19" s="15" t="inlineStr"/>
    </row>
    <row r="20" ht="24" customHeight="1">
      <c r="B20" s="4" t="n">
        <v>8</v>
      </c>
      <c r="C20" s="5" t="inlineStr">
        <is>
          <t>Academic performance monitoring — pass %, CO attainment, results</t>
        </is>
      </c>
      <c r="D20" s="6" t="inlineStr"/>
      <c r="E20" s="6" t="inlineStr"/>
    </row>
    <row r="21" ht="24" customHeight="1">
      <c r="B21" s="13" t="n">
        <v>9</v>
      </c>
      <c r="C21" s="14" t="inlineStr">
        <is>
          <t>Research &amp; innovation update — publications, grants, patents</t>
        </is>
      </c>
      <c r="D21" s="15" t="inlineStr"/>
      <c r="E21" s="15" t="inlineStr"/>
    </row>
    <row r="22" ht="24" customHeight="1">
      <c r="B22" s="4" t="n">
        <v>10</v>
      </c>
      <c r="C22" s="5" t="inlineStr">
        <is>
          <t>Infrastructure development projects — status &amp; schedule review</t>
        </is>
      </c>
      <c r="D22" s="6" t="inlineStr"/>
      <c r="E22" s="6" t="inlineStr"/>
    </row>
    <row r="23" ht="24" customHeight="1">
      <c r="B23" s="13" t="n">
        <v>11</v>
      </c>
      <c r="C23" s="14" t="inlineStr">
        <is>
          <t>Faculty &amp; staff development — recruitment, FDP, appraisal status</t>
        </is>
      </c>
      <c r="D23" s="15" t="inlineStr"/>
      <c r="E23" s="15" t="inlineStr"/>
    </row>
    <row r="24" ht="24" customHeight="1">
      <c r="B24" s="4" t="n">
        <v>12</v>
      </c>
      <c r="C24" s="5" t="inlineStr">
        <is>
          <t>Financial performance — income, expenditure &amp; budget utilisation</t>
        </is>
      </c>
      <c r="D24" s="6" t="inlineStr"/>
      <c r="E24" s="6" t="inlineStr"/>
    </row>
    <row r="25" ht="24" customHeight="1">
      <c r="B25" s="13" t="n">
        <v>13</v>
      </c>
      <c r="C25" s="14" t="inlineStr">
        <is>
          <t>Industry-institute interactions — MoU, internship, placement review</t>
        </is>
      </c>
      <c r="D25" s="15" t="inlineStr"/>
      <c r="E25" s="15" t="inlineStr"/>
    </row>
    <row r="26" ht="24" customHeight="1">
      <c r="B26" s="4" t="n">
        <v>14</v>
      </c>
      <c r="C26" s="5" t="inlineStr">
        <is>
          <t>Accreditation &amp; rankings — NBA/NAAC/NIRF milestone review</t>
        </is>
      </c>
      <c r="D26" s="6" t="inlineStr"/>
      <c r="E26" s="6" t="inlineStr"/>
    </row>
    <row r="27" ht="24" customHeight="1">
      <c r="B27" s="13" t="n">
        <v>15</v>
      </c>
      <c r="C27" s="14" t="inlineStr">
        <is>
          <t>Risk register review — new risks &amp; mitigation update</t>
        </is>
      </c>
      <c r="D27" s="15" t="inlineStr"/>
      <c r="E27" s="15" t="inlineStr"/>
    </row>
    <row r="28" ht="24" customHeight="1">
      <c r="B28" s="4" t="n">
        <v>16</v>
      </c>
      <c r="C28" s="5" t="inlineStr">
        <is>
          <t>Statutory &amp; regulatory compliance monitoring report</t>
        </is>
      </c>
      <c r="D28" s="6" t="inlineStr"/>
      <c r="E28" s="6" t="inlineStr"/>
    </row>
    <row r="29" ht="24" customHeight="1">
      <c r="B29" s="13" t="n">
        <v>17</v>
      </c>
      <c r="C29" s="14" t="inlineStr">
        <is>
          <t>New strategic initiatives — proposals for approval</t>
        </is>
      </c>
      <c r="D29" s="15" t="inlineStr"/>
      <c r="E29" s="15" t="inlineStr"/>
    </row>
    <row r="30" ht="24" customHeight="1">
      <c r="B30" s="4" t="n">
        <v>18</v>
      </c>
      <c r="C30" s="5" t="inlineStr">
        <is>
          <t>Any Other Matter with Permission of Chairman (AOMPC)</t>
        </is>
      </c>
      <c r="D30" s="6" t="inlineStr"/>
      <c r="E30" s="6" t="inlineStr"/>
    </row>
    <row r="31" ht="24" customHeight="1"/>
    <row r="32" ht="24" customHeight="1">
      <c r="B32" s="20" t="inlineStr">
        <is>
          <t>DISPATCH RECORD</t>
        </is>
      </c>
    </row>
    <row r="33" ht="24" customHeight="1">
      <c r="B33" s="21" t="inlineStr">
        <is>
          <t>Sl.</t>
        </is>
      </c>
      <c r="C33" s="21" t="inlineStr">
        <is>
          <t>Member Name &amp; Role</t>
        </is>
      </c>
      <c r="D33" s="21" t="inlineStr">
        <is>
          <t>Mode of Dispatch</t>
        </is>
      </c>
      <c r="E33" s="21" t="inlineStr">
        <is>
          <t>Date Dispatched &amp; Acknowledgement</t>
        </is>
      </c>
    </row>
    <row r="34" ht="22" customHeight="1">
      <c r="B34" s="22" t="n"/>
      <c r="C34" s="22" t="n"/>
      <c r="D34" s="22" t="n"/>
      <c r="E34" s="22" t="n"/>
    </row>
    <row r="35" ht="22" customHeight="1">
      <c r="B35" s="6" t="n"/>
      <c r="C35" s="6" t="n"/>
      <c r="D35" s="6" t="n"/>
      <c r="E35" s="6" t="n"/>
    </row>
    <row r="36" ht="22" customHeight="1">
      <c r="B36" s="22" t="n"/>
      <c r="C36" s="22" t="n"/>
      <c r="D36" s="22" t="n"/>
      <c r="E36" s="22" t="n"/>
    </row>
    <row r="37" ht="22" customHeight="1">
      <c r="B37" s="6" t="n"/>
      <c r="C37" s="6" t="n"/>
      <c r="D37" s="6" t="n"/>
      <c r="E37" s="6" t="n"/>
    </row>
    <row r="38" ht="22" customHeight="1">
      <c r="B38" s="22" t="n"/>
      <c r="C38" s="22" t="n"/>
      <c r="D38" s="22" t="n"/>
      <c r="E38" s="22" t="n"/>
    </row>
    <row r="39" ht="24" customHeight="1"/>
    <row r="40" ht="24" customHeight="1"/>
    <row r="41" ht="24" customHeight="1"/>
  </sheetData>
  <mergeCells count="11">
    <mergeCell ref="C5:E5"/>
    <mergeCell ref="C8:E8"/>
    <mergeCell ref="C9:E9"/>
    <mergeCell ref="C4:E4"/>
    <mergeCell ref="B32:E32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2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PM-03: ATTENDANCE, QUORUM &amp; PROXY REGISTER</t>
        </is>
      </c>
    </row>
    <row r="3" ht="25" customHeight="1">
      <c r="B3" s="2" t="inlineStr">
        <is>
          <t>PMB Meeting No.: _______  Date: _______  Total Strength: _______  Quorum Required (50%): _______</t>
        </is>
      </c>
    </row>
    <row r="4" ht="25" customHeight="1">
      <c r="B4" s="12" t="inlineStr">
        <is>
          <t>Sl.</t>
        </is>
      </c>
      <c r="C4" s="12" t="inlineStr">
        <is>
          <t>Name of Member</t>
        </is>
      </c>
      <c r="D4" s="12" t="inlineStr">
        <is>
          <t>Designation / Role</t>
        </is>
      </c>
      <c r="E4" s="12" t="inlineStr">
        <is>
          <t>Mode
(Physical/VC)</t>
        </is>
      </c>
      <c r="F4" s="12" t="inlineStr">
        <is>
          <t>Present
(P/A)</t>
        </is>
      </c>
      <c r="G4" s="12" t="inlineStr">
        <is>
          <t>Proxy
(Y/N)</t>
        </is>
      </c>
      <c r="H4" s="12" t="inlineStr">
        <is>
          <t>Proxy Authorised To</t>
        </is>
      </c>
      <c r="I4" s="12" t="inlineStr">
        <is>
          <t>Signature / Confirm</t>
        </is>
      </c>
    </row>
    <row r="5" ht="22" customHeight="1">
      <c r="B5" s="13" t="n">
        <v>1</v>
      </c>
      <c r="C5" s="14" t="inlineStr"/>
      <c r="D5" s="14" t="inlineStr"/>
      <c r="E5" s="15" t="inlineStr">
        <is>
          <t>Physical</t>
        </is>
      </c>
      <c r="F5" s="15" t="inlineStr"/>
      <c r="G5" s="15" t="inlineStr">
        <is>
          <t>N</t>
        </is>
      </c>
      <c r="H5" s="15" t="inlineStr"/>
      <c r="I5" s="15" t="inlineStr"/>
    </row>
    <row r="6" ht="22" customHeight="1">
      <c r="B6" s="4" t="n">
        <v>2</v>
      </c>
      <c r="C6" s="5" t="inlineStr"/>
      <c r="D6" s="5" t="inlineStr"/>
      <c r="E6" s="6" t="inlineStr">
        <is>
          <t>Physical</t>
        </is>
      </c>
      <c r="F6" s="6" t="inlineStr"/>
      <c r="G6" s="6" t="inlineStr">
        <is>
          <t>N</t>
        </is>
      </c>
      <c r="H6" s="6" t="inlineStr"/>
      <c r="I6" s="6" t="inlineStr"/>
    </row>
    <row r="7" ht="22" customHeight="1">
      <c r="B7" s="13" t="n">
        <v>3</v>
      </c>
      <c r="C7" s="14" t="inlineStr"/>
      <c r="D7" s="14" t="inlineStr"/>
      <c r="E7" s="15" t="inlineStr">
        <is>
          <t>Physical</t>
        </is>
      </c>
      <c r="F7" s="15" t="inlineStr"/>
      <c r="G7" s="15" t="inlineStr">
        <is>
          <t>N</t>
        </is>
      </c>
      <c r="H7" s="15" t="inlineStr"/>
      <c r="I7" s="15" t="inlineStr"/>
    </row>
    <row r="8" ht="22" customHeight="1">
      <c r="B8" s="4" t="n">
        <v>4</v>
      </c>
      <c r="C8" s="5" t="inlineStr"/>
      <c r="D8" s="5" t="inlineStr"/>
      <c r="E8" s="6" t="inlineStr">
        <is>
          <t>Physical</t>
        </is>
      </c>
      <c r="F8" s="6" t="inlineStr"/>
      <c r="G8" s="6" t="inlineStr">
        <is>
          <t>N</t>
        </is>
      </c>
      <c r="H8" s="6" t="inlineStr"/>
      <c r="I8" s="6" t="inlineStr"/>
    </row>
    <row r="9" ht="22" customHeight="1">
      <c r="B9" s="13" t="n">
        <v>5</v>
      </c>
      <c r="C9" s="14" t="inlineStr"/>
      <c r="D9" s="14" t="inlineStr"/>
      <c r="E9" s="15" t="inlineStr">
        <is>
          <t>Physical</t>
        </is>
      </c>
      <c r="F9" s="15" t="inlineStr"/>
      <c r="G9" s="15" t="inlineStr">
        <is>
          <t>N</t>
        </is>
      </c>
      <c r="H9" s="15" t="inlineStr"/>
      <c r="I9" s="15" t="inlineStr"/>
    </row>
    <row r="10" ht="22" customHeight="1">
      <c r="B10" s="4" t="n">
        <v>6</v>
      </c>
      <c r="C10" s="5" t="inlineStr"/>
      <c r="D10" s="5" t="inlineStr"/>
      <c r="E10" s="6" t="inlineStr">
        <is>
          <t>Physical</t>
        </is>
      </c>
      <c r="F10" s="6" t="inlineStr"/>
      <c r="G10" s="6" t="inlineStr">
        <is>
          <t>N</t>
        </is>
      </c>
      <c r="H10" s="6" t="inlineStr"/>
      <c r="I10" s="6" t="inlineStr"/>
    </row>
    <row r="11" ht="22" customHeight="1">
      <c r="B11" s="13" t="n">
        <v>7</v>
      </c>
      <c r="C11" s="14" t="inlineStr"/>
      <c r="D11" s="14" t="inlineStr"/>
      <c r="E11" s="15" t="inlineStr">
        <is>
          <t>Physical</t>
        </is>
      </c>
      <c r="F11" s="15" t="inlineStr"/>
      <c r="G11" s="15" t="inlineStr">
        <is>
          <t>N</t>
        </is>
      </c>
      <c r="H11" s="15" t="inlineStr"/>
      <c r="I11" s="15" t="inlineStr"/>
    </row>
    <row r="12" ht="22" customHeight="1">
      <c r="B12" s="4" t="n">
        <v>8</v>
      </c>
      <c r="C12" s="5" t="inlineStr"/>
      <c r="D12" s="5" t="inlineStr"/>
      <c r="E12" s="6" t="inlineStr">
        <is>
          <t>Physical</t>
        </is>
      </c>
      <c r="F12" s="6" t="inlineStr"/>
      <c r="G12" s="6" t="inlineStr">
        <is>
          <t>N</t>
        </is>
      </c>
      <c r="H12" s="6" t="inlineStr"/>
      <c r="I12" s="6" t="inlineStr"/>
    </row>
    <row r="13" ht="22" customHeight="1">
      <c r="B13" s="13" t="n">
        <v>9</v>
      </c>
      <c r="C13" s="14" t="inlineStr"/>
      <c r="D13" s="14" t="inlineStr"/>
      <c r="E13" s="15" t="inlineStr">
        <is>
          <t>Physical</t>
        </is>
      </c>
      <c r="F13" s="15" t="inlineStr"/>
      <c r="G13" s="15" t="inlineStr">
        <is>
          <t>N</t>
        </is>
      </c>
      <c r="H13" s="15" t="inlineStr"/>
      <c r="I13" s="15" t="inlineStr"/>
    </row>
    <row r="14" ht="22" customHeight="1">
      <c r="B14" s="4" t="n">
        <v>10</v>
      </c>
      <c r="C14" s="5" t="inlineStr"/>
      <c r="D14" s="5" t="inlineStr"/>
      <c r="E14" s="6" t="inlineStr">
        <is>
          <t>Physical</t>
        </is>
      </c>
      <c r="F14" s="6" t="inlineStr"/>
      <c r="G14" s="6" t="inlineStr">
        <is>
          <t>N</t>
        </is>
      </c>
      <c r="H14" s="6" t="inlineStr"/>
      <c r="I14" s="6" t="inlineStr"/>
    </row>
    <row r="15" ht="22" customHeight="1">
      <c r="B15" s="13" t="n">
        <v>11</v>
      </c>
      <c r="C15" s="14" t="inlineStr"/>
      <c r="D15" s="14" t="inlineStr"/>
      <c r="E15" s="15" t="inlineStr">
        <is>
          <t>Physical</t>
        </is>
      </c>
      <c r="F15" s="15" t="inlineStr"/>
      <c r="G15" s="15" t="inlineStr">
        <is>
          <t>N</t>
        </is>
      </c>
      <c r="H15" s="15" t="inlineStr"/>
      <c r="I15" s="15" t="inlineStr"/>
    </row>
    <row r="16" ht="22" customHeight="1">
      <c r="B16" s="4" t="n">
        <v>12</v>
      </c>
      <c r="C16" s="5" t="inlineStr"/>
      <c r="D16" s="5" t="inlineStr"/>
      <c r="E16" s="6" t="inlineStr">
        <is>
          <t>Physical</t>
        </is>
      </c>
      <c r="F16" s="6" t="inlineStr"/>
      <c r="G16" s="6" t="inlineStr">
        <is>
          <t>N</t>
        </is>
      </c>
      <c r="H16" s="6" t="inlineStr"/>
      <c r="I16" s="6" t="inlineStr"/>
    </row>
    <row r="17" ht="22" customHeight="1">
      <c r="B17" s="13" t="n">
        <v>13</v>
      </c>
      <c r="C17" s="14" t="inlineStr"/>
      <c r="D17" s="14" t="inlineStr"/>
      <c r="E17" s="15" t="inlineStr">
        <is>
          <t>Physical</t>
        </is>
      </c>
      <c r="F17" s="15" t="inlineStr"/>
      <c r="G17" s="15" t="inlineStr">
        <is>
          <t>N</t>
        </is>
      </c>
      <c r="H17" s="15" t="inlineStr"/>
      <c r="I17" s="15" t="inlineStr"/>
    </row>
    <row r="18" ht="22" customHeight="1">
      <c r="B18" s="4" t="n">
        <v>14</v>
      </c>
      <c r="C18" s="5" t="inlineStr"/>
      <c r="D18" s="5" t="inlineStr"/>
      <c r="E18" s="6" t="inlineStr">
        <is>
          <t>Physical</t>
        </is>
      </c>
      <c r="F18" s="6" t="inlineStr"/>
      <c r="G18" s="6" t="inlineStr">
        <is>
          <t>N</t>
        </is>
      </c>
      <c r="H18" s="6" t="inlineStr"/>
      <c r="I18" s="6" t="inlineStr"/>
    </row>
    <row r="19" ht="22" customHeight="1">
      <c r="B19" s="13" t="n">
        <v>15</v>
      </c>
      <c r="C19" s="14" t="inlineStr"/>
      <c r="D19" s="14" t="inlineStr"/>
      <c r="E19" s="15" t="inlineStr">
        <is>
          <t>Physical</t>
        </is>
      </c>
      <c r="F19" s="15" t="inlineStr"/>
      <c r="G19" s="15" t="inlineStr">
        <is>
          <t>N</t>
        </is>
      </c>
      <c r="H19" s="15" t="inlineStr"/>
      <c r="I19" s="15" t="inlineStr"/>
    </row>
    <row r="20" ht="22" customHeight="1">
      <c r="B20" s="4" t="n">
        <v>16</v>
      </c>
      <c r="C20" s="5" t="inlineStr"/>
      <c r="D20" s="5" t="inlineStr"/>
      <c r="E20" s="6" t="inlineStr">
        <is>
          <t>Physical</t>
        </is>
      </c>
      <c r="F20" s="6" t="inlineStr"/>
      <c r="G20" s="6" t="inlineStr">
        <is>
          <t>N</t>
        </is>
      </c>
      <c r="H20" s="6" t="inlineStr"/>
      <c r="I20" s="6" t="inlineStr"/>
    </row>
    <row r="21" ht="22" customHeight="1"/>
    <row r="22" ht="24" customHeight="1">
      <c r="B22" s="20" t="inlineStr">
        <is>
          <t>QUORUM VERIFICATION</t>
        </is>
      </c>
    </row>
    <row r="23" ht="22" customHeight="1">
      <c r="B23" s="23" t="inlineStr">
        <is>
          <t>Total PMB Members (Sanctioned Strength)</t>
        </is>
      </c>
      <c r="G23" s="24" t="inlineStr"/>
    </row>
    <row r="24" ht="22" customHeight="1">
      <c r="B24" s="25" t="inlineStr">
        <is>
          <t>Members Present (Physical)</t>
        </is>
      </c>
      <c r="G24" s="24">
        <f>COUNTIF(F5:F20,"P")</f>
        <v/>
      </c>
    </row>
    <row r="25" ht="22" customHeight="1">
      <c r="B25" s="23" t="inlineStr">
        <is>
          <t>Members Present (Video Conference)</t>
        </is>
      </c>
      <c r="G25" s="24" t="inlineStr"/>
    </row>
    <row r="26" ht="22" customHeight="1">
      <c r="B26" s="25" t="inlineStr">
        <is>
          <t>Total Effective Presence</t>
        </is>
      </c>
      <c r="G26" s="24">
        <f>IFERROR(C24+C25,"")</f>
        <v/>
      </c>
    </row>
    <row r="27" ht="22" customHeight="1">
      <c r="B27" s="23" t="inlineStr">
        <is>
          <t>Quorum Required (50% of Total)</t>
        </is>
      </c>
      <c r="G27" s="24" t="inlineStr"/>
    </row>
    <row r="28" ht="22" customHeight="1">
      <c r="B28" s="25" t="inlineStr">
        <is>
          <t>Quorum Achieved?</t>
        </is>
      </c>
      <c r="G28" s="26">
        <f>IFERROR(IF(C26&gt;=C27,"YES — Meeting is Valid","NO — Meeting Adjourned"),"")</f>
        <v/>
      </c>
    </row>
    <row r="29" ht="22" customHeight="1"/>
    <row r="30" ht="22" customHeight="1">
      <c r="B30" s="27" t="inlineStr">
        <is>
          <t>Certified by (Member Secretary / Registrar): ___________________    Date: ___________________</t>
        </is>
      </c>
    </row>
    <row r="31" ht="22" customHeight="1"/>
  </sheetData>
  <mergeCells count="16">
    <mergeCell ref="G24:I24"/>
    <mergeCell ref="B30:I30"/>
    <mergeCell ref="G28:I28"/>
    <mergeCell ref="B24:F24"/>
    <mergeCell ref="G27:I27"/>
    <mergeCell ref="B2:I2"/>
    <mergeCell ref="B25:F25"/>
    <mergeCell ref="G23:I23"/>
    <mergeCell ref="B28:F28"/>
    <mergeCell ref="B3:I3"/>
    <mergeCell ref="B22:I22"/>
    <mergeCell ref="B23:F23"/>
    <mergeCell ref="G26:I26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0" customWidth="1" min="3" max="3"/>
    <col width="20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1" t="inlineStr">
        <is>
          <t>PM-04: PMB MEETING MINUTES &amp; RESOLUTIONS</t>
        </is>
      </c>
    </row>
    <row r="3" ht="25" customHeight="1">
      <c r="B3" s="2" t="inlineStr">
        <is>
          <t>PMB Meeting No.: _______  Date: _______  Venue: _______  Chaired by: ___________________</t>
        </is>
      </c>
    </row>
    <row r="4" ht="24" customHeight="1">
      <c r="B4" s="18" t="inlineStr">
        <is>
          <t>AGENDA-WISE DISCUSSION &amp; RESOLUTIONS</t>
        </is>
      </c>
    </row>
    <row r="5" ht="32" customHeight="1">
      <c r="B5" s="19" t="inlineStr">
        <is>
          <t>PMB Resolution
No.</t>
        </is>
      </c>
      <c r="C5" s="19" t="inlineStr">
        <is>
          <t>Discussion Summary &amp; Resolution Passed</t>
        </is>
      </c>
      <c r="D5" s="19" t="inlineStr">
        <is>
          <t>Responsible
Authority</t>
        </is>
      </c>
      <c r="E5" s="19" t="inlineStr">
        <is>
          <t>Voting
(For/Against)</t>
        </is>
      </c>
      <c r="F5" s="19" t="inlineStr">
        <is>
          <t>Target
Date</t>
        </is>
      </c>
      <c r="G5" s="19" t="inlineStr">
        <is>
          <t>Status</t>
        </is>
      </c>
    </row>
    <row r="6" ht="35" customHeight="1">
      <c r="B6" s="13" t="inlineStr">
        <is>
          <t>PMB/RES/2024/001</t>
        </is>
      </c>
      <c r="C6" s="14" t="inlineStr"/>
      <c r="D6" s="15" t="inlineStr"/>
      <c r="E6" s="15" t="inlineStr"/>
      <c r="F6" s="15" t="inlineStr"/>
      <c r="G6" s="15" t="inlineStr">
        <is>
          <t>Pending</t>
        </is>
      </c>
    </row>
    <row r="7" ht="35" customHeight="1">
      <c r="B7" s="4" t="inlineStr">
        <is>
          <t>PMB/RES/2024/002</t>
        </is>
      </c>
      <c r="C7" s="5" t="inlineStr"/>
      <c r="D7" s="6" t="inlineStr"/>
      <c r="E7" s="6" t="inlineStr"/>
      <c r="F7" s="6" t="inlineStr"/>
      <c r="G7" s="6" t="inlineStr">
        <is>
          <t>Pending</t>
        </is>
      </c>
    </row>
    <row r="8" ht="35" customHeight="1">
      <c r="B8" s="13" t="inlineStr">
        <is>
          <t>PMB/RES/2024/003</t>
        </is>
      </c>
      <c r="C8" s="14" t="inlineStr"/>
      <c r="D8" s="15" t="inlineStr"/>
      <c r="E8" s="15" t="inlineStr"/>
      <c r="F8" s="15" t="inlineStr"/>
      <c r="G8" s="15" t="inlineStr">
        <is>
          <t>Pending</t>
        </is>
      </c>
    </row>
    <row r="9" ht="35" customHeight="1">
      <c r="B9" s="4" t="inlineStr">
        <is>
          <t>PMB/RES/2024/004</t>
        </is>
      </c>
      <c r="C9" s="5" t="inlineStr"/>
      <c r="D9" s="6" t="inlineStr"/>
      <c r="E9" s="6" t="inlineStr"/>
      <c r="F9" s="6" t="inlineStr"/>
      <c r="G9" s="6" t="inlineStr">
        <is>
          <t>Pending</t>
        </is>
      </c>
    </row>
    <row r="10" ht="35" customHeight="1">
      <c r="B10" s="13" t="inlineStr">
        <is>
          <t>PMB/RES/2024/005</t>
        </is>
      </c>
      <c r="C10" s="14" t="inlineStr"/>
      <c r="D10" s="15" t="inlineStr"/>
      <c r="E10" s="15" t="inlineStr"/>
      <c r="F10" s="15" t="inlineStr"/>
      <c r="G10" s="15" t="inlineStr">
        <is>
          <t>Pending</t>
        </is>
      </c>
    </row>
    <row r="11" ht="35" customHeight="1">
      <c r="B11" s="4" t="inlineStr">
        <is>
          <t>PMB/RES/2024/006</t>
        </is>
      </c>
      <c r="C11" s="5" t="inlineStr"/>
      <c r="D11" s="6" t="inlineStr"/>
      <c r="E11" s="6" t="inlineStr"/>
      <c r="F11" s="6" t="inlineStr"/>
      <c r="G11" s="6" t="inlineStr">
        <is>
          <t>Pending</t>
        </is>
      </c>
    </row>
    <row r="12" ht="35" customHeight="1">
      <c r="B12" s="13" t="inlineStr">
        <is>
          <t>PMB/RES/2024/007</t>
        </is>
      </c>
      <c r="C12" s="14" t="inlineStr"/>
      <c r="D12" s="15" t="inlineStr"/>
      <c r="E12" s="15" t="inlineStr"/>
      <c r="F12" s="15" t="inlineStr"/>
      <c r="G12" s="15" t="inlineStr">
        <is>
          <t>Pending</t>
        </is>
      </c>
    </row>
    <row r="13" ht="35" customHeight="1">
      <c r="B13" s="4" t="inlineStr">
        <is>
          <t>PMB/RES/2024/008</t>
        </is>
      </c>
      <c r="C13" s="5" t="inlineStr"/>
      <c r="D13" s="6" t="inlineStr"/>
      <c r="E13" s="6" t="inlineStr"/>
      <c r="F13" s="6" t="inlineStr"/>
      <c r="G13" s="6" t="inlineStr">
        <is>
          <t>Pending</t>
        </is>
      </c>
    </row>
    <row r="14" ht="35" customHeight="1">
      <c r="B14" s="13" t="inlineStr">
        <is>
          <t>PMB/RES/2024/009</t>
        </is>
      </c>
      <c r="C14" s="14" t="inlineStr"/>
      <c r="D14" s="15" t="inlineStr"/>
      <c r="E14" s="15" t="inlineStr"/>
      <c r="F14" s="15" t="inlineStr"/>
      <c r="G14" s="15" t="inlineStr">
        <is>
          <t>Pending</t>
        </is>
      </c>
    </row>
    <row r="15" ht="35" customHeight="1">
      <c r="B15" s="4" t="inlineStr">
        <is>
          <t>PMB/RES/2025/010</t>
        </is>
      </c>
      <c r="C15" s="5" t="inlineStr"/>
      <c r="D15" s="6" t="inlineStr"/>
      <c r="E15" s="6" t="inlineStr"/>
      <c r="F15" s="6" t="inlineStr"/>
      <c r="G15" s="6" t="inlineStr">
        <is>
          <t>Pending</t>
        </is>
      </c>
    </row>
    <row r="16" ht="35" customHeight="1">
      <c r="B16" s="13" t="inlineStr">
        <is>
          <t>PMB/RES/2025/011</t>
        </is>
      </c>
      <c r="C16" s="14" t="inlineStr"/>
      <c r="D16" s="15" t="inlineStr"/>
      <c r="E16" s="15" t="inlineStr"/>
      <c r="F16" s="15" t="inlineStr"/>
      <c r="G16" s="15" t="inlineStr">
        <is>
          <t>Pending</t>
        </is>
      </c>
    </row>
    <row r="17" ht="35" customHeight="1">
      <c r="B17" s="4" t="inlineStr">
        <is>
          <t>PMB/RES/2025/012</t>
        </is>
      </c>
      <c r="C17" s="5" t="inlineStr"/>
      <c r="D17" s="6" t="inlineStr"/>
      <c r="E17" s="6" t="inlineStr"/>
      <c r="F17" s="6" t="inlineStr"/>
      <c r="G17" s="6" t="inlineStr">
        <is>
          <t>Pending</t>
        </is>
      </c>
    </row>
    <row r="18" ht="35" customHeight="1">
      <c r="B18" s="13" t="inlineStr">
        <is>
          <t>PMB/RES/2025/013</t>
        </is>
      </c>
      <c r="C18" s="14" t="inlineStr"/>
      <c r="D18" s="15" t="inlineStr"/>
      <c r="E18" s="15" t="inlineStr"/>
      <c r="F18" s="15" t="inlineStr"/>
      <c r="G18" s="15" t="inlineStr">
        <is>
          <t>Pending</t>
        </is>
      </c>
    </row>
    <row r="19" ht="35" customHeight="1">
      <c r="B19" s="4" t="inlineStr">
        <is>
          <t>PMB/RES/2025/014</t>
        </is>
      </c>
      <c r="C19" s="5" t="inlineStr"/>
      <c r="D19" s="6" t="inlineStr"/>
      <c r="E19" s="6" t="inlineStr"/>
      <c r="F19" s="6" t="inlineStr"/>
      <c r="G19" s="6" t="inlineStr">
        <is>
          <t>Pending</t>
        </is>
      </c>
    </row>
    <row r="20" ht="35" customHeight="1">
      <c r="B20" s="13" t="inlineStr">
        <is>
          <t>PMB/RES/2025/015</t>
        </is>
      </c>
      <c r="C20" s="14" t="inlineStr"/>
      <c r="D20" s="15" t="inlineStr"/>
      <c r="E20" s="15" t="inlineStr"/>
      <c r="F20" s="15" t="inlineStr"/>
      <c r="G20" s="15" t="inlineStr">
        <is>
          <t>Pending</t>
        </is>
      </c>
    </row>
    <row r="21" ht="35" customHeight="1">
      <c r="B21" s="4" t="inlineStr">
        <is>
          <t>PMB/RES/2025/016</t>
        </is>
      </c>
      <c r="C21" s="5" t="inlineStr"/>
      <c r="D21" s="6" t="inlineStr"/>
      <c r="E21" s="6" t="inlineStr"/>
      <c r="F21" s="6" t="inlineStr"/>
      <c r="G21" s="6" t="inlineStr">
        <is>
          <t>Pending</t>
        </is>
      </c>
    </row>
    <row r="22" ht="35" customHeight="1">
      <c r="B22" s="13" t="inlineStr">
        <is>
          <t>PMB/RES/2025/017</t>
        </is>
      </c>
      <c r="C22" s="14" t="inlineStr"/>
      <c r="D22" s="15" t="inlineStr"/>
      <c r="E22" s="15" t="inlineStr"/>
      <c r="F22" s="15" t="inlineStr"/>
      <c r="G22" s="15" t="inlineStr">
        <is>
          <t>Pending</t>
        </is>
      </c>
    </row>
    <row r="23" ht="35" customHeight="1">
      <c r="B23" s="4" t="inlineStr">
        <is>
          <t>PMB/RES/2025/018</t>
        </is>
      </c>
      <c r="C23" s="5" t="inlineStr"/>
      <c r="D23" s="6" t="inlineStr"/>
      <c r="E23" s="6" t="inlineStr"/>
      <c r="F23" s="6" t="inlineStr"/>
      <c r="G23" s="6" t="inlineStr">
        <is>
          <t>Pending</t>
        </is>
      </c>
    </row>
    <row r="24" ht="32" customHeight="1"/>
    <row r="25" ht="24" customHeight="1">
      <c r="B25" s="28" t="inlineStr">
        <is>
          <t>STRATEGIC DIRECTIVES ISSUED</t>
        </is>
      </c>
    </row>
    <row r="26" ht="32" customHeight="1">
      <c r="B26" s="12" t="inlineStr">
        <is>
          <t>Directive
No.</t>
        </is>
      </c>
      <c r="C26" s="12" t="inlineStr">
        <is>
          <t>Strategic Directive / Policy Direction</t>
        </is>
      </c>
      <c r="D26" s="12" t="inlineStr">
        <is>
          <t>Issued to</t>
        </is>
      </c>
      <c r="E26" s="12" t="inlineStr">
        <is>
          <t>Implementation
Timeline</t>
        </is>
      </c>
      <c r="F26" s="12" t="inlineStr">
        <is>
          <t>Review Date</t>
        </is>
      </c>
      <c r="G26" s="12" t="inlineStr">
        <is>
          <t>Priority
(H/M/L)</t>
        </is>
      </c>
    </row>
    <row r="27" ht="28" customHeight="1">
      <c r="B27" s="15" t="n"/>
      <c r="C27" s="15" t="n"/>
      <c r="D27" s="15" t="n"/>
      <c r="E27" s="15" t="n"/>
      <c r="F27" s="15" t="n"/>
      <c r="G27" s="15" t="n"/>
    </row>
    <row r="28" ht="28" customHeight="1">
      <c r="B28" s="6" t="n"/>
      <c r="C28" s="6" t="n"/>
      <c r="D28" s="6" t="n"/>
      <c r="E28" s="6" t="n"/>
      <c r="F28" s="6" t="n"/>
      <c r="G28" s="6" t="n"/>
    </row>
    <row r="29" ht="28" customHeight="1">
      <c r="B29" s="15" t="n"/>
      <c r="C29" s="15" t="n"/>
      <c r="D29" s="15" t="n"/>
      <c r="E29" s="15" t="n"/>
      <c r="F29" s="15" t="n"/>
      <c r="G29" s="15" t="n"/>
    </row>
    <row r="30" ht="28" customHeight="1">
      <c r="B30" s="6" t="n"/>
      <c r="C30" s="6" t="n"/>
      <c r="D30" s="6" t="n"/>
      <c r="E30" s="6" t="n"/>
      <c r="F30" s="6" t="n"/>
      <c r="G30" s="6" t="n"/>
    </row>
    <row r="31" ht="28" customHeight="1">
      <c r="B31" s="15" t="n"/>
      <c r="C31" s="15" t="n"/>
      <c r="D31" s="15" t="n"/>
      <c r="E31" s="15" t="n"/>
      <c r="F31" s="15" t="n"/>
      <c r="G31" s="15" t="n"/>
    </row>
    <row r="32" ht="28" customHeight="1">
      <c r="B32" s="6" t="n"/>
      <c r="C32" s="6" t="n"/>
      <c r="D32" s="6" t="n"/>
      <c r="E32" s="6" t="n"/>
      <c r="F32" s="6" t="n"/>
      <c r="G32" s="6" t="n"/>
    </row>
    <row r="33" ht="28" customHeight="1">
      <c r="B33" s="15" t="n"/>
      <c r="C33" s="15" t="n"/>
      <c r="D33" s="15" t="n"/>
      <c r="E33" s="15" t="n"/>
      <c r="F33" s="15" t="n"/>
      <c r="G33" s="15" t="n"/>
    </row>
    <row r="34" ht="32" customHeight="1"/>
    <row r="35" ht="32" customHeight="1">
      <c r="B35" s="29" t="inlineStr">
        <is>
          <t>Meeting closed at: _______    Next PMB Meeting on: _______    Confirmed by Chairman: ___________________</t>
        </is>
      </c>
    </row>
  </sheetData>
  <mergeCells count="5">
    <mergeCell ref="B3:G3"/>
    <mergeCell ref="B2:G2"/>
    <mergeCell ref="B35:G35"/>
    <mergeCell ref="B4:G4"/>
    <mergeCell ref="B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1" t="inlineStr">
        <is>
          <t>PM-05: ACTION TAKEN REPORT (ATR) ON PMB RESOLUTIONS</t>
        </is>
      </c>
    </row>
    <row r="3" ht="25" customHeight="1">
      <c r="B3" s="2" t="inlineStr">
        <is>
          <t>Current PMB Meeting No.: _______  Date: _______  Previous Meeting Ref.: _______  Date: _______</t>
        </is>
      </c>
    </row>
    <row r="4" ht="25" customHeight="1">
      <c r="B4" s="30" t="inlineStr">
        <is>
          <t>PMB Resolution
No.</t>
        </is>
      </c>
      <c r="C4" s="30" t="inlineStr">
        <is>
          <t>Resolution / Directive (Previous Meeting)</t>
        </is>
      </c>
      <c r="D4" s="30" t="inlineStr">
        <is>
          <t>Action Required</t>
        </is>
      </c>
      <c r="E4" s="30" t="inlineStr">
        <is>
          <t>Responsible
Authority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 &amp; Evidence</t>
        </is>
      </c>
    </row>
    <row r="5" ht="28" customHeight="1">
      <c r="B5" s="31" t="inlineStr">
        <is>
          <t>PMB/RES/2024/001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Implemented</t>
        </is>
      </c>
    </row>
    <row r="6" ht="28" customHeight="1">
      <c r="B6" s="4" t="inlineStr">
        <is>
          <t>PMB/RES/2024/002</t>
        </is>
      </c>
      <c r="C6" s="5" t="inlineStr"/>
      <c r="D6" s="5" t="inlineStr"/>
      <c r="E6" s="6" t="inlineStr"/>
      <c r="F6" s="6" t="inlineStr"/>
      <c r="G6" s="6" t="inlineStr"/>
      <c r="H6" s="5" t="inlineStr">
        <is>
          <t>In Progress</t>
        </is>
      </c>
    </row>
    <row r="7" ht="28" customHeight="1">
      <c r="B7" s="31" t="inlineStr">
        <is>
          <t>PMB/RES/2024/003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Pending</t>
        </is>
      </c>
    </row>
    <row r="8" ht="28" customHeight="1">
      <c r="B8" s="4" t="inlineStr">
        <is>
          <t>PMB/RES/2024/004</t>
        </is>
      </c>
      <c r="C8" s="5" t="inlineStr"/>
      <c r="D8" s="5" t="inlineStr"/>
      <c r="E8" s="6" t="inlineStr"/>
      <c r="F8" s="6" t="inlineStr"/>
      <c r="G8" s="6" t="inlineStr"/>
      <c r="H8" s="5" t="inlineStr">
        <is>
          <t>Deferred</t>
        </is>
      </c>
    </row>
    <row r="9" ht="28" customHeight="1">
      <c r="B9" s="31" t="inlineStr">
        <is>
          <t>PMB/RES/2024/005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Referred</t>
        </is>
      </c>
    </row>
    <row r="10" ht="28" customHeight="1">
      <c r="B10" s="4" t="inlineStr">
        <is>
          <t>PMB/RES/2024/006</t>
        </is>
      </c>
      <c r="C10" s="5" t="inlineStr"/>
      <c r="D10" s="5" t="inlineStr"/>
      <c r="E10" s="6" t="inlineStr"/>
      <c r="F10" s="6" t="inlineStr"/>
      <c r="G10" s="6" t="inlineStr"/>
      <c r="H10" s="5" t="inlineStr">
        <is>
          <t>Implemented</t>
        </is>
      </c>
    </row>
    <row r="11" ht="28" customHeight="1">
      <c r="B11" s="31" t="inlineStr">
        <is>
          <t>PMB/RES/2024/007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8" customHeight="1">
      <c r="B12" s="4" t="inlineStr">
        <is>
          <t>PMB/RES/2024/008</t>
        </is>
      </c>
      <c r="C12" s="5" t="inlineStr"/>
      <c r="D12" s="5" t="inlineStr"/>
      <c r="E12" s="6" t="inlineStr"/>
      <c r="F12" s="6" t="inlineStr"/>
      <c r="G12" s="6" t="inlineStr"/>
      <c r="H12" s="5" t="inlineStr">
        <is>
          <t>Pending</t>
        </is>
      </c>
    </row>
    <row r="13" ht="28" customHeight="1">
      <c r="B13" s="31" t="inlineStr">
        <is>
          <t>PMB/RES/2024/009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Deferred</t>
        </is>
      </c>
    </row>
    <row r="14" ht="28" customHeight="1">
      <c r="B14" s="4" t="inlineStr">
        <is>
          <t>PMB/RES/2024/010</t>
        </is>
      </c>
      <c r="C14" s="5" t="inlineStr"/>
      <c r="D14" s="5" t="inlineStr"/>
      <c r="E14" s="6" t="inlineStr"/>
      <c r="F14" s="6" t="inlineStr"/>
      <c r="G14" s="6" t="inlineStr"/>
      <c r="H14" s="5" t="inlineStr">
        <is>
          <t>Referred</t>
        </is>
      </c>
    </row>
    <row r="15" ht="28" customHeight="1">
      <c r="B15" s="31" t="inlineStr">
        <is>
          <t>PMB/RES/2024/011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Implemented</t>
        </is>
      </c>
    </row>
    <row r="16" ht="28" customHeight="1">
      <c r="B16" s="4" t="inlineStr">
        <is>
          <t>PMB/RES/2024/012</t>
        </is>
      </c>
      <c r="C16" s="5" t="inlineStr"/>
      <c r="D16" s="5" t="inlineStr"/>
      <c r="E16" s="6" t="inlineStr"/>
      <c r="F16" s="6" t="inlineStr"/>
      <c r="G16" s="6" t="inlineStr"/>
      <c r="H16" s="5" t="inlineStr">
        <is>
          <t>In Progress</t>
        </is>
      </c>
    </row>
    <row r="17" ht="28" customHeight="1">
      <c r="B17" s="31" t="inlineStr">
        <is>
          <t>PMB/RES/2024/013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Pending</t>
        </is>
      </c>
    </row>
    <row r="18" ht="28" customHeight="1">
      <c r="B18" s="4" t="inlineStr">
        <is>
          <t>PMB/RES/2024/014</t>
        </is>
      </c>
      <c r="C18" s="5" t="inlineStr"/>
      <c r="D18" s="5" t="inlineStr"/>
      <c r="E18" s="6" t="inlineStr"/>
      <c r="F18" s="6" t="inlineStr"/>
      <c r="G18" s="6" t="inlineStr"/>
      <c r="H18" s="5" t="inlineStr">
        <is>
          <t>Deferred</t>
        </is>
      </c>
    </row>
    <row r="19" ht="28" customHeight="1">
      <c r="B19" s="31" t="inlineStr">
        <is>
          <t>PMB/RES/2024/015</t>
        </is>
      </c>
      <c r="C19" s="32" t="inlineStr"/>
      <c r="D19" s="32" t="inlineStr"/>
      <c r="E19" s="33" t="inlineStr"/>
      <c r="F19" s="33" t="inlineStr"/>
      <c r="G19" s="33" t="inlineStr"/>
      <c r="H19" s="32" t="inlineStr">
        <is>
          <t>Referred</t>
        </is>
      </c>
    </row>
    <row r="20" ht="28" customHeight="1">
      <c r="B20" s="4" t="inlineStr">
        <is>
          <t>PMB/RES/2024/016</t>
        </is>
      </c>
      <c r="C20" s="5" t="inlineStr"/>
      <c r="D20" s="5" t="inlineStr"/>
      <c r="E20" s="6" t="inlineStr"/>
      <c r="F20" s="6" t="inlineStr"/>
      <c r="G20" s="6" t="inlineStr"/>
      <c r="H20" s="5" t="inlineStr">
        <is>
          <t>Implemented</t>
        </is>
      </c>
    </row>
    <row r="21" ht="28" customHeight="1">
      <c r="B21" s="31" t="inlineStr">
        <is>
          <t>PMB/RES/2024/017</t>
        </is>
      </c>
      <c r="C21" s="32" t="inlineStr"/>
      <c r="D21" s="32" t="inlineStr"/>
      <c r="E21" s="33" t="inlineStr"/>
      <c r="F21" s="33" t="inlineStr"/>
      <c r="G21" s="33" t="inlineStr"/>
      <c r="H21" s="32" t="inlineStr">
        <is>
          <t>In Progress</t>
        </is>
      </c>
    </row>
    <row r="22" ht="28" customHeight="1">
      <c r="B22" s="4" t="inlineStr">
        <is>
          <t>PMB/RES/2024/018</t>
        </is>
      </c>
      <c r="C22" s="5" t="inlineStr"/>
      <c r="D22" s="5" t="inlineStr"/>
      <c r="E22" s="6" t="inlineStr"/>
      <c r="F22" s="6" t="inlineStr"/>
      <c r="G22" s="6" t="inlineStr"/>
      <c r="H22" s="5" t="inlineStr">
        <is>
          <t>Pending</t>
        </is>
      </c>
    </row>
    <row r="23" ht="28" customHeight="1"/>
    <row r="24" ht="24" customHeight="1">
      <c r="B24" s="34" t="inlineStr">
        <is>
          <t>ATR SUMMARY</t>
        </is>
      </c>
    </row>
    <row r="25" ht="28" customHeight="1">
      <c r="B25" s="35" t="inlineStr">
        <is>
          <t>Total Resolutions Under Review</t>
        </is>
      </c>
      <c r="F25" s="36">
        <f>COUNTA(B5:B22)</f>
        <v/>
      </c>
    </row>
    <row r="26" ht="28" customHeight="1">
      <c r="B26" s="25" t="inlineStr">
        <is>
          <t>Fully Implemented</t>
        </is>
      </c>
      <c r="F26" s="37">
        <f>COUNTIF(H5:H22,"Implemented")</f>
        <v/>
      </c>
    </row>
    <row r="27" ht="28" customHeight="1">
      <c r="B27" s="35" t="inlineStr">
        <is>
          <t>In Progress</t>
        </is>
      </c>
      <c r="F27" s="36">
        <f>COUNTIF(H5:H22,"In Progress")</f>
        <v/>
      </c>
    </row>
    <row r="28" ht="28" customHeight="1">
      <c r="B28" s="25" t="inlineStr">
        <is>
          <t>Pending / Not Started</t>
        </is>
      </c>
      <c r="F28" s="37">
        <f>COUNTIF(H5:H22,"Pending")</f>
        <v/>
      </c>
    </row>
    <row r="29" ht="28" customHeight="1">
      <c r="B29" s="35" t="inlineStr">
        <is>
          <t>Deferred</t>
        </is>
      </c>
      <c r="F29" s="36">
        <f>COUNTIF(H5:H22,"Deferred")</f>
        <v/>
      </c>
    </row>
    <row r="30" ht="28" customHeight="1">
      <c r="B30" s="25" t="inlineStr">
        <is>
          <t>Referred to Sub-Committee</t>
        </is>
      </c>
      <c r="F30" s="37">
        <f>COUNTIF(H5:H22,"Referred")</f>
        <v/>
      </c>
    </row>
    <row r="31" ht="28" customHeight="1">
      <c r="B31" s="35" t="inlineStr">
        <is>
          <t>Implementation Rate (%)</t>
        </is>
      </c>
      <c r="F31" s="36">
        <f>IFERROR(ROUND(C26/C25*100,1),"")</f>
        <v/>
      </c>
    </row>
    <row r="32" ht="28" customHeight="1"/>
    <row r="33" ht="28" customHeight="1"/>
  </sheetData>
  <mergeCells count="17">
    <mergeCell ref="B31:E31"/>
    <mergeCell ref="B26:E26"/>
    <mergeCell ref="B27:E27"/>
    <mergeCell ref="F28:H28"/>
    <mergeCell ref="F31:H31"/>
    <mergeCell ref="F27:H27"/>
    <mergeCell ref="B30:E30"/>
    <mergeCell ref="F29:H29"/>
    <mergeCell ref="B29:E29"/>
    <mergeCell ref="B24:H24"/>
    <mergeCell ref="B2:H2"/>
    <mergeCell ref="B25:E25"/>
    <mergeCell ref="F26:H26"/>
    <mergeCell ref="F30:H30"/>
    <mergeCell ref="B3:H3"/>
    <mergeCell ref="B28:E28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PM-06: INSTITUTIONAL STRATEGIC PLAN — 5-YEAR FRAMEWORK</t>
        </is>
      </c>
    </row>
    <row r="3" ht="25" customHeight="1">
      <c r="B3" s="2" t="inlineStr">
        <is>
          <t>Plan Period: _______ to _______  Approved by PMB on: _______  Review Cycle: Annual</t>
        </is>
      </c>
    </row>
    <row r="4" ht="24" customHeight="1">
      <c r="B4" s="38" t="inlineStr">
        <is>
          <t>INSTITUTIONAL VISION, MISSION &amp; CORE VALUES</t>
        </is>
      </c>
    </row>
    <row r="5" ht="40" customHeight="1">
      <c r="B5" s="39" t="inlineStr">
        <is>
          <t>Vision Statement (10-year horizon):</t>
        </is>
      </c>
      <c r="C5" s="5" t="n"/>
    </row>
    <row r="6" ht="40" customHeight="1">
      <c r="B6" s="39" t="inlineStr">
        <is>
          <t>Mission Statement (What the institution does, for whom, how):</t>
        </is>
      </c>
      <c r="C6" s="5" t="n"/>
    </row>
    <row r="7" ht="40" customHeight="1">
      <c r="B7" s="39" t="inlineStr">
        <is>
          <t>Core Values (e.g., Excellence, Integrity, Innovation, Inclusion):</t>
        </is>
      </c>
      <c r="C7" s="5" t="n"/>
    </row>
    <row r="8" ht="25" customHeight="1"/>
    <row r="9" ht="24" customHeight="1">
      <c r="B9" s="34" t="inlineStr">
        <is>
          <t>FIVE STRATEGIC PILLARS &amp; GOALS</t>
        </is>
      </c>
    </row>
    <row r="10" ht="25" customHeight="1">
      <c r="B10" s="30" t="inlineStr">
        <is>
          <t>Pillar</t>
        </is>
      </c>
      <c r="C10" s="30" t="inlineStr">
        <is>
          <t>Strategic Goal</t>
        </is>
      </c>
      <c r="D10" s="30" t="inlineStr">
        <is>
          <t>Key Objective</t>
        </is>
      </c>
      <c r="E10" s="30" t="inlineStr">
        <is>
          <t>Year 1 Target</t>
        </is>
      </c>
      <c r="F10" s="30" t="inlineStr">
        <is>
          <t>Year 2 Target</t>
        </is>
      </c>
      <c r="G10" s="30" t="inlineStr">
        <is>
          <t>Year 3 Target</t>
        </is>
      </c>
      <c r="H10" s="30" t="inlineStr">
        <is>
          <t>Year 4-5 Target</t>
        </is>
      </c>
      <c r="I10" s="30" t="inlineStr">
        <is>
          <t>KPI Indicator</t>
        </is>
      </c>
    </row>
    <row r="11" ht="22" customHeight="1">
      <c r="B11" s="40" t="inlineStr">
        <is>
          <t>P1: Academic Excellence</t>
        </is>
      </c>
    </row>
    <row r="12" ht="24" customHeight="1">
      <c r="B12" s="41" t="inlineStr">
        <is>
          <t>•</t>
        </is>
      </c>
      <c r="C12" s="42" t="inlineStr">
        <is>
          <t>Improve student outcomes &amp; CO attainment</t>
        </is>
      </c>
      <c r="D12" s="41" t="inlineStr">
        <is>
          <t>Pass % &amp; CO level</t>
        </is>
      </c>
      <c r="E12" s="41" t="inlineStr">
        <is>
          <t>≥65% pass rate</t>
        </is>
      </c>
      <c r="F12" s="41" t="inlineStr">
        <is>
          <t>≥70%</t>
        </is>
      </c>
      <c r="G12" s="41" t="inlineStr">
        <is>
          <t>≥75%</t>
        </is>
      </c>
      <c r="H12" s="41" t="inlineStr">
        <is>
          <t>≥80%</t>
        </is>
      </c>
      <c r="I12" s="41" t="inlineStr">
        <is>
          <t>Pass % &amp; CO level</t>
        </is>
      </c>
    </row>
    <row r="13" ht="24" customHeight="1">
      <c r="B13" s="6" t="inlineStr">
        <is>
          <t>•</t>
        </is>
      </c>
      <c r="C13" s="25" t="inlineStr">
        <is>
          <t>Strengthen curriculum relevance &amp; OBE</t>
        </is>
      </c>
      <c r="D13" s="6" t="inlineStr">
        <is>
          <t>CO attainment level</t>
        </is>
      </c>
      <c r="E13" s="6" t="inlineStr">
        <is>
          <t>All COs mapped</t>
        </is>
      </c>
      <c r="F13" s="6" t="inlineStr">
        <is>
          <t>CO-PO attained</t>
        </is>
      </c>
      <c r="G13" s="6" t="inlineStr">
        <is>
          <t>BoS review done</t>
        </is>
      </c>
      <c r="H13" s="6" t="inlineStr">
        <is>
          <t>NBA aligned</t>
        </is>
      </c>
      <c r="I13" s="6" t="inlineStr">
        <is>
          <t>CO attainment level</t>
        </is>
      </c>
    </row>
    <row r="14" ht="24" customHeight="1">
      <c r="B14" s="41" t="inlineStr">
        <is>
          <t>•</t>
        </is>
      </c>
      <c r="C14" s="42" t="inlineStr">
        <is>
          <t>Expand research-oriented teaching</t>
        </is>
      </c>
      <c r="D14" s="41" t="inlineStr">
        <is>
          <t>Research projects/faculty</t>
        </is>
      </c>
      <c r="E14" s="41" t="inlineStr">
        <is>
          <t>5% courses</t>
        </is>
      </c>
      <c r="F14" s="41" t="inlineStr">
        <is>
          <t>10% courses</t>
        </is>
      </c>
      <c r="G14" s="41" t="inlineStr">
        <is>
          <t>15% courses</t>
        </is>
      </c>
      <c r="H14" s="41" t="inlineStr">
        <is>
          <t>20% courses</t>
        </is>
      </c>
      <c r="I14" s="41" t="inlineStr">
        <is>
          <t>Research projects/faculty</t>
        </is>
      </c>
    </row>
    <row r="15" ht="25" customHeight="1"/>
    <row r="16" ht="22" customHeight="1">
      <c r="B16" s="40" t="inlineStr">
        <is>
          <t>P2: Research &amp; Innovation</t>
        </is>
      </c>
    </row>
    <row r="17" ht="24" customHeight="1">
      <c r="B17" s="6" t="inlineStr">
        <is>
          <t>•</t>
        </is>
      </c>
      <c r="C17" s="25" t="inlineStr">
        <is>
          <t>Increase funded research projects</t>
        </is>
      </c>
      <c r="D17" s="6" t="inlineStr">
        <is>
          <t>No. &amp; ₹ Lakhs</t>
        </is>
      </c>
      <c r="E17" s="6" t="inlineStr">
        <is>
          <t>5 projects</t>
        </is>
      </c>
      <c r="F17" s="6" t="inlineStr">
        <is>
          <t>8 projects</t>
        </is>
      </c>
      <c r="G17" s="6" t="inlineStr">
        <is>
          <t>12 projects</t>
        </is>
      </c>
      <c r="H17" s="6" t="inlineStr">
        <is>
          <t>18 projects</t>
        </is>
      </c>
      <c r="I17" s="6" t="inlineStr">
        <is>
          <t>No. &amp; ₹ Lakhs</t>
        </is>
      </c>
    </row>
    <row r="18" ht="24" customHeight="1">
      <c r="B18" s="41" t="inlineStr">
        <is>
          <t>•</t>
        </is>
      </c>
      <c r="C18" s="42" t="inlineStr">
        <is>
          <t>Enhance publication output (Scopus/SCI)</t>
        </is>
      </c>
      <c r="D18" s="41" t="inlineStr">
        <is>
          <t>No. of papers</t>
        </is>
      </c>
      <c r="E18" s="41" t="inlineStr">
        <is>
          <t>20 papers</t>
        </is>
      </c>
      <c r="F18" s="41" t="inlineStr">
        <is>
          <t>35 papers</t>
        </is>
      </c>
      <c r="G18" s="41" t="inlineStr">
        <is>
          <t>50 papers</t>
        </is>
      </c>
      <c r="H18" s="41" t="inlineStr">
        <is>
          <t>75 papers</t>
        </is>
      </c>
      <c r="I18" s="41" t="inlineStr">
        <is>
          <t>No. of papers</t>
        </is>
      </c>
    </row>
    <row r="19" ht="24" customHeight="1">
      <c r="B19" s="6" t="inlineStr">
        <is>
          <t>•</t>
        </is>
      </c>
      <c r="C19" s="25" t="inlineStr">
        <is>
          <t>Build innovation &amp; startup ecosystem</t>
        </is>
      </c>
      <c r="D19" s="6" t="inlineStr">
        <is>
          <t>Startups incubated</t>
        </is>
      </c>
      <c r="E19" s="6" t="inlineStr">
        <is>
          <t>1 startup</t>
        </is>
      </c>
      <c r="F19" s="6" t="inlineStr">
        <is>
          <t>3 startups</t>
        </is>
      </c>
      <c r="G19" s="6" t="inlineStr">
        <is>
          <t>5 startups</t>
        </is>
      </c>
      <c r="H19" s="6" t="inlineStr">
        <is>
          <t>10 startups</t>
        </is>
      </c>
      <c r="I19" s="6" t="inlineStr">
        <is>
          <t>Startups incubated</t>
        </is>
      </c>
    </row>
    <row r="20" ht="25" customHeight="1"/>
    <row r="21" ht="22" customHeight="1">
      <c r="B21" s="40" t="inlineStr">
        <is>
          <t>P3: Industry &amp; Societal Linkage</t>
        </is>
      </c>
    </row>
    <row r="22" ht="24" customHeight="1">
      <c r="B22" s="41" t="inlineStr">
        <is>
          <t>•</t>
        </is>
      </c>
      <c r="C22" s="42" t="inlineStr">
        <is>
          <t>Improve placement rate</t>
        </is>
      </c>
      <c r="D22" s="41" t="inlineStr">
        <is>
          <t>% placed</t>
        </is>
      </c>
      <c r="E22" s="41" t="inlineStr">
        <is>
          <t>70%</t>
        </is>
      </c>
      <c r="F22" s="41" t="inlineStr">
        <is>
          <t>75%</t>
        </is>
      </c>
      <c r="G22" s="41" t="inlineStr">
        <is>
          <t>80%</t>
        </is>
      </c>
      <c r="H22" s="41" t="inlineStr">
        <is>
          <t>85%</t>
        </is>
      </c>
      <c r="I22" s="41" t="inlineStr">
        <is>
          <t>% placed</t>
        </is>
      </c>
    </row>
    <row r="23" ht="24" customHeight="1">
      <c r="B23" s="6" t="inlineStr">
        <is>
          <t>•</t>
        </is>
      </c>
      <c r="C23" s="25" t="inlineStr">
        <is>
          <t>Expand MoU &amp; industry collaborations</t>
        </is>
      </c>
      <c r="D23" s="6" t="inlineStr">
        <is>
          <t>Active MoUs</t>
        </is>
      </c>
      <c r="E23" s="6" t="inlineStr">
        <is>
          <t>10 MoUs</t>
        </is>
      </c>
      <c r="F23" s="6" t="inlineStr">
        <is>
          <t>15 MoUs</t>
        </is>
      </c>
      <c r="G23" s="6" t="inlineStr">
        <is>
          <t>20 MoUs</t>
        </is>
      </c>
      <c r="H23" s="6" t="inlineStr">
        <is>
          <t>30 MoUs</t>
        </is>
      </c>
      <c r="I23" s="6" t="inlineStr">
        <is>
          <t>Active MoUs</t>
        </is>
      </c>
    </row>
    <row r="24" ht="24" customHeight="1">
      <c r="B24" s="41" t="inlineStr">
        <is>
          <t>•</t>
        </is>
      </c>
      <c r="C24" s="42" t="inlineStr">
        <is>
          <t>Enhance community engagement</t>
        </is>
      </c>
      <c r="D24" s="41" t="inlineStr">
        <is>
          <t>Beneficiaries reached</t>
        </is>
      </c>
      <c r="E24" s="41" t="inlineStr">
        <is>
          <t>5 programmes</t>
        </is>
      </c>
      <c r="F24" s="41" t="inlineStr">
        <is>
          <t>8 programmes</t>
        </is>
      </c>
      <c r="G24" s="41" t="inlineStr">
        <is>
          <t>12 programmes</t>
        </is>
      </c>
      <c r="H24" s="41" t="inlineStr">
        <is>
          <t>18 programmes</t>
        </is>
      </c>
      <c r="I24" s="41" t="inlineStr">
        <is>
          <t>Beneficiaries reached</t>
        </is>
      </c>
    </row>
    <row r="25" ht="25" customHeight="1"/>
    <row r="26" ht="22" customHeight="1">
      <c r="B26" s="40" t="inlineStr">
        <is>
          <t>P4: Infrastructure &amp; Resources</t>
        </is>
      </c>
    </row>
    <row r="27" ht="24" customHeight="1">
      <c r="B27" s="6" t="inlineStr">
        <is>
          <t>•</t>
        </is>
      </c>
      <c r="C27" s="25" t="inlineStr">
        <is>
          <t>Modernise laboratories &amp; ICT</t>
        </is>
      </c>
      <c r="D27" s="6" t="inlineStr">
        <is>
          <t>Labs upgraded</t>
        </is>
      </c>
      <c r="E27" s="6" t="inlineStr">
        <is>
          <t>2 labs/yr</t>
        </is>
      </c>
      <c r="F27" s="6" t="inlineStr">
        <is>
          <t>3 labs/yr</t>
        </is>
      </c>
      <c r="G27" s="6" t="inlineStr">
        <is>
          <t>4 labs/yr</t>
        </is>
      </c>
      <c r="H27" s="6" t="inlineStr">
        <is>
          <t>5 labs/yr</t>
        </is>
      </c>
      <c r="I27" s="6" t="inlineStr">
        <is>
          <t>Labs upgraded</t>
        </is>
      </c>
    </row>
    <row r="28" ht="24" customHeight="1">
      <c r="B28" s="41" t="inlineStr">
        <is>
          <t>•</t>
        </is>
      </c>
      <c r="C28" s="42" t="inlineStr">
        <is>
          <t>Achieve energy efficiency targets</t>
        </is>
      </c>
      <c r="D28" s="41" t="inlineStr">
        <is>
          <t>kWh per student</t>
        </is>
      </c>
      <c r="E28" s="41" t="inlineStr">
        <is>
          <t>5% reduction</t>
        </is>
      </c>
      <c r="F28" s="41" t="inlineStr">
        <is>
          <t>10% reduction</t>
        </is>
      </c>
      <c r="G28" s="41" t="inlineStr">
        <is>
          <t>20% reduction</t>
        </is>
      </c>
      <c r="H28" s="41" t="inlineStr">
        <is>
          <t>30% reduction</t>
        </is>
      </c>
      <c r="I28" s="41" t="inlineStr">
        <is>
          <t>kWh per student</t>
        </is>
      </c>
    </row>
    <row r="29" ht="24" customHeight="1">
      <c r="B29" s="6" t="inlineStr">
        <is>
          <t>•</t>
        </is>
      </c>
      <c r="C29" s="25" t="inlineStr">
        <is>
          <t>Expand digital learning infrastructure</t>
        </is>
      </c>
      <c r="D29" s="6" t="inlineStr">
        <is>
          <t>% courses on LMS</t>
        </is>
      </c>
      <c r="E29" s="6" t="inlineStr">
        <is>
          <t>LMS launched</t>
        </is>
      </c>
      <c r="F29" s="6" t="inlineStr">
        <is>
          <t>50% adoption</t>
        </is>
      </c>
      <c r="G29" s="6" t="inlineStr">
        <is>
          <t>75% adoption</t>
        </is>
      </c>
      <c r="H29" s="6" t="inlineStr">
        <is>
          <t>90% adoption</t>
        </is>
      </c>
      <c r="I29" s="6" t="inlineStr">
        <is>
          <t>% courses on LMS</t>
        </is>
      </c>
    </row>
    <row r="30" ht="25" customHeight="1"/>
    <row r="31" ht="22" customHeight="1">
      <c r="B31" s="40" t="inlineStr">
        <is>
          <t>P5: Governance &amp; Quality</t>
        </is>
      </c>
    </row>
    <row r="32" ht="24" customHeight="1">
      <c r="B32" s="41" t="inlineStr">
        <is>
          <t>•</t>
        </is>
      </c>
      <c r="C32" s="42" t="inlineStr">
        <is>
          <t>Achieve NAAC A Grade</t>
        </is>
      </c>
      <c r="D32" s="41" t="inlineStr">
        <is>
          <t>NAAC grade</t>
        </is>
      </c>
      <c r="E32" s="41" t="inlineStr">
        <is>
          <t>Prep begun</t>
        </is>
      </c>
      <c r="F32" s="41" t="inlineStr">
        <is>
          <t>SSR submitted</t>
        </is>
      </c>
      <c r="G32" s="41" t="inlineStr">
        <is>
          <t>Peer visit</t>
        </is>
      </c>
      <c r="H32" s="41" t="inlineStr">
        <is>
          <t>Grade awarded</t>
        </is>
      </c>
      <c r="I32" s="41" t="inlineStr">
        <is>
          <t>NAAC grade</t>
        </is>
      </c>
    </row>
    <row r="33" ht="24" customHeight="1">
      <c r="B33" s="6" t="inlineStr">
        <is>
          <t>•</t>
        </is>
      </c>
      <c r="C33" s="25" t="inlineStr">
        <is>
          <t>Improve NIRF ranking</t>
        </is>
      </c>
      <c r="D33" s="6" t="inlineStr">
        <is>
          <t>NIRF rank</t>
        </is>
      </c>
      <c r="E33" s="6" t="inlineStr">
        <is>
          <t>&lt;200</t>
        </is>
      </c>
      <c r="F33" s="6" t="inlineStr">
        <is>
          <t>&lt;150</t>
        </is>
      </c>
      <c r="G33" s="6" t="inlineStr">
        <is>
          <t>&lt;100</t>
        </is>
      </c>
      <c r="H33" s="6" t="inlineStr">
        <is>
          <t>&lt;75</t>
        </is>
      </c>
      <c r="I33" s="6" t="inlineStr">
        <is>
          <t>NIRF rank</t>
        </is>
      </c>
    </row>
    <row r="34" ht="24" customHeight="1">
      <c r="B34" s="41" t="inlineStr">
        <is>
          <t>•</t>
        </is>
      </c>
      <c r="C34" s="42" t="inlineStr">
        <is>
          <t>Strengthen financial sustainability</t>
        </is>
      </c>
      <c r="D34" s="41" t="inlineStr">
        <is>
          <t>Surplus ₹L</t>
        </is>
      </c>
      <c r="E34" s="41" t="inlineStr">
        <is>
          <t>Surplus ≥5%</t>
        </is>
      </c>
      <c r="F34" s="41" t="inlineStr">
        <is>
          <t>Surplus ≥8%</t>
        </is>
      </c>
      <c r="G34" s="41" t="inlineStr">
        <is>
          <t>Surplus ≥10%</t>
        </is>
      </c>
      <c r="H34" s="41" t="inlineStr">
        <is>
          <t>Endowment built</t>
        </is>
      </c>
      <c r="I34" s="41" t="inlineStr">
        <is>
          <t>Surplus ₹L</t>
        </is>
      </c>
    </row>
    <row r="35" ht="25" customHeight="1"/>
    <row r="36" ht="20" customHeight="1">
      <c r="B36" s="16" t="inlineStr">
        <is>
          <t>Strategic Plan to be reviewed annually by PMB. Amendments require full PMB approval. Version-controlled copies archived in PMB records.</t>
        </is>
      </c>
    </row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</sheetData>
  <mergeCells count="28">
    <mergeCell ref="B16:I16"/>
    <mergeCell ref="B33"/>
    <mergeCell ref="B24"/>
    <mergeCell ref="B3:I3"/>
    <mergeCell ref="C7:I7"/>
    <mergeCell ref="B31:I31"/>
    <mergeCell ref="B32"/>
    <mergeCell ref="B21:I21"/>
    <mergeCell ref="B11:I11"/>
    <mergeCell ref="B2:I2"/>
    <mergeCell ref="C6:I6"/>
    <mergeCell ref="B22"/>
    <mergeCell ref="C5:I5"/>
    <mergeCell ref="B27"/>
    <mergeCell ref="B12"/>
    <mergeCell ref="B18"/>
    <mergeCell ref="B14"/>
    <mergeCell ref="B23"/>
    <mergeCell ref="B9:I9"/>
    <mergeCell ref="B17"/>
    <mergeCell ref="B13"/>
    <mergeCell ref="B29"/>
    <mergeCell ref="B34"/>
    <mergeCell ref="B36:I36"/>
    <mergeCell ref="B28"/>
    <mergeCell ref="B19"/>
    <mergeCell ref="B4:I4"/>
    <mergeCell ref="B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1" t="inlineStr">
        <is>
          <t>PM-07: ANNUAL ACTION PLAN (AAP) — DEPARTMENT / UNIT SUBMISSION</t>
        </is>
      </c>
    </row>
    <row r="3" ht="25" customHeight="1">
      <c r="B3" s="2" t="inlineStr">
        <is>
          <t>Department / Unit: ___________________  A.Y.: _______  Submitted to PMB on: _______  HoD Signature: _______</t>
        </is>
      </c>
    </row>
    <row r="4" ht="24" customHeight="1">
      <c r="B4" s="19" t="inlineStr">
        <is>
          <t>Sl.</t>
        </is>
      </c>
      <c r="C4" s="19" t="inlineStr">
        <is>
          <t>Planned Activity / Initiative</t>
        </is>
      </c>
      <c r="D4" s="19" t="inlineStr">
        <is>
          <t>Strategic Goal
Linked (Pillar)</t>
        </is>
      </c>
      <c r="E4" s="19" t="inlineStr">
        <is>
          <t>Target
(Quantified)</t>
        </is>
      </c>
      <c r="F4" s="19" t="inlineStr">
        <is>
          <t>Q1
Target</t>
        </is>
      </c>
      <c r="G4" s="19" t="inlineStr">
        <is>
          <t>Q2
Target</t>
        </is>
      </c>
      <c r="H4" s="19" t="inlineStr">
        <is>
          <t>Q3
Target</t>
        </is>
      </c>
      <c r="I4" s="19" t="inlineStr">
        <is>
          <t>Q4
Target</t>
        </is>
      </c>
      <c r="J4" s="19" t="inlineStr">
        <is>
          <t>Budget Est.
(₹L)</t>
        </is>
      </c>
    </row>
    <row r="5" ht="24" customHeight="1">
      <c r="B5" s="38" t="inlineStr">
        <is>
          <t>PILLAR 1 — ACADEMIC EXCELLENCE</t>
        </is>
      </c>
    </row>
    <row r="6" ht="24" customHeight="1">
      <c r="B6" s="15" t="n">
        <v>0</v>
      </c>
      <c r="C6" s="14" t="inlineStr"/>
      <c r="D6" s="15" t="inlineStr">
        <is>
          <t>PILLAR 1</t>
        </is>
      </c>
      <c r="E6" s="15" t="inlineStr"/>
      <c r="F6" s="15" t="inlineStr"/>
      <c r="G6" s="15" t="inlineStr"/>
      <c r="H6" s="15" t="inlineStr"/>
      <c r="I6" s="15" t="inlineStr"/>
      <c r="J6" s="15" t="inlineStr"/>
    </row>
    <row r="7" ht="24" customHeight="1">
      <c r="B7" s="6" t="n">
        <v>1</v>
      </c>
      <c r="C7" s="5" t="inlineStr"/>
      <c r="D7" s="6" t="inlineStr">
        <is>
          <t>PILLAR 1</t>
        </is>
      </c>
      <c r="E7" s="6" t="inlineStr"/>
      <c r="F7" s="6" t="inlineStr"/>
      <c r="G7" s="6" t="inlineStr"/>
      <c r="H7" s="6" t="inlineStr"/>
      <c r="I7" s="6" t="inlineStr"/>
      <c r="J7" s="6" t="inlineStr"/>
    </row>
    <row r="8" ht="24" customHeight="1">
      <c r="B8" s="15" t="n">
        <v>2</v>
      </c>
      <c r="C8" s="14" t="inlineStr"/>
      <c r="D8" s="15" t="inlineStr">
        <is>
          <t>PILLAR 1</t>
        </is>
      </c>
      <c r="E8" s="15" t="inlineStr"/>
      <c r="F8" s="15" t="inlineStr"/>
      <c r="G8" s="15" t="inlineStr"/>
      <c r="H8" s="15" t="inlineStr"/>
      <c r="I8" s="15" t="inlineStr"/>
      <c r="J8" s="15" t="inlineStr"/>
    </row>
    <row r="9" ht="24" customHeight="1">
      <c r="B9" s="6" t="n">
        <v>3</v>
      </c>
      <c r="C9" s="5" t="inlineStr"/>
      <c r="D9" s="6" t="inlineStr">
        <is>
          <t>PILLAR 1</t>
        </is>
      </c>
      <c r="E9" s="6" t="inlineStr"/>
      <c r="F9" s="6" t="inlineStr"/>
      <c r="G9" s="6" t="inlineStr"/>
      <c r="H9" s="6" t="inlineStr"/>
      <c r="I9" s="6" t="inlineStr"/>
      <c r="J9" s="6" t="inlineStr"/>
    </row>
    <row r="10" ht="24" customHeight="1">
      <c r="B10" s="15" t="n">
        <v>4</v>
      </c>
      <c r="C10" s="14" t="inlineStr"/>
      <c r="D10" s="15" t="inlineStr">
        <is>
          <t>PILLAR 1</t>
        </is>
      </c>
      <c r="E10" s="15" t="inlineStr"/>
      <c r="F10" s="15" t="inlineStr"/>
      <c r="G10" s="15" t="inlineStr"/>
      <c r="H10" s="15" t="inlineStr"/>
      <c r="I10" s="15" t="inlineStr"/>
      <c r="J10" s="15" t="inlineStr"/>
    </row>
    <row r="11" ht="24" customHeight="1"/>
    <row r="12" ht="24" customHeight="1">
      <c r="B12" s="34" t="inlineStr">
        <is>
          <t>PILLAR 2 — RESEARCH &amp; INNOVATION</t>
        </is>
      </c>
    </row>
    <row r="13" ht="24" customHeight="1">
      <c r="B13" s="33" t="n">
        <v>7</v>
      </c>
      <c r="C13" s="32" t="inlineStr"/>
      <c r="D13" s="33" t="inlineStr">
        <is>
          <t>PILLAR 2</t>
        </is>
      </c>
      <c r="E13" s="33" t="inlineStr"/>
      <c r="F13" s="33" t="inlineStr"/>
      <c r="G13" s="33" t="inlineStr"/>
      <c r="H13" s="33" t="inlineStr"/>
      <c r="I13" s="33" t="inlineStr"/>
      <c r="J13" s="33" t="inlineStr"/>
    </row>
    <row r="14" ht="24" customHeight="1">
      <c r="B14" s="6" t="n">
        <v>8</v>
      </c>
      <c r="C14" s="5" t="inlineStr"/>
      <c r="D14" s="6" t="inlineStr">
        <is>
          <t>PILLAR 2</t>
        </is>
      </c>
      <c r="E14" s="6" t="inlineStr"/>
      <c r="F14" s="6" t="inlineStr"/>
      <c r="G14" s="6" t="inlineStr"/>
      <c r="H14" s="6" t="inlineStr"/>
      <c r="I14" s="6" t="inlineStr"/>
      <c r="J14" s="6" t="inlineStr"/>
    </row>
    <row r="15" ht="24" customHeight="1">
      <c r="B15" s="33" t="n">
        <v>9</v>
      </c>
      <c r="C15" s="32" t="inlineStr"/>
      <c r="D15" s="33" t="inlineStr">
        <is>
          <t>PILLAR 2</t>
        </is>
      </c>
      <c r="E15" s="33" t="inlineStr"/>
      <c r="F15" s="33" t="inlineStr"/>
      <c r="G15" s="33" t="inlineStr"/>
      <c r="H15" s="33" t="inlineStr"/>
      <c r="I15" s="33" t="inlineStr"/>
      <c r="J15" s="33" t="inlineStr"/>
    </row>
    <row r="16" ht="24" customHeight="1">
      <c r="B16" s="6" t="n">
        <v>10</v>
      </c>
      <c r="C16" s="5" t="inlineStr"/>
      <c r="D16" s="6" t="inlineStr">
        <is>
          <t>PILLAR 2</t>
        </is>
      </c>
      <c r="E16" s="6" t="inlineStr"/>
      <c r="F16" s="6" t="inlineStr"/>
      <c r="G16" s="6" t="inlineStr"/>
      <c r="H16" s="6" t="inlineStr"/>
      <c r="I16" s="6" t="inlineStr"/>
      <c r="J16" s="6" t="inlineStr"/>
    </row>
    <row r="17" ht="24" customHeight="1">
      <c r="B17" s="33" t="n">
        <v>11</v>
      </c>
      <c r="C17" s="32" t="inlineStr"/>
      <c r="D17" s="33" t="inlineStr">
        <is>
          <t>PILLAR 2</t>
        </is>
      </c>
      <c r="E17" s="33" t="inlineStr"/>
      <c r="F17" s="33" t="inlineStr"/>
      <c r="G17" s="33" t="inlineStr"/>
      <c r="H17" s="33" t="inlineStr"/>
      <c r="I17" s="33" t="inlineStr"/>
      <c r="J17" s="33" t="inlineStr"/>
    </row>
    <row r="18" ht="24" customHeight="1"/>
    <row r="19" ht="24" customHeight="1">
      <c r="B19" s="43" t="inlineStr">
        <is>
          <t>PILLAR 3 — INDUSTRY &amp; SOCIETAL LINKAGE</t>
        </is>
      </c>
    </row>
    <row r="20" ht="24" customHeight="1">
      <c r="B20" s="44" t="n">
        <v>14</v>
      </c>
      <c r="C20" s="45" t="inlineStr"/>
      <c r="D20" s="44" t="inlineStr">
        <is>
          <t>PILLAR 3</t>
        </is>
      </c>
      <c r="E20" s="44" t="inlineStr"/>
      <c r="F20" s="44" t="inlineStr"/>
      <c r="G20" s="44" t="inlineStr"/>
      <c r="H20" s="44" t="inlineStr"/>
      <c r="I20" s="44" t="inlineStr"/>
      <c r="J20" s="44" t="inlineStr"/>
    </row>
    <row r="21" ht="24" customHeight="1">
      <c r="B21" s="6" t="n">
        <v>15</v>
      </c>
      <c r="C21" s="5" t="inlineStr"/>
      <c r="D21" s="6" t="inlineStr">
        <is>
          <t>PILLAR 3</t>
        </is>
      </c>
      <c r="E21" s="6" t="inlineStr"/>
      <c r="F21" s="6" t="inlineStr"/>
      <c r="G21" s="6" t="inlineStr"/>
      <c r="H21" s="6" t="inlineStr"/>
      <c r="I21" s="6" t="inlineStr"/>
      <c r="J21" s="6" t="inlineStr"/>
    </row>
    <row r="22" ht="24" customHeight="1">
      <c r="B22" s="44" t="n">
        <v>16</v>
      </c>
      <c r="C22" s="45" t="inlineStr"/>
      <c r="D22" s="44" t="inlineStr">
        <is>
          <t>PILLAR 3</t>
        </is>
      </c>
      <c r="E22" s="44" t="inlineStr"/>
      <c r="F22" s="44" t="inlineStr"/>
      <c r="G22" s="44" t="inlineStr"/>
      <c r="H22" s="44" t="inlineStr"/>
      <c r="I22" s="44" t="inlineStr"/>
      <c r="J22" s="44" t="inlineStr"/>
    </row>
    <row r="23" ht="24" customHeight="1">
      <c r="B23" s="6" t="n">
        <v>17</v>
      </c>
      <c r="C23" s="5" t="inlineStr"/>
      <c r="D23" s="6" t="inlineStr">
        <is>
          <t>PILLAR 3</t>
        </is>
      </c>
      <c r="E23" s="6" t="inlineStr"/>
      <c r="F23" s="6" t="inlineStr"/>
      <c r="G23" s="6" t="inlineStr"/>
      <c r="H23" s="6" t="inlineStr"/>
      <c r="I23" s="6" t="inlineStr"/>
      <c r="J23" s="6" t="inlineStr"/>
    </row>
    <row r="24" ht="24" customHeight="1">
      <c r="B24" s="44" t="n">
        <v>18</v>
      </c>
      <c r="C24" s="45" t="inlineStr"/>
      <c r="D24" s="44" t="inlineStr">
        <is>
          <t>PILLAR 3</t>
        </is>
      </c>
      <c r="E24" s="44" t="inlineStr"/>
      <c r="F24" s="44" t="inlineStr"/>
      <c r="G24" s="44" t="inlineStr"/>
      <c r="H24" s="44" t="inlineStr"/>
      <c r="I24" s="44" t="inlineStr"/>
      <c r="J24" s="44" t="inlineStr"/>
    </row>
    <row r="25" ht="24" customHeight="1"/>
    <row r="26" ht="24" customHeight="1">
      <c r="B26" s="20" t="inlineStr">
        <is>
          <t>PILLAR 4 — INFRASTRUCTURE &amp; RESOURCES</t>
        </is>
      </c>
    </row>
    <row r="27" ht="24" customHeight="1">
      <c r="B27" s="22" t="n">
        <v>21</v>
      </c>
      <c r="C27" s="46" t="inlineStr"/>
      <c r="D27" s="22" t="inlineStr">
        <is>
          <t>PILLAR 4</t>
        </is>
      </c>
      <c r="E27" s="22" t="inlineStr"/>
      <c r="F27" s="22" t="inlineStr"/>
      <c r="G27" s="22" t="inlineStr"/>
      <c r="H27" s="22" t="inlineStr"/>
      <c r="I27" s="22" t="inlineStr"/>
      <c r="J27" s="22" t="inlineStr"/>
    </row>
    <row r="28" ht="24" customHeight="1">
      <c r="B28" s="6" t="n">
        <v>22</v>
      </c>
      <c r="C28" s="5" t="inlineStr"/>
      <c r="D28" s="6" t="inlineStr">
        <is>
          <t>PILLAR 4</t>
        </is>
      </c>
      <c r="E28" s="6" t="inlineStr"/>
      <c r="F28" s="6" t="inlineStr"/>
      <c r="G28" s="6" t="inlineStr"/>
      <c r="H28" s="6" t="inlineStr"/>
      <c r="I28" s="6" t="inlineStr"/>
      <c r="J28" s="6" t="inlineStr"/>
    </row>
    <row r="29" ht="24" customHeight="1">
      <c r="B29" s="22" t="n">
        <v>23</v>
      </c>
      <c r="C29" s="46" t="inlineStr"/>
      <c r="D29" s="22" t="inlineStr">
        <is>
          <t>PILLAR 4</t>
        </is>
      </c>
      <c r="E29" s="22" t="inlineStr"/>
      <c r="F29" s="22" t="inlineStr"/>
      <c r="G29" s="22" t="inlineStr"/>
      <c r="H29" s="22" t="inlineStr"/>
      <c r="I29" s="22" t="inlineStr"/>
      <c r="J29" s="22" t="inlineStr"/>
    </row>
    <row r="30" ht="24" customHeight="1">
      <c r="B30" s="6" t="n">
        <v>24</v>
      </c>
      <c r="C30" s="5" t="inlineStr"/>
      <c r="D30" s="6" t="inlineStr">
        <is>
          <t>PILLAR 4</t>
        </is>
      </c>
      <c r="E30" s="6" t="inlineStr"/>
      <c r="F30" s="6" t="inlineStr"/>
      <c r="G30" s="6" t="inlineStr"/>
      <c r="H30" s="6" t="inlineStr"/>
      <c r="I30" s="6" t="inlineStr"/>
      <c r="J30" s="6" t="inlineStr"/>
    </row>
    <row r="31" ht="24" customHeight="1">
      <c r="B31" s="22" t="n">
        <v>25</v>
      </c>
      <c r="C31" s="46" t="inlineStr"/>
      <c r="D31" s="22" t="inlineStr">
        <is>
          <t>PILLAR 4</t>
        </is>
      </c>
      <c r="E31" s="22" t="inlineStr"/>
      <c r="F31" s="22" t="inlineStr"/>
      <c r="G31" s="22" t="inlineStr"/>
      <c r="H31" s="22" t="inlineStr"/>
      <c r="I31" s="22" t="inlineStr"/>
      <c r="J31" s="22" t="inlineStr"/>
    </row>
    <row r="32" ht="24" customHeight="1"/>
    <row r="33" ht="24" customHeight="1">
      <c r="B33" s="47" t="inlineStr">
        <is>
          <t>PILLAR 5 — GOVERNANCE &amp; QUALITY</t>
        </is>
      </c>
    </row>
    <row r="34" ht="24" customHeight="1">
      <c r="B34" s="48" t="n">
        <v>28</v>
      </c>
      <c r="C34" s="49" t="inlineStr"/>
      <c r="D34" s="48" t="inlineStr">
        <is>
          <t>PILLAR 5</t>
        </is>
      </c>
      <c r="E34" s="48" t="inlineStr"/>
      <c r="F34" s="48" t="inlineStr"/>
      <c r="G34" s="48" t="inlineStr"/>
      <c r="H34" s="48" t="inlineStr"/>
      <c r="I34" s="48" t="inlineStr"/>
      <c r="J34" s="48" t="inlineStr"/>
    </row>
    <row r="35" ht="24" customHeight="1">
      <c r="B35" s="6" t="n">
        <v>29</v>
      </c>
      <c r="C35" s="5" t="inlineStr"/>
      <c r="D35" s="6" t="inlineStr">
        <is>
          <t>PILLAR 5</t>
        </is>
      </c>
      <c r="E35" s="6" t="inlineStr"/>
      <c r="F35" s="6" t="inlineStr"/>
      <c r="G35" s="6" t="inlineStr"/>
      <c r="H35" s="6" t="inlineStr"/>
      <c r="I35" s="6" t="inlineStr"/>
      <c r="J35" s="6" t="inlineStr"/>
    </row>
    <row r="36" ht="24" customHeight="1">
      <c r="B36" s="48" t="n">
        <v>30</v>
      </c>
      <c r="C36" s="49" t="inlineStr"/>
      <c r="D36" s="48" t="inlineStr">
        <is>
          <t>PILLAR 5</t>
        </is>
      </c>
      <c r="E36" s="48" t="inlineStr"/>
      <c r="F36" s="48" t="inlineStr"/>
      <c r="G36" s="48" t="inlineStr"/>
      <c r="H36" s="48" t="inlineStr"/>
      <c r="I36" s="48" t="inlineStr"/>
      <c r="J36" s="48" t="inlineStr"/>
    </row>
    <row r="37" ht="24" customHeight="1">
      <c r="B37" s="6" t="n">
        <v>31</v>
      </c>
      <c r="C37" s="5" t="inlineStr"/>
      <c r="D37" s="6" t="inlineStr">
        <is>
          <t>PILLAR 5</t>
        </is>
      </c>
      <c r="E37" s="6" t="inlineStr"/>
      <c r="F37" s="6" t="inlineStr"/>
      <c r="G37" s="6" t="inlineStr"/>
      <c r="H37" s="6" t="inlineStr"/>
      <c r="I37" s="6" t="inlineStr"/>
      <c r="J37" s="6" t="inlineStr"/>
    </row>
    <row r="38" ht="24" customHeight="1">
      <c r="B38" s="48" t="n">
        <v>32</v>
      </c>
      <c r="C38" s="49" t="inlineStr"/>
      <c r="D38" s="48" t="inlineStr">
        <is>
          <t>PILLAR 5</t>
        </is>
      </c>
      <c r="E38" s="48" t="inlineStr"/>
      <c r="F38" s="48" t="inlineStr"/>
      <c r="G38" s="48" t="inlineStr"/>
      <c r="H38" s="48" t="inlineStr"/>
      <c r="I38" s="48" t="inlineStr"/>
      <c r="J38" s="48" t="inlineStr"/>
    </row>
    <row r="39" ht="24" customHeight="1"/>
    <row r="40" ht="24" customHeight="1">
      <c r="B40" s="50" t="inlineStr">
        <is>
          <t>AAP BUDGET SUMMARY</t>
        </is>
      </c>
    </row>
    <row r="41" ht="24" customHeight="1">
      <c r="B41" s="51" t="inlineStr">
        <is>
          <t>Pillar</t>
        </is>
      </c>
      <c r="C41" s="51" t="inlineStr">
        <is>
          <t>No. of Activities</t>
        </is>
      </c>
      <c r="D41" s="51" t="inlineStr">
        <is>
          <t>Budget Requested
(₹L)</t>
        </is>
      </c>
      <c r="E41" s="51" t="inlineStr">
        <is>
          <t>Budget Approved
(₹L)</t>
        </is>
      </c>
      <c r="F41" s="51" t="inlineStr">
        <is>
          <t>Q1 Utilisation</t>
        </is>
      </c>
      <c r="G41" s="51" t="inlineStr">
        <is>
          <t>Q2 Utilisation</t>
        </is>
      </c>
      <c r="H41" s="51" t="inlineStr">
        <is>
          <t>Q3 Utilisation</t>
        </is>
      </c>
      <c r="I41" s="51" t="inlineStr">
        <is>
          <t>Q4 Utilisation</t>
        </is>
      </c>
      <c r="J41" s="51" t="inlineStr">
        <is>
          <t>Total Utilised</t>
        </is>
      </c>
    </row>
    <row r="42" ht="24" customHeight="1">
      <c r="B42" s="52" t="inlineStr">
        <is>
          <t>P1: Academic</t>
        </is>
      </c>
      <c r="C42" s="53" t="inlineStr"/>
      <c r="D42" s="53" t="inlineStr"/>
      <c r="E42" s="53" t="inlineStr"/>
      <c r="F42" s="53" t="inlineStr"/>
      <c r="G42" s="53" t="inlineStr"/>
      <c r="H42" s="53" t="inlineStr"/>
      <c r="I42" s="53" t="inlineStr"/>
      <c r="J42" s="53">
        <f>IFERROR(SUM(F42:I42),"")</f>
        <v/>
      </c>
    </row>
    <row r="43" ht="24" customHeight="1">
      <c r="B43" s="5" t="inlineStr">
        <is>
          <t>P2: Research</t>
        </is>
      </c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>
        <f>IFERROR(SUM(F43:I43),"")</f>
        <v/>
      </c>
    </row>
    <row r="44" ht="24" customHeight="1">
      <c r="B44" s="52" t="inlineStr">
        <is>
          <t>P3: Industry</t>
        </is>
      </c>
      <c r="C44" s="53" t="inlineStr"/>
      <c r="D44" s="53" t="inlineStr"/>
      <c r="E44" s="53" t="inlineStr"/>
      <c r="F44" s="53" t="inlineStr"/>
      <c r="G44" s="53" t="inlineStr"/>
      <c r="H44" s="53" t="inlineStr"/>
      <c r="I44" s="53" t="inlineStr"/>
      <c r="J44" s="53">
        <f>IFERROR(SUM(F44:I44),"")</f>
        <v/>
      </c>
    </row>
    <row r="45" ht="24" customHeight="1">
      <c r="B45" s="5" t="inlineStr">
        <is>
          <t>P4: Infrastructure</t>
        </is>
      </c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>
        <f>IFERROR(SUM(F45:I45),"")</f>
        <v/>
      </c>
    </row>
    <row r="46" ht="24" customHeight="1">
      <c r="B46" s="52" t="inlineStr">
        <is>
          <t>P5: Governance</t>
        </is>
      </c>
      <c r="C46" s="53" t="inlineStr"/>
      <c r="D46" s="53" t="inlineStr"/>
      <c r="E46" s="53" t="inlineStr"/>
      <c r="F46" s="53" t="inlineStr"/>
      <c r="G46" s="53" t="inlineStr"/>
      <c r="H46" s="53" t="inlineStr"/>
      <c r="I46" s="53" t="inlineStr"/>
      <c r="J46" s="53">
        <f>IFERROR(SUM(F46:I46),"")</f>
        <v/>
      </c>
    </row>
    <row r="47" ht="24" customHeight="1">
      <c r="B47" s="23" t="inlineStr">
        <is>
          <t>TOTAL</t>
        </is>
      </c>
      <c r="C47" s="54" t="inlineStr"/>
      <c r="D47" s="54" t="inlineStr"/>
      <c r="E47" s="54" t="inlineStr"/>
      <c r="F47" s="54" t="inlineStr"/>
      <c r="G47" s="54" t="inlineStr"/>
      <c r="H47" s="54" t="inlineStr"/>
      <c r="I47" s="54" t="inlineStr"/>
      <c r="J47" s="54">
        <f>IFERROR(SUM(F47:I47),"")</f>
        <v/>
      </c>
    </row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</sheetData>
  <mergeCells count="8">
    <mergeCell ref="B33:J33"/>
    <mergeCell ref="B3:J3"/>
    <mergeCell ref="B19:J19"/>
    <mergeCell ref="B5:J5"/>
    <mergeCell ref="B26:J26"/>
    <mergeCell ref="B40:J40"/>
    <mergeCell ref="B12:J12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1" t="inlineStr">
        <is>
          <t>PM-08: ANNUAL ACTION PLAN — PROGRESS REVIEW FORM</t>
        </is>
      </c>
    </row>
    <row r="3" ht="25" customHeight="1">
      <c r="B3" s="2" t="inlineStr">
        <is>
          <t>Department: ___________________  A.Y.: _______  Review Period: Q1 / Q2 / Q3 / Annual  Date: _______</t>
        </is>
      </c>
    </row>
    <row r="4" ht="24" customHeight="1">
      <c r="B4" s="12" t="inlineStr">
        <is>
          <t>Sl.</t>
        </is>
      </c>
      <c r="C4" s="12" t="inlineStr">
        <is>
          <t>Activity / Initiative</t>
        </is>
      </c>
      <c r="D4" s="12" t="inlineStr">
        <is>
          <t>Pillar
Linked</t>
        </is>
      </c>
      <c r="E4" s="12" t="inlineStr">
        <is>
          <t>Annual
Target</t>
        </is>
      </c>
      <c r="F4" s="12" t="inlineStr">
        <is>
          <t>Target
to Date</t>
        </is>
      </c>
      <c r="G4" s="12" t="inlineStr">
        <is>
          <t>Achieved
to Date</t>
        </is>
      </c>
      <c r="H4" s="12" t="inlineStr">
        <is>
          <t>% Achievement</t>
        </is>
      </c>
      <c r="I4" s="12" t="inlineStr">
        <is>
          <t>Status</t>
        </is>
      </c>
      <c r="J4" s="12" t="inlineStr">
        <is>
          <t>Reasons for Gap / Remarks</t>
        </is>
      </c>
    </row>
    <row r="5" ht="24" customHeight="1">
      <c r="B5" s="13" t="n">
        <v>1</v>
      </c>
      <c r="C5" s="14" t="inlineStr"/>
      <c r="D5" s="15" t="inlineStr">
        <is>
          <t>P1</t>
        </is>
      </c>
      <c r="E5" s="15" t="inlineStr"/>
      <c r="F5" s="15" t="inlineStr"/>
      <c r="G5" s="15" t="inlineStr"/>
      <c r="H5" s="55">
        <f>IFERROR(ROUND(G5/F5*100,1),"")</f>
        <v/>
      </c>
      <c r="I5" s="15" t="inlineStr">
        <is>
          <t>On Track</t>
        </is>
      </c>
      <c r="J5" s="14" t="inlineStr"/>
    </row>
    <row r="6" ht="24" customHeight="1">
      <c r="B6" s="4" t="n">
        <v>2</v>
      </c>
      <c r="C6" s="5" t="inlineStr"/>
      <c r="D6" s="6" t="inlineStr">
        <is>
          <t>P2</t>
        </is>
      </c>
      <c r="E6" s="6" t="inlineStr"/>
      <c r="F6" s="6" t="inlineStr"/>
      <c r="G6" s="6" t="inlineStr"/>
      <c r="H6" s="56">
        <f>IFERROR(ROUND(G6/F6*100,1),"")</f>
        <v/>
      </c>
      <c r="I6" s="6" t="inlineStr">
        <is>
          <t>Ahead</t>
        </is>
      </c>
      <c r="J6" s="5" t="inlineStr"/>
    </row>
    <row r="7" ht="24" customHeight="1">
      <c r="B7" s="13" t="n">
        <v>3</v>
      </c>
      <c r="C7" s="14" t="inlineStr"/>
      <c r="D7" s="15" t="inlineStr">
        <is>
          <t>P3</t>
        </is>
      </c>
      <c r="E7" s="15" t="inlineStr"/>
      <c r="F7" s="15" t="inlineStr"/>
      <c r="G7" s="15" t="inlineStr"/>
      <c r="H7" s="55">
        <f>IFERROR(ROUND(G7/F7*100,1),"")</f>
        <v/>
      </c>
      <c r="I7" s="15" t="inlineStr">
        <is>
          <t>Delayed</t>
        </is>
      </c>
      <c r="J7" s="14" t="inlineStr"/>
    </row>
    <row r="8" ht="24" customHeight="1">
      <c r="B8" s="4" t="n">
        <v>4</v>
      </c>
      <c r="C8" s="5" t="inlineStr"/>
      <c r="D8" s="6" t="inlineStr">
        <is>
          <t>P4</t>
        </is>
      </c>
      <c r="E8" s="6" t="inlineStr"/>
      <c r="F8" s="6" t="inlineStr"/>
      <c r="G8" s="6" t="inlineStr"/>
      <c r="H8" s="56">
        <f>IFERROR(ROUND(G8/F8*100,1),"")</f>
        <v/>
      </c>
      <c r="I8" s="6" t="inlineStr">
        <is>
          <t>At Risk</t>
        </is>
      </c>
      <c r="J8" s="5" t="inlineStr"/>
    </row>
    <row r="9" ht="24" customHeight="1">
      <c r="B9" s="13" t="n">
        <v>5</v>
      </c>
      <c r="C9" s="14" t="inlineStr"/>
      <c r="D9" s="15" t="inlineStr">
        <is>
          <t>P5</t>
        </is>
      </c>
      <c r="E9" s="15" t="inlineStr"/>
      <c r="F9" s="15" t="inlineStr"/>
      <c r="G9" s="15" t="inlineStr"/>
      <c r="H9" s="55">
        <f>IFERROR(ROUND(G9/F9*100,1),"")</f>
        <v/>
      </c>
      <c r="I9" s="15" t="inlineStr">
        <is>
          <t>Completed</t>
        </is>
      </c>
      <c r="J9" s="14" t="inlineStr"/>
    </row>
    <row r="10" ht="24" customHeight="1">
      <c r="B10" s="4" t="n">
        <v>6</v>
      </c>
      <c r="C10" s="5" t="inlineStr"/>
      <c r="D10" s="6" t="inlineStr">
        <is>
          <t>P1</t>
        </is>
      </c>
      <c r="E10" s="6" t="inlineStr"/>
      <c r="F10" s="6" t="inlineStr"/>
      <c r="G10" s="6" t="inlineStr"/>
      <c r="H10" s="56">
        <f>IFERROR(ROUND(G10/F10*100,1),"")</f>
        <v/>
      </c>
      <c r="I10" s="6" t="inlineStr">
        <is>
          <t>On Track</t>
        </is>
      </c>
      <c r="J10" s="5" t="inlineStr"/>
    </row>
    <row r="11" ht="24" customHeight="1">
      <c r="B11" s="13" t="n">
        <v>7</v>
      </c>
      <c r="C11" s="14" t="inlineStr"/>
      <c r="D11" s="15" t="inlineStr">
        <is>
          <t>P2</t>
        </is>
      </c>
      <c r="E11" s="15" t="inlineStr"/>
      <c r="F11" s="15" t="inlineStr"/>
      <c r="G11" s="15" t="inlineStr"/>
      <c r="H11" s="55">
        <f>IFERROR(ROUND(G11/F11*100,1),"")</f>
        <v/>
      </c>
      <c r="I11" s="15" t="inlineStr">
        <is>
          <t>Ahead</t>
        </is>
      </c>
      <c r="J11" s="14" t="inlineStr"/>
    </row>
    <row r="12" ht="24" customHeight="1">
      <c r="B12" s="4" t="n">
        <v>8</v>
      </c>
      <c r="C12" s="5" t="inlineStr"/>
      <c r="D12" s="6" t="inlineStr">
        <is>
          <t>P3</t>
        </is>
      </c>
      <c r="E12" s="6" t="inlineStr"/>
      <c r="F12" s="6" t="inlineStr"/>
      <c r="G12" s="6" t="inlineStr"/>
      <c r="H12" s="56">
        <f>IFERROR(ROUND(G12/F12*100,1),"")</f>
        <v/>
      </c>
      <c r="I12" s="6" t="inlineStr">
        <is>
          <t>Delayed</t>
        </is>
      </c>
      <c r="J12" s="5" t="inlineStr"/>
    </row>
    <row r="13" ht="24" customHeight="1">
      <c r="B13" s="13" t="n">
        <v>9</v>
      </c>
      <c r="C13" s="14" t="inlineStr"/>
      <c r="D13" s="15" t="inlineStr">
        <is>
          <t>P4</t>
        </is>
      </c>
      <c r="E13" s="15" t="inlineStr"/>
      <c r="F13" s="15" t="inlineStr"/>
      <c r="G13" s="15" t="inlineStr"/>
      <c r="H13" s="55">
        <f>IFERROR(ROUND(G13/F13*100,1),"")</f>
        <v/>
      </c>
      <c r="I13" s="15" t="inlineStr">
        <is>
          <t>At Risk</t>
        </is>
      </c>
      <c r="J13" s="14" t="inlineStr"/>
    </row>
    <row r="14" ht="24" customHeight="1">
      <c r="B14" s="4" t="n">
        <v>10</v>
      </c>
      <c r="C14" s="5" t="inlineStr"/>
      <c r="D14" s="6" t="inlineStr">
        <is>
          <t>P5</t>
        </is>
      </c>
      <c r="E14" s="6" t="inlineStr"/>
      <c r="F14" s="6" t="inlineStr"/>
      <c r="G14" s="6" t="inlineStr"/>
      <c r="H14" s="56">
        <f>IFERROR(ROUND(G14/F14*100,1),"")</f>
        <v/>
      </c>
      <c r="I14" s="6" t="inlineStr">
        <is>
          <t>Completed</t>
        </is>
      </c>
      <c r="J14" s="5" t="inlineStr"/>
    </row>
    <row r="15" ht="24" customHeight="1">
      <c r="B15" s="13" t="n">
        <v>11</v>
      </c>
      <c r="C15" s="14" t="inlineStr"/>
      <c r="D15" s="15" t="inlineStr">
        <is>
          <t>P1</t>
        </is>
      </c>
      <c r="E15" s="15" t="inlineStr"/>
      <c r="F15" s="15" t="inlineStr"/>
      <c r="G15" s="15" t="inlineStr"/>
      <c r="H15" s="55">
        <f>IFERROR(ROUND(G15/F15*100,1),"")</f>
        <v/>
      </c>
      <c r="I15" s="15" t="inlineStr">
        <is>
          <t>On Track</t>
        </is>
      </c>
      <c r="J15" s="14" t="inlineStr"/>
    </row>
    <row r="16" ht="24" customHeight="1">
      <c r="B16" s="4" t="n">
        <v>12</v>
      </c>
      <c r="C16" s="5" t="inlineStr"/>
      <c r="D16" s="6" t="inlineStr">
        <is>
          <t>P2</t>
        </is>
      </c>
      <c r="E16" s="6" t="inlineStr"/>
      <c r="F16" s="6" t="inlineStr"/>
      <c r="G16" s="6" t="inlineStr"/>
      <c r="H16" s="56">
        <f>IFERROR(ROUND(G16/F16*100,1),"")</f>
        <v/>
      </c>
      <c r="I16" s="6" t="inlineStr">
        <is>
          <t>Ahead</t>
        </is>
      </c>
      <c r="J16" s="5" t="inlineStr"/>
    </row>
    <row r="17" ht="24" customHeight="1">
      <c r="B17" s="13" t="n">
        <v>13</v>
      </c>
      <c r="C17" s="14" t="inlineStr"/>
      <c r="D17" s="15" t="inlineStr">
        <is>
          <t>P3</t>
        </is>
      </c>
      <c r="E17" s="15" t="inlineStr"/>
      <c r="F17" s="15" t="inlineStr"/>
      <c r="G17" s="15" t="inlineStr"/>
      <c r="H17" s="55">
        <f>IFERROR(ROUND(G17/F17*100,1),"")</f>
        <v/>
      </c>
      <c r="I17" s="15" t="inlineStr">
        <is>
          <t>Delayed</t>
        </is>
      </c>
      <c r="J17" s="14" t="inlineStr"/>
    </row>
    <row r="18" ht="24" customHeight="1">
      <c r="B18" s="4" t="n">
        <v>14</v>
      </c>
      <c r="C18" s="5" t="inlineStr"/>
      <c r="D18" s="6" t="inlineStr">
        <is>
          <t>P4</t>
        </is>
      </c>
      <c r="E18" s="6" t="inlineStr"/>
      <c r="F18" s="6" t="inlineStr"/>
      <c r="G18" s="6" t="inlineStr"/>
      <c r="H18" s="56">
        <f>IFERROR(ROUND(G18/F18*100,1),"")</f>
        <v/>
      </c>
      <c r="I18" s="6" t="inlineStr">
        <is>
          <t>At Risk</t>
        </is>
      </c>
      <c r="J18" s="5" t="inlineStr"/>
    </row>
    <row r="19" ht="24" customHeight="1">
      <c r="B19" s="13" t="n">
        <v>15</v>
      </c>
      <c r="C19" s="14" t="inlineStr"/>
      <c r="D19" s="15" t="inlineStr">
        <is>
          <t>P5</t>
        </is>
      </c>
      <c r="E19" s="15" t="inlineStr"/>
      <c r="F19" s="15" t="inlineStr"/>
      <c r="G19" s="15" t="inlineStr"/>
      <c r="H19" s="55">
        <f>IFERROR(ROUND(G19/F19*100,1),"")</f>
        <v/>
      </c>
      <c r="I19" s="15" t="inlineStr">
        <is>
          <t>Completed</t>
        </is>
      </c>
      <c r="J19" s="14" t="inlineStr"/>
    </row>
    <row r="20" ht="24" customHeight="1">
      <c r="B20" s="4" t="n">
        <v>16</v>
      </c>
      <c r="C20" s="5" t="inlineStr"/>
      <c r="D20" s="6" t="inlineStr">
        <is>
          <t>P1</t>
        </is>
      </c>
      <c r="E20" s="6" t="inlineStr"/>
      <c r="F20" s="6" t="inlineStr"/>
      <c r="G20" s="6" t="inlineStr"/>
      <c r="H20" s="56">
        <f>IFERROR(ROUND(G20/F20*100,1),"")</f>
        <v/>
      </c>
      <c r="I20" s="6" t="inlineStr">
        <is>
          <t>On Track</t>
        </is>
      </c>
      <c r="J20" s="5" t="inlineStr"/>
    </row>
    <row r="21" ht="24" customHeight="1">
      <c r="B21" s="13" t="n">
        <v>17</v>
      </c>
      <c r="C21" s="14" t="inlineStr"/>
      <c r="D21" s="15" t="inlineStr">
        <is>
          <t>P2</t>
        </is>
      </c>
      <c r="E21" s="15" t="inlineStr"/>
      <c r="F21" s="15" t="inlineStr"/>
      <c r="G21" s="15" t="inlineStr"/>
      <c r="H21" s="55">
        <f>IFERROR(ROUND(G21/F21*100,1),"")</f>
        <v/>
      </c>
      <c r="I21" s="15" t="inlineStr">
        <is>
          <t>Ahead</t>
        </is>
      </c>
      <c r="J21" s="14" t="inlineStr"/>
    </row>
    <row r="22" ht="24" customHeight="1">
      <c r="B22" s="4" t="n">
        <v>18</v>
      </c>
      <c r="C22" s="5" t="inlineStr"/>
      <c r="D22" s="6" t="inlineStr">
        <is>
          <t>P3</t>
        </is>
      </c>
      <c r="E22" s="6" t="inlineStr"/>
      <c r="F22" s="6" t="inlineStr"/>
      <c r="G22" s="6" t="inlineStr"/>
      <c r="H22" s="56">
        <f>IFERROR(ROUND(G22/F22*100,1),"")</f>
        <v/>
      </c>
      <c r="I22" s="6" t="inlineStr">
        <is>
          <t>Delayed</t>
        </is>
      </c>
      <c r="J22" s="5" t="inlineStr"/>
    </row>
    <row r="23" ht="24" customHeight="1">
      <c r="B23" s="13" t="n">
        <v>19</v>
      </c>
      <c r="C23" s="14" t="inlineStr"/>
      <c r="D23" s="15" t="inlineStr">
        <is>
          <t>P4</t>
        </is>
      </c>
      <c r="E23" s="15" t="inlineStr"/>
      <c r="F23" s="15" t="inlineStr"/>
      <c r="G23" s="15" t="inlineStr"/>
      <c r="H23" s="55">
        <f>IFERROR(ROUND(G23/F23*100,1),"")</f>
        <v/>
      </c>
      <c r="I23" s="15" t="inlineStr">
        <is>
          <t>At Risk</t>
        </is>
      </c>
      <c r="J23" s="14" t="inlineStr"/>
    </row>
    <row r="24" ht="24" customHeight="1">
      <c r="B24" s="4" t="n">
        <v>20</v>
      </c>
      <c r="C24" s="5" t="inlineStr"/>
      <c r="D24" s="6" t="inlineStr">
        <is>
          <t>P5</t>
        </is>
      </c>
      <c r="E24" s="6" t="inlineStr"/>
      <c r="F24" s="6" t="inlineStr"/>
      <c r="G24" s="6" t="inlineStr"/>
      <c r="H24" s="56">
        <f>IFERROR(ROUND(G24/F24*100,1),"")</f>
        <v/>
      </c>
      <c r="I24" s="6" t="inlineStr">
        <is>
          <t>Completed</t>
        </is>
      </c>
      <c r="J24" s="5" t="inlineStr"/>
    </row>
    <row r="25" ht="24" customHeight="1">
      <c r="B25" s="13" t="n">
        <v>21</v>
      </c>
      <c r="C25" s="14" t="inlineStr"/>
      <c r="D25" s="15" t="inlineStr">
        <is>
          <t>P1</t>
        </is>
      </c>
      <c r="E25" s="15" t="inlineStr"/>
      <c r="F25" s="15" t="inlineStr"/>
      <c r="G25" s="15" t="inlineStr"/>
      <c r="H25" s="55">
        <f>IFERROR(ROUND(G25/F25*100,1),"")</f>
        <v/>
      </c>
      <c r="I25" s="15" t="inlineStr">
        <is>
          <t>On Track</t>
        </is>
      </c>
      <c r="J25" s="14" t="inlineStr"/>
    </row>
    <row r="26" ht="24" customHeight="1">
      <c r="B26" s="4" t="n">
        <v>22</v>
      </c>
      <c r="C26" s="5" t="inlineStr"/>
      <c r="D26" s="6" t="inlineStr">
        <is>
          <t>P2</t>
        </is>
      </c>
      <c r="E26" s="6" t="inlineStr"/>
      <c r="F26" s="6" t="inlineStr"/>
      <c r="G26" s="6" t="inlineStr"/>
      <c r="H26" s="56">
        <f>IFERROR(ROUND(G26/F26*100,1),"")</f>
        <v/>
      </c>
      <c r="I26" s="6" t="inlineStr">
        <is>
          <t>Ahead</t>
        </is>
      </c>
      <c r="J26" s="5" t="inlineStr"/>
    </row>
    <row r="27" ht="24" customHeight="1">
      <c r="B27" s="13" t="n">
        <v>23</v>
      </c>
      <c r="C27" s="14" t="inlineStr"/>
      <c r="D27" s="15" t="inlineStr">
        <is>
          <t>P3</t>
        </is>
      </c>
      <c r="E27" s="15" t="inlineStr"/>
      <c r="F27" s="15" t="inlineStr"/>
      <c r="G27" s="15" t="inlineStr"/>
      <c r="H27" s="55">
        <f>IFERROR(ROUND(G27/F27*100,1),"")</f>
        <v/>
      </c>
      <c r="I27" s="15" t="inlineStr">
        <is>
          <t>Delayed</t>
        </is>
      </c>
      <c r="J27" s="14" t="inlineStr"/>
    </row>
    <row r="28" ht="24" customHeight="1">
      <c r="B28" s="4" t="n">
        <v>24</v>
      </c>
      <c r="C28" s="5" t="inlineStr"/>
      <c r="D28" s="6" t="inlineStr">
        <is>
          <t>P4</t>
        </is>
      </c>
      <c r="E28" s="6" t="inlineStr"/>
      <c r="F28" s="6" t="inlineStr"/>
      <c r="G28" s="6" t="inlineStr"/>
      <c r="H28" s="56">
        <f>IFERROR(ROUND(G28/F28*100,1),"")</f>
        <v/>
      </c>
      <c r="I28" s="6" t="inlineStr">
        <is>
          <t>At Risk</t>
        </is>
      </c>
      <c r="J28" s="5" t="inlineStr"/>
    </row>
    <row r="29" ht="24" customHeight="1">
      <c r="B29" s="13" t="n">
        <v>25</v>
      </c>
      <c r="C29" s="14" t="inlineStr"/>
      <c r="D29" s="15" t="inlineStr">
        <is>
          <t>P5</t>
        </is>
      </c>
      <c r="E29" s="15" t="inlineStr"/>
      <c r="F29" s="15" t="inlineStr"/>
      <c r="G29" s="15" t="inlineStr"/>
      <c r="H29" s="55">
        <f>IFERROR(ROUND(G29/F29*100,1),"")</f>
        <v/>
      </c>
      <c r="I29" s="15" t="inlineStr">
        <is>
          <t>Completed</t>
        </is>
      </c>
      <c r="J29" s="14" t="inlineStr"/>
    </row>
    <row r="30" ht="24" customHeight="1">
      <c r="B30" s="4" t="n">
        <v>26</v>
      </c>
      <c r="C30" s="5" t="inlineStr"/>
      <c r="D30" s="6" t="inlineStr">
        <is>
          <t>P1</t>
        </is>
      </c>
      <c r="E30" s="6" t="inlineStr"/>
      <c r="F30" s="6" t="inlineStr"/>
      <c r="G30" s="6" t="inlineStr"/>
      <c r="H30" s="56">
        <f>IFERROR(ROUND(G30/F30*100,1),"")</f>
        <v/>
      </c>
      <c r="I30" s="6" t="inlineStr">
        <is>
          <t>On Track</t>
        </is>
      </c>
      <c r="J30" s="5" t="inlineStr"/>
    </row>
    <row r="31" ht="24" customHeight="1">
      <c r="B31" s="13" t="n">
        <v>27</v>
      </c>
      <c r="C31" s="14" t="inlineStr"/>
      <c r="D31" s="15" t="inlineStr">
        <is>
          <t>P2</t>
        </is>
      </c>
      <c r="E31" s="15" t="inlineStr"/>
      <c r="F31" s="15" t="inlineStr"/>
      <c r="G31" s="15" t="inlineStr"/>
      <c r="H31" s="55">
        <f>IFERROR(ROUND(G31/F31*100,1),"")</f>
        <v/>
      </c>
      <c r="I31" s="15" t="inlineStr">
        <is>
          <t>Ahead</t>
        </is>
      </c>
      <c r="J31" s="14" t="inlineStr"/>
    </row>
    <row r="32" ht="24" customHeight="1">
      <c r="B32" s="4" t="n">
        <v>28</v>
      </c>
      <c r="C32" s="5" t="inlineStr"/>
      <c r="D32" s="6" t="inlineStr">
        <is>
          <t>P3</t>
        </is>
      </c>
      <c r="E32" s="6" t="inlineStr"/>
      <c r="F32" s="6" t="inlineStr"/>
      <c r="G32" s="6" t="inlineStr"/>
      <c r="H32" s="56">
        <f>IFERROR(ROUND(G32/F32*100,1),"")</f>
        <v/>
      </c>
      <c r="I32" s="6" t="inlineStr">
        <is>
          <t>Delayed</t>
        </is>
      </c>
      <c r="J32" s="5" t="inlineStr"/>
    </row>
    <row r="33" ht="24" customHeight="1">
      <c r="B33" s="13" t="n">
        <v>29</v>
      </c>
      <c r="C33" s="14" t="inlineStr"/>
      <c r="D33" s="15" t="inlineStr">
        <is>
          <t>P4</t>
        </is>
      </c>
      <c r="E33" s="15" t="inlineStr"/>
      <c r="F33" s="15" t="inlineStr"/>
      <c r="G33" s="15" t="inlineStr"/>
      <c r="H33" s="55">
        <f>IFERROR(ROUND(G33/F33*100,1),"")</f>
        <v/>
      </c>
      <c r="I33" s="15" t="inlineStr">
        <is>
          <t>At Risk</t>
        </is>
      </c>
      <c r="J33" s="14" t="inlineStr"/>
    </row>
    <row r="34" ht="24" customHeight="1">
      <c r="B34" s="4" t="n">
        <v>30</v>
      </c>
      <c r="C34" s="5" t="inlineStr"/>
      <c r="D34" s="6" t="inlineStr">
        <is>
          <t>P5</t>
        </is>
      </c>
      <c r="E34" s="6" t="inlineStr"/>
      <c r="F34" s="6" t="inlineStr"/>
      <c r="G34" s="6" t="inlineStr"/>
      <c r="H34" s="56">
        <f>IFERROR(ROUND(G34/F34*100,1),"")</f>
        <v/>
      </c>
      <c r="I34" s="6" t="inlineStr">
        <is>
          <t>Completed</t>
        </is>
      </c>
      <c r="J34" s="5" t="inlineStr"/>
    </row>
    <row r="35" ht="24" customHeight="1"/>
    <row r="36" ht="24" customHeight="1">
      <c r="B36" s="34" t="inlineStr">
        <is>
          <t>PROGRESS REVIEW SUMMARY — BY PILLAR</t>
        </is>
      </c>
    </row>
    <row r="37" ht="24" customHeight="1">
      <c r="B37" s="30" t="inlineStr">
        <is>
          <t>Pillar</t>
        </is>
      </c>
      <c r="C37" s="30" t="inlineStr">
        <is>
          <t>Total Activities</t>
        </is>
      </c>
      <c r="D37" s="30" t="inlineStr">
        <is>
          <t>Completed</t>
        </is>
      </c>
      <c r="E37" s="30" t="inlineStr">
        <is>
          <t>On Track</t>
        </is>
      </c>
      <c r="F37" s="30" t="inlineStr">
        <is>
          <t>Delayed</t>
        </is>
      </c>
      <c r="G37" s="30" t="inlineStr">
        <is>
          <t>At Risk</t>
        </is>
      </c>
      <c r="H37" s="30" t="inlineStr">
        <is>
          <t>Overall %
Achievement</t>
        </is>
      </c>
      <c r="I37" s="30" t="inlineStr">
        <is>
          <t>PMB Rating
(1–5)</t>
        </is>
      </c>
      <c r="J37" s="30" t="inlineStr">
        <is>
          <t>Remarks</t>
        </is>
      </c>
    </row>
    <row r="38" ht="24" customHeight="1">
      <c r="B38" s="35" t="inlineStr">
        <is>
          <t>P1: Academic</t>
        </is>
      </c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2" t="inlineStr"/>
    </row>
    <row r="39" ht="24" customHeight="1">
      <c r="B39" s="25" t="inlineStr">
        <is>
          <t>P2: Research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5" t="inlineStr"/>
    </row>
    <row r="40" ht="24" customHeight="1">
      <c r="B40" s="35" t="inlineStr">
        <is>
          <t>P3: Industry</t>
        </is>
      </c>
      <c r="C40" s="33" t="inlineStr"/>
      <c r="D40" s="33" t="inlineStr"/>
      <c r="E40" s="33" t="inlineStr"/>
      <c r="F40" s="33" t="inlineStr"/>
      <c r="G40" s="33" t="inlineStr"/>
      <c r="H40" s="33" t="inlineStr"/>
      <c r="I40" s="33" t="inlineStr"/>
      <c r="J40" s="32" t="inlineStr"/>
    </row>
    <row r="41" ht="24" customHeight="1">
      <c r="B41" s="25" t="inlineStr">
        <is>
          <t>P4: Infrastructure</t>
        </is>
      </c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5" t="inlineStr"/>
    </row>
    <row r="42" ht="24" customHeight="1">
      <c r="B42" s="35" t="inlineStr">
        <is>
          <t>P5: Governance</t>
        </is>
      </c>
      <c r="C42" s="33" t="inlineStr"/>
      <c r="D42" s="33" t="inlineStr"/>
      <c r="E42" s="33" t="inlineStr"/>
      <c r="F42" s="33" t="inlineStr"/>
      <c r="G42" s="33" t="inlineStr"/>
      <c r="H42" s="33" t="inlineStr"/>
      <c r="I42" s="33" t="inlineStr"/>
      <c r="J42" s="32" t="inlineStr"/>
    </row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</sheetData>
  <mergeCells count="3">
    <mergeCell ref="B36:J36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PM-09: INSTITUTIONAL KPI DASHBOARD — QUARTERLY MONITORING</t>
        </is>
      </c>
    </row>
    <row r="3" ht="25" customHeight="1">
      <c r="B3" s="2" t="inlineStr">
        <is>
          <t>A.Y.: _______  Quarter: Q1 / Q2 / Q3 / Q4  Prepared by: ___________________  Date: _______</t>
        </is>
      </c>
    </row>
    <row r="4" ht="24" customHeight="1">
      <c r="B4" s="38" t="inlineStr">
        <is>
          <t>ACADEMIC KPIs</t>
        </is>
      </c>
    </row>
    <row r="5" ht="22" customHeight="1">
      <c r="B5" s="12" t="inlineStr">
        <is>
          <t>Sl.</t>
        </is>
      </c>
      <c r="C5" s="12" t="inlineStr">
        <is>
          <t>Key Performance Indicator</t>
        </is>
      </c>
      <c r="D5" s="12" t="inlineStr">
        <is>
          <t>Unit / Metric</t>
        </is>
      </c>
      <c r="E5" s="12" t="inlineStr">
        <is>
          <t>Annual
Target</t>
        </is>
      </c>
      <c r="F5" s="12" t="inlineStr">
        <is>
          <t>Prev. Year
Actual</t>
        </is>
      </c>
      <c r="G5" s="12" t="inlineStr">
        <is>
          <t>Q-to-Date
Actual</t>
        </is>
      </c>
      <c r="H5" s="12" t="inlineStr">
        <is>
          <t>Status</t>
        </is>
      </c>
      <c r="I5" s="12" t="inlineStr">
        <is>
          <t>Remarks</t>
        </is>
      </c>
    </row>
    <row r="6" ht="22" customHeight="1">
      <c r="B6" s="13" t="n">
        <v>1</v>
      </c>
      <c r="C6" s="14" t="inlineStr">
        <is>
          <t>Student enrolment (UG + PG + Ph.D.)</t>
        </is>
      </c>
      <c r="D6" s="15" t="inlineStr">
        <is>
          <t>No. of students</t>
        </is>
      </c>
      <c r="E6" s="15" t="inlineStr">
        <is>
          <t>≥95% of intake</t>
        </is>
      </c>
      <c r="F6" s="15" t="inlineStr"/>
      <c r="G6" s="15" t="inlineStr"/>
      <c r="H6" s="15">
        <f>IFERROR(IF(G6&gt;=VALUE(LEFT(E6,2)),"On Target","Below Target"),"")</f>
        <v/>
      </c>
      <c r="I6" s="14" t="inlineStr"/>
    </row>
    <row r="7" ht="22" customHeight="1">
      <c r="B7" s="4" t="n">
        <v>2</v>
      </c>
      <c r="C7" s="5" t="inlineStr">
        <is>
          <t>Overall pass percentage</t>
        </is>
      </c>
      <c r="D7" s="6" t="inlineStr">
        <is>
          <t>% pass</t>
        </is>
      </c>
      <c r="E7" s="6" t="inlineStr">
        <is>
          <t>≥75%</t>
        </is>
      </c>
      <c r="F7" s="6" t="inlineStr"/>
      <c r="G7" s="6" t="inlineStr"/>
      <c r="H7" s="6">
        <f>IFERROR(IF(G7&gt;=VALUE(LEFT(E7,2)),"On Target","Below Target"),"")</f>
        <v/>
      </c>
      <c r="I7" s="5" t="inlineStr"/>
    </row>
    <row r="8" ht="22" customHeight="1">
      <c r="B8" s="13" t="n">
        <v>3</v>
      </c>
      <c r="C8" s="14" t="inlineStr">
        <is>
          <t>First class &amp; above (%)</t>
        </is>
      </c>
      <c r="D8" s="15" t="inlineStr">
        <is>
          <t>% students</t>
        </is>
      </c>
      <c r="E8" s="15" t="inlineStr">
        <is>
          <t>≥60%</t>
        </is>
      </c>
      <c r="F8" s="15" t="inlineStr"/>
      <c r="G8" s="15" t="inlineStr"/>
      <c r="H8" s="15">
        <f>IFERROR(IF(G8&gt;=VALUE(LEFT(E8,2)),"On Target","Below Target"),"")</f>
        <v/>
      </c>
      <c r="I8" s="14" t="inlineStr"/>
    </row>
    <row r="9" ht="22" customHeight="1">
      <c r="B9" s="4" t="n">
        <v>4</v>
      </c>
      <c r="C9" s="5" t="inlineStr">
        <is>
          <t>CO attainment — programme avg.</t>
        </is>
      </c>
      <c r="D9" s="6" t="inlineStr">
        <is>
          <t>Level (0–3)</t>
        </is>
      </c>
      <c r="E9" s="6" t="inlineStr">
        <is>
          <t>≥Level 2</t>
        </is>
      </c>
      <c r="F9" s="6" t="inlineStr"/>
      <c r="G9" s="6" t="inlineStr"/>
      <c r="H9" s="6">
        <f>IFERROR(IF(G9&gt;=VALUE(LEFT(E9,2)),"On Target","Below Target"),"")</f>
        <v/>
      </c>
      <c r="I9" s="5" t="inlineStr"/>
    </row>
    <row r="10" ht="22" customHeight="1">
      <c r="B10" s="13" t="n">
        <v>5</v>
      </c>
      <c r="C10" s="14" t="inlineStr">
        <is>
          <t>Student satisfaction score</t>
        </is>
      </c>
      <c r="D10" s="15" t="inlineStr">
        <is>
          <t>Score / 5</t>
        </is>
      </c>
      <c r="E10" s="15" t="inlineStr">
        <is>
          <t>≥3.5 / 5</t>
        </is>
      </c>
      <c r="F10" s="15" t="inlineStr"/>
      <c r="G10" s="15" t="inlineStr"/>
      <c r="H10" s="15">
        <f>IFERROR(IF(G10&gt;=VALUE(LEFT(E10,2)),"On Target","Below Target"),"")</f>
        <v/>
      </c>
      <c r="I10" s="14" t="inlineStr"/>
    </row>
    <row r="11" ht="22" customHeight="1">
      <c r="B11" s="4" t="n">
        <v>6</v>
      </c>
      <c r="C11" s="5" t="inlineStr">
        <is>
          <t>Dropout rate</t>
        </is>
      </c>
      <c r="D11" s="6" t="inlineStr">
        <is>
          <t>% students</t>
        </is>
      </c>
      <c r="E11" s="6" t="inlineStr">
        <is>
          <t>≤5%</t>
        </is>
      </c>
      <c r="F11" s="6" t="inlineStr"/>
      <c r="G11" s="6" t="inlineStr"/>
      <c r="H11" s="6">
        <f>IFERROR(IF(G11&gt;=VALUE(LEFT(E11,2)),"On Target","Below Target"),"")</f>
        <v/>
      </c>
      <c r="I11" s="5" t="inlineStr"/>
    </row>
    <row r="12" ht="22" customHeight="1">
      <c r="B12" s="13" t="n">
        <v>7</v>
      </c>
      <c r="C12" s="14" t="inlineStr">
        <is>
          <t>Placement rate — final year</t>
        </is>
      </c>
      <c r="D12" s="15" t="inlineStr">
        <is>
          <t>% placed</t>
        </is>
      </c>
      <c r="E12" s="15" t="inlineStr">
        <is>
          <t>≥70%</t>
        </is>
      </c>
      <c r="F12" s="15" t="inlineStr"/>
      <c r="G12" s="15" t="inlineStr"/>
      <c r="H12" s="15">
        <f>IFERROR(IF(G12&gt;=VALUE(LEFT(E12,2)),"On Target","Below Target"),"")</f>
        <v/>
      </c>
      <c r="I12" s="14" t="inlineStr"/>
    </row>
    <row r="13" ht="22" customHeight="1">
      <c r="B13" s="4" t="n">
        <v>8</v>
      </c>
      <c r="C13" s="5" t="inlineStr">
        <is>
          <t>Higher studies (%)</t>
        </is>
      </c>
      <c r="D13" s="6" t="inlineStr">
        <is>
          <t>% students</t>
        </is>
      </c>
      <c r="E13" s="6" t="inlineStr">
        <is>
          <t>≥15%</t>
        </is>
      </c>
      <c r="F13" s="6" t="inlineStr"/>
      <c r="G13" s="6" t="inlineStr"/>
      <c r="H13" s="6">
        <f>IFERROR(IF(G13&gt;=VALUE(LEFT(E13,2)),"On Target","Below Target"),"")</f>
        <v/>
      </c>
      <c r="I13" s="5" t="inlineStr"/>
    </row>
    <row r="14" ht="22" customHeight="1"/>
    <row r="15" ht="24" customHeight="1">
      <c r="B15" s="34" t="inlineStr">
        <is>
          <t>RESEARCH &amp; INNOVATION KPIs</t>
        </is>
      </c>
    </row>
    <row r="16" ht="22" customHeight="1">
      <c r="B16" s="30" t="inlineStr">
        <is>
          <t>Sl.</t>
        </is>
      </c>
      <c r="C16" s="30" t="inlineStr">
        <is>
          <t>Key Performance Indicator</t>
        </is>
      </c>
      <c r="D16" s="30" t="inlineStr">
        <is>
          <t>Unit / Metric</t>
        </is>
      </c>
      <c r="E16" s="30" t="inlineStr">
        <is>
          <t>Annual
Target</t>
        </is>
      </c>
      <c r="F16" s="30" t="inlineStr">
        <is>
          <t>Prev. Year
Actual</t>
        </is>
      </c>
      <c r="G16" s="30" t="inlineStr">
        <is>
          <t>Q-to-Date
Actual</t>
        </is>
      </c>
      <c r="H16" s="30" t="inlineStr">
        <is>
          <t>Status</t>
        </is>
      </c>
      <c r="I16" s="30" t="inlineStr">
        <is>
          <t>Remarks</t>
        </is>
      </c>
    </row>
    <row r="17" ht="22" customHeight="1">
      <c r="B17" s="31" t="n">
        <v>1</v>
      </c>
      <c r="C17" s="32" t="inlineStr">
        <is>
          <t>Publications (SCI/Scopus)</t>
        </is>
      </c>
      <c r="D17" s="33" t="inlineStr">
        <is>
          <t>No. per year</t>
        </is>
      </c>
      <c r="E17" s="33" t="inlineStr">
        <is>
          <t>≥30</t>
        </is>
      </c>
      <c r="F17" s="33" t="inlineStr"/>
      <c r="G17" s="33" t="inlineStr"/>
      <c r="H17" s="33">
        <f>IFERROR(IF(G17&gt;=VALUE(LEFT(E17,2)),"On Target","Below Target"),"")</f>
        <v/>
      </c>
      <c r="I17" s="32" t="inlineStr"/>
    </row>
    <row r="18" ht="22" customHeight="1">
      <c r="B18" s="4" t="n">
        <v>2</v>
      </c>
      <c r="C18" s="5" t="inlineStr">
        <is>
          <t>Funded research projects</t>
        </is>
      </c>
      <c r="D18" s="6" t="inlineStr">
        <is>
          <t>No. active</t>
        </is>
      </c>
      <c r="E18" s="6" t="inlineStr">
        <is>
          <t>≥5</t>
        </is>
      </c>
      <c r="F18" s="6" t="inlineStr"/>
      <c r="G18" s="6" t="inlineStr"/>
      <c r="H18" s="6">
        <f>IFERROR(IF(G18&gt;=VALUE(LEFT(E18,2)),"On Target","Below Target"),"")</f>
        <v/>
      </c>
      <c r="I18" s="5" t="inlineStr"/>
    </row>
    <row r="19" ht="22" customHeight="1">
      <c r="B19" s="31" t="n">
        <v>3</v>
      </c>
      <c r="C19" s="32" t="inlineStr">
        <is>
          <t>Research grant received (₹L)</t>
        </is>
      </c>
      <c r="D19" s="33" t="inlineStr">
        <is>
          <t>₹L per year</t>
        </is>
      </c>
      <c r="E19" s="33" t="inlineStr">
        <is>
          <t>≥50</t>
        </is>
      </c>
      <c r="F19" s="33" t="inlineStr"/>
      <c r="G19" s="33" t="inlineStr"/>
      <c r="H19" s="33">
        <f>IFERROR(IF(G19&gt;=VALUE(LEFT(E19,2)),"On Target","Below Target"),"")</f>
        <v/>
      </c>
      <c r="I19" s="32" t="inlineStr"/>
    </row>
    <row r="20" ht="22" customHeight="1">
      <c r="B20" s="4" t="n">
        <v>4</v>
      </c>
      <c r="C20" s="5" t="inlineStr">
        <is>
          <t>Patents filed</t>
        </is>
      </c>
      <c r="D20" s="6" t="inlineStr">
        <is>
          <t>No. per year</t>
        </is>
      </c>
      <c r="E20" s="6" t="inlineStr">
        <is>
          <t>≥3</t>
        </is>
      </c>
      <c r="F20" s="6" t="inlineStr"/>
      <c r="G20" s="6" t="inlineStr"/>
      <c r="H20" s="6">
        <f>IFERROR(IF(G20&gt;=VALUE(LEFT(E20,2)),"On Target","Below Target"),"")</f>
        <v/>
      </c>
      <c r="I20" s="5" t="inlineStr"/>
    </row>
    <row r="21" ht="22" customHeight="1">
      <c r="B21" s="31" t="n">
        <v>5</v>
      </c>
      <c r="C21" s="32" t="inlineStr">
        <is>
          <t>Patents granted</t>
        </is>
      </c>
      <c r="D21" s="33" t="inlineStr">
        <is>
          <t>No. (cumulative)</t>
        </is>
      </c>
      <c r="E21" s="33" t="inlineStr">
        <is>
          <t>≥1</t>
        </is>
      </c>
      <c r="F21" s="33" t="inlineStr"/>
      <c r="G21" s="33" t="inlineStr"/>
      <c r="H21" s="33">
        <f>IFERROR(IF(G21&gt;=VALUE(LEFT(E21,2)),"On Target","Below Target"),"")</f>
        <v/>
      </c>
      <c r="I21" s="32" t="inlineStr"/>
    </row>
    <row r="22" ht="22" customHeight="1">
      <c r="B22" s="4" t="n">
        <v>6</v>
      </c>
      <c r="C22" s="5" t="inlineStr">
        <is>
          <t>Ph.D. degrees awarded</t>
        </is>
      </c>
      <c r="D22" s="6" t="inlineStr">
        <is>
          <t>No. per year</t>
        </is>
      </c>
      <c r="E22" s="6" t="inlineStr">
        <is>
          <t>≥5</t>
        </is>
      </c>
      <c r="F22" s="6" t="inlineStr"/>
      <c r="G22" s="6" t="inlineStr"/>
      <c r="H22" s="6">
        <f>IFERROR(IF(G22&gt;=VALUE(LEFT(E22,2)),"On Target","Below Target"),"")</f>
        <v/>
      </c>
      <c r="I22" s="5" t="inlineStr"/>
    </row>
    <row r="23" ht="22" customHeight="1">
      <c r="B23" s="31" t="n">
        <v>7</v>
      </c>
      <c r="C23" s="32" t="inlineStr">
        <is>
          <t>Consultancy revenue (₹L)</t>
        </is>
      </c>
      <c r="D23" s="33" t="inlineStr">
        <is>
          <t>₹L per year</t>
        </is>
      </c>
      <c r="E23" s="33" t="inlineStr">
        <is>
          <t>≥10</t>
        </is>
      </c>
      <c r="F23" s="33" t="inlineStr"/>
      <c r="G23" s="33" t="inlineStr"/>
      <c r="H23" s="33">
        <f>IFERROR(IF(G23&gt;=VALUE(LEFT(E23,2)),"On Target","Below Target"),"")</f>
        <v/>
      </c>
      <c r="I23" s="32" t="inlineStr"/>
    </row>
    <row r="24" ht="22" customHeight="1">
      <c r="B24" s="4" t="n">
        <v>8</v>
      </c>
      <c r="C24" s="5" t="inlineStr">
        <is>
          <t>Startups / incubations</t>
        </is>
      </c>
      <c r="D24" s="6" t="inlineStr">
        <is>
          <t>No. active</t>
        </is>
      </c>
      <c r="E24" s="6" t="inlineStr">
        <is>
          <t>≥2</t>
        </is>
      </c>
      <c r="F24" s="6" t="inlineStr"/>
      <c r="G24" s="6" t="inlineStr"/>
      <c r="H24" s="6">
        <f>IFERROR(IF(G24&gt;=VALUE(LEFT(E24,2)),"On Target","Below Target"),"")</f>
        <v/>
      </c>
      <c r="I24" s="5" t="inlineStr"/>
    </row>
    <row r="25" ht="22" customHeight="1"/>
    <row r="26" ht="24" customHeight="1">
      <c r="B26" s="43" t="inlineStr">
        <is>
          <t>FACULTY &amp; HR KPIs</t>
        </is>
      </c>
    </row>
    <row r="27" ht="22" customHeight="1">
      <c r="B27" s="57" t="inlineStr">
        <is>
          <t>Sl.</t>
        </is>
      </c>
      <c r="C27" s="57" t="inlineStr">
        <is>
          <t>Key Performance Indicator</t>
        </is>
      </c>
      <c r="D27" s="57" t="inlineStr">
        <is>
          <t>Unit / Metric</t>
        </is>
      </c>
      <c r="E27" s="57" t="inlineStr">
        <is>
          <t>Annual
Target</t>
        </is>
      </c>
      <c r="F27" s="57" t="inlineStr">
        <is>
          <t>Prev. Year
Actual</t>
        </is>
      </c>
      <c r="G27" s="57" t="inlineStr">
        <is>
          <t>Q-to-Date
Actual</t>
        </is>
      </c>
      <c r="H27" s="57" t="inlineStr">
        <is>
          <t>Status</t>
        </is>
      </c>
      <c r="I27" s="57" t="inlineStr">
        <is>
          <t>Remarks</t>
        </is>
      </c>
    </row>
    <row r="28" ht="22" customHeight="1">
      <c r="B28" s="58" t="n">
        <v>1</v>
      </c>
      <c r="C28" s="45" t="inlineStr">
        <is>
          <t>Faculty with Ph.D. (%)</t>
        </is>
      </c>
      <c r="D28" s="44" t="inlineStr">
        <is>
          <t>% of total</t>
        </is>
      </c>
      <c r="E28" s="44" t="inlineStr">
        <is>
          <t>≥40%</t>
        </is>
      </c>
      <c r="F28" s="44" t="inlineStr"/>
      <c r="G28" s="44" t="inlineStr"/>
      <c r="H28" s="44">
        <f>IFERROR(IF(G28&gt;=VALUE(LEFT(E28,2)),"On Target","Below Target"),"")</f>
        <v/>
      </c>
      <c r="I28" s="45" t="inlineStr"/>
    </row>
    <row r="29" ht="22" customHeight="1">
      <c r="B29" s="4" t="n">
        <v>2</v>
      </c>
      <c r="C29" s="5" t="inlineStr">
        <is>
          <t>Student-faculty ratio</t>
        </is>
      </c>
      <c r="D29" s="6" t="inlineStr">
        <is>
          <t>Ratio</t>
        </is>
      </c>
      <c r="E29" s="6" t="inlineStr">
        <is>
          <t>≤15:1</t>
        </is>
      </c>
      <c r="F29" s="6" t="inlineStr"/>
      <c r="G29" s="6" t="inlineStr"/>
      <c r="H29" s="6">
        <f>IFERROR(IF(G29&gt;=VALUE(LEFT(E29,2)),"On Target","Below Target"),"")</f>
        <v/>
      </c>
      <c r="I29" s="5" t="inlineStr"/>
    </row>
    <row r="30" ht="22" customHeight="1">
      <c r="B30" s="58" t="n">
        <v>3</v>
      </c>
      <c r="C30" s="45" t="inlineStr">
        <is>
          <t>Faculty attending FDP (%)</t>
        </is>
      </c>
      <c r="D30" s="44" t="inlineStr">
        <is>
          <t>% of total</t>
        </is>
      </c>
      <c r="E30" s="44" t="inlineStr">
        <is>
          <t>≥80%</t>
        </is>
      </c>
      <c r="F30" s="44" t="inlineStr"/>
      <c r="G30" s="44" t="inlineStr"/>
      <c r="H30" s="44">
        <f>IFERROR(IF(G30&gt;=VALUE(LEFT(E30,2)),"On Target","Below Target"),"")</f>
        <v/>
      </c>
      <c r="I30" s="45" t="inlineStr"/>
    </row>
    <row r="31" ht="22" customHeight="1">
      <c r="B31" s="4" t="n">
        <v>4</v>
      </c>
      <c r="C31" s="5" t="inlineStr">
        <is>
          <t>Faculty vacancy rate</t>
        </is>
      </c>
      <c r="D31" s="6" t="inlineStr">
        <is>
          <t>% unfilled</t>
        </is>
      </c>
      <c r="E31" s="6" t="inlineStr">
        <is>
          <t>≤10%</t>
        </is>
      </c>
      <c r="F31" s="6" t="inlineStr"/>
      <c r="G31" s="6" t="inlineStr"/>
      <c r="H31" s="6">
        <f>IFERROR(IF(G31&gt;=VALUE(LEFT(E31,2)),"On Target","Below Target"),"")</f>
        <v/>
      </c>
      <c r="I31" s="5" t="inlineStr"/>
    </row>
    <row r="32" ht="22" customHeight="1">
      <c r="B32" s="58" t="n">
        <v>5</v>
      </c>
      <c r="C32" s="45" t="inlineStr">
        <is>
          <t>Faculty publications / faculty</t>
        </is>
      </c>
      <c r="D32" s="44" t="inlineStr">
        <is>
          <t>No. per faculty</t>
        </is>
      </c>
      <c r="E32" s="44" t="inlineStr">
        <is>
          <t>≥0.5</t>
        </is>
      </c>
      <c r="F32" s="44" t="inlineStr"/>
      <c r="G32" s="44" t="inlineStr"/>
      <c r="H32" s="44">
        <f>IFERROR(IF(G32&gt;=VALUE(LEFT(E32,2)),"On Target","Below Target"),"")</f>
        <v/>
      </c>
      <c r="I32" s="45" t="inlineStr"/>
    </row>
    <row r="33" ht="22" customHeight="1">
      <c r="B33" s="4" t="n">
        <v>6</v>
      </c>
      <c r="C33" s="5" t="inlineStr">
        <is>
          <t>Faculty appraisal completion (%)</t>
        </is>
      </c>
      <c r="D33" s="6" t="inlineStr">
        <is>
          <t>% submitted</t>
        </is>
      </c>
      <c r="E33" s="6" t="inlineStr">
        <is>
          <t>100%</t>
        </is>
      </c>
      <c r="F33" s="6" t="inlineStr"/>
      <c r="G33" s="6" t="inlineStr"/>
      <c r="H33" s="6">
        <f>IFERROR(IF(G33&gt;=VALUE(LEFT(E33,2)),"On Target","Below Target"),"")</f>
        <v/>
      </c>
      <c r="I33" s="5" t="inlineStr"/>
    </row>
    <row r="34" ht="22" customHeight="1"/>
    <row r="35" ht="24" customHeight="1">
      <c r="B35" s="20" t="inlineStr">
        <is>
          <t>FINANCIAL KPIs</t>
        </is>
      </c>
    </row>
    <row r="36" ht="22" customHeight="1">
      <c r="B36" s="21" t="inlineStr">
        <is>
          <t>Sl.</t>
        </is>
      </c>
      <c r="C36" s="21" t="inlineStr">
        <is>
          <t>Key Performance Indicator</t>
        </is>
      </c>
      <c r="D36" s="21" t="inlineStr">
        <is>
          <t>Unit / Metric</t>
        </is>
      </c>
      <c r="E36" s="21" t="inlineStr">
        <is>
          <t>Annual
Target</t>
        </is>
      </c>
      <c r="F36" s="21" t="inlineStr">
        <is>
          <t>Prev. Year
Actual</t>
        </is>
      </c>
      <c r="G36" s="21" t="inlineStr">
        <is>
          <t>Q-to-Date
Actual</t>
        </is>
      </c>
      <c r="H36" s="21" t="inlineStr">
        <is>
          <t>Status</t>
        </is>
      </c>
      <c r="I36" s="21" t="inlineStr">
        <is>
          <t>Remarks</t>
        </is>
      </c>
    </row>
    <row r="37" ht="22" customHeight="1">
      <c r="B37" s="54" t="n">
        <v>1</v>
      </c>
      <c r="C37" s="46" t="inlineStr">
        <is>
          <t>Fee collection efficiency (%)</t>
        </is>
      </c>
      <c r="D37" s="22" t="inlineStr">
        <is>
          <t>% collected</t>
        </is>
      </c>
      <c r="E37" s="22" t="inlineStr">
        <is>
          <t>≥95%</t>
        </is>
      </c>
      <c r="F37" s="22" t="inlineStr"/>
      <c r="G37" s="22" t="inlineStr"/>
      <c r="H37" s="22">
        <f>IFERROR(IF(G37&gt;=VALUE(LEFT(E37,2)),"On Target","Below Target"),"")</f>
        <v/>
      </c>
      <c r="I37" s="46" t="inlineStr"/>
    </row>
    <row r="38" ht="22" customHeight="1">
      <c r="B38" s="4" t="n">
        <v>2</v>
      </c>
      <c r="C38" s="5" t="inlineStr">
        <is>
          <t>Surplus / deficit ratio (%)</t>
        </is>
      </c>
      <c r="D38" s="6" t="inlineStr">
        <is>
          <t>% of income</t>
        </is>
      </c>
      <c r="E38" s="6" t="inlineStr">
        <is>
          <t>≥5%</t>
        </is>
      </c>
      <c r="F38" s="6" t="inlineStr"/>
      <c r="G38" s="6" t="inlineStr"/>
      <c r="H38" s="6">
        <f>IFERROR(IF(G38&gt;=VALUE(LEFT(E38,2)),"On Target","Below Target"),"")</f>
        <v/>
      </c>
      <c r="I38" s="5" t="inlineStr"/>
    </row>
    <row r="39" ht="22" customHeight="1">
      <c r="B39" s="54" t="n">
        <v>3</v>
      </c>
      <c r="C39" s="46" t="inlineStr">
        <is>
          <t>Research grant utilisation (%)</t>
        </is>
      </c>
      <c r="D39" s="22" t="inlineStr">
        <is>
          <t>% utilised</t>
        </is>
      </c>
      <c r="E39" s="22" t="inlineStr">
        <is>
          <t>≥80%</t>
        </is>
      </c>
      <c r="F39" s="22" t="inlineStr"/>
      <c r="G39" s="22" t="inlineStr"/>
      <c r="H39" s="22">
        <f>IFERROR(IF(G39&gt;=VALUE(LEFT(E39,2)),"On Target","Below Target"),"")</f>
        <v/>
      </c>
      <c r="I39" s="46" t="inlineStr"/>
    </row>
    <row r="40" ht="22" customHeight="1">
      <c r="B40" s="4" t="n">
        <v>4</v>
      </c>
      <c r="C40" s="5" t="inlineStr">
        <is>
          <t>Infrastructure spend (% of budget)</t>
        </is>
      </c>
      <c r="D40" s="6" t="inlineStr">
        <is>
          <t>% of total budget</t>
        </is>
      </c>
      <c r="E40" s="6" t="inlineStr">
        <is>
          <t>≥15%</t>
        </is>
      </c>
      <c r="F40" s="6" t="inlineStr"/>
      <c r="G40" s="6" t="inlineStr"/>
      <c r="H40" s="6">
        <f>IFERROR(IF(G40&gt;=VALUE(LEFT(E40,2)),"On Target","Below Target"),"")</f>
        <v/>
      </c>
      <c r="I40" s="5" t="inlineStr"/>
    </row>
    <row r="41" ht="22" customHeight="1">
      <c r="B41" s="54" t="n">
        <v>5</v>
      </c>
      <c r="C41" s="46" t="inlineStr">
        <is>
          <t>Staff cost ratio (%)</t>
        </is>
      </c>
      <c r="D41" s="22" t="inlineStr">
        <is>
          <t>% of income</t>
        </is>
      </c>
      <c r="E41" s="22" t="inlineStr">
        <is>
          <t>≤55%</t>
        </is>
      </c>
      <c r="F41" s="22" t="inlineStr"/>
      <c r="G41" s="22" t="inlineStr"/>
      <c r="H41" s="22">
        <f>IFERROR(IF(G41&gt;=VALUE(LEFT(E41,2)),"On Target","Below Target"),"")</f>
        <v/>
      </c>
      <c r="I41" s="46" t="inlineStr"/>
    </row>
    <row r="42" ht="22" customHeight="1"/>
    <row r="43" ht="24" customHeight="1">
      <c r="B43" s="47" t="inlineStr">
        <is>
          <t>QUALITY &amp; ACCREDITATION KPIs</t>
        </is>
      </c>
    </row>
    <row r="44" ht="22" customHeight="1">
      <c r="B44" s="59" t="inlineStr">
        <is>
          <t>Sl.</t>
        </is>
      </c>
      <c r="C44" s="59" t="inlineStr">
        <is>
          <t>Key Performance Indicator</t>
        </is>
      </c>
      <c r="D44" s="59" t="inlineStr">
        <is>
          <t>Unit / Metric</t>
        </is>
      </c>
      <c r="E44" s="59" t="inlineStr">
        <is>
          <t>Annual
Target</t>
        </is>
      </c>
      <c r="F44" s="59" t="inlineStr">
        <is>
          <t>Prev. Year
Actual</t>
        </is>
      </c>
      <c r="G44" s="59" t="inlineStr">
        <is>
          <t>Q-to-Date
Actual</t>
        </is>
      </c>
      <c r="H44" s="59" t="inlineStr">
        <is>
          <t>Status</t>
        </is>
      </c>
      <c r="I44" s="59" t="inlineStr">
        <is>
          <t>Remarks</t>
        </is>
      </c>
    </row>
    <row r="45" ht="22" customHeight="1">
      <c r="B45" s="60" t="n">
        <v>1</v>
      </c>
      <c r="C45" s="49" t="inlineStr">
        <is>
          <t>NAAC grade / score</t>
        </is>
      </c>
      <c r="D45" s="48" t="inlineStr">
        <is>
          <t>Grade / CGPa</t>
        </is>
      </c>
      <c r="E45" s="48" t="inlineStr">
        <is>
          <t>A or A+</t>
        </is>
      </c>
      <c r="F45" s="48" t="inlineStr"/>
      <c r="G45" s="48" t="inlineStr"/>
      <c r="H45" s="48">
        <f>IFERROR(IF(G45&gt;=VALUE(LEFT(E45,2)),"On Target","Below Target"),"")</f>
        <v/>
      </c>
      <c r="I45" s="49" t="inlineStr"/>
    </row>
    <row r="46" ht="22" customHeight="1">
      <c r="B46" s="4" t="n">
        <v>2</v>
      </c>
      <c r="C46" s="5" t="inlineStr">
        <is>
          <t>NBA accredited programmes</t>
        </is>
      </c>
      <c r="D46" s="6" t="inlineStr">
        <is>
          <t>No. accredited</t>
        </is>
      </c>
      <c r="E46" s="6" t="inlineStr">
        <is>
          <t>≥4</t>
        </is>
      </c>
      <c r="F46" s="6" t="inlineStr"/>
      <c r="G46" s="6" t="inlineStr"/>
      <c r="H46" s="6">
        <f>IFERROR(IF(G46&gt;=VALUE(LEFT(E46,2)),"On Target","Below Target"),"")</f>
        <v/>
      </c>
      <c r="I46" s="5" t="inlineStr"/>
    </row>
    <row r="47" ht="22" customHeight="1">
      <c r="B47" s="60" t="n">
        <v>3</v>
      </c>
      <c r="C47" s="49" t="inlineStr">
        <is>
          <t>NIRF rank (Engineering)</t>
        </is>
      </c>
      <c r="D47" s="48" t="inlineStr">
        <is>
          <t>National rank</t>
        </is>
      </c>
      <c r="E47" s="48" t="inlineStr">
        <is>
          <t>≤100</t>
        </is>
      </c>
      <c r="F47" s="48" t="inlineStr"/>
      <c r="G47" s="48" t="inlineStr"/>
      <c r="H47" s="48">
        <f>IFERROR(IF(G47&gt;=VALUE(LEFT(E47,2)),"On Target","Below Target"),"")</f>
        <v/>
      </c>
      <c r="I47" s="49" t="inlineStr"/>
    </row>
    <row r="48" ht="22" customHeight="1">
      <c r="B48" s="4" t="n">
        <v>4</v>
      </c>
      <c r="C48" s="5" t="inlineStr">
        <is>
          <t>IQAC AQAR submitted on time</t>
        </is>
      </c>
      <c r="D48" s="6" t="inlineStr">
        <is>
          <t>Y/N</t>
        </is>
      </c>
      <c r="E48" s="6" t="inlineStr">
        <is>
          <t>Yes by Jul 31</t>
        </is>
      </c>
      <c r="F48" s="6" t="inlineStr"/>
      <c r="G48" s="6" t="inlineStr"/>
      <c r="H48" s="6">
        <f>IFERROR(IF(G48&gt;=VALUE(LEFT(E48,2)),"On Target","Below Target"),"")</f>
        <v/>
      </c>
      <c r="I48" s="5" t="inlineStr"/>
    </row>
    <row r="49" ht="22" customHeight="1">
      <c r="B49" s="60" t="n">
        <v>5</v>
      </c>
      <c r="C49" s="49" t="inlineStr">
        <is>
          <t>Internal audit compliance rate (%)</t>
        </is>
      </c>
      <c r="D49" s="48" t="inlineStr">
        <is>
          <t>% complied</t>
        </is>
      </c>
      <c r="E49" s="48" t="inlineStr">
        <is>
          <t>≥90%</t>
        </is>
      </c>
      <c r="F49" s="48" t="inlineStr"/>
      <c r="G49" s="48" t="inlineStr"/>
      <c r="H49" s="48">
        <f>IFERROR(IF(G49&gt;=VALUE(LEFT(E49,2)),"On Target","Below Target"),"")</f>
        <v/>
      </c>
      <c r="I49" s="49" t="inlineStr"/>
    </row>
    <row r="50" ht="22" customHeight="1">
      <c r="B50" s="4" t="n">
        <v>6</v>
      </c>
      <c r="C50" s="5" t="inlineStr">
        <is>
          <t>Student grievance resolution rate (%)</t>
        </is>
      </c>
      <c r="D50" s="6" t="inlineStr">
        <is>
          <t>% resolved</t>
        </is>
      </c>
      <c r="E50" s="6" t="inlineStr">
        <is>
          <t>≥95%</t>
        </is>
      </c>
      <c r="F50" s="6" t="inlineStr"/>
      <c r="G50" s="6" t="inlineStr"/>
      <c r="H50" s="6">
        <f>IFERROR(IF(G50&gt;=VALUE(LEFT(E50,2)),"On Target","Below Target"),"")</f>
        <v/>
      </c>
      <c r="I50" s="5" t="inlineStr"/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</sheetData>
  <mergeCells count="7">
    <mergeCell ref="B15:I15"/>
    <mergeCell ref="B2:I2"/>
    <mergeCell ref="B3:I3"/>
    <mergeCell ref="B43:I43"/>
    <mergeCell ref="B35:I35"/>
    <mergeCell ref="B4:I4"/>
    <mergeCell ref="B26:I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1" t="inlineStr">
        <is>
          <t>PM-10: ACADEMIC PERFORMANCE MONITORING REGISTER</t>
        </is>
      </c>
    </row>
    <row r="3" ht="25" customHeight="1">
      <c r="B3" s="2" t="inlineStr">
        <is>
          <t>Semester: _______  A.Y.: _______  Reviewed in PMB Meeting No.: _______  Date: _______</t>
        </is>
      </c>
    </row>
    <row r="4" ht="24" customHeight="1">
      <c r="B4" s="38" t="inlineStr">
        <is>
          <t>PART A — SEMESTER RESULT ANALYSIS — DEPARTMENT-WISE</t>
        </is>
      </c>
    </row>
    <row r="5" ht="22" customHeight="1">
      <c r="B5" s="12" t="inlineStr">
        <is>
          <t>Department</t>
        </is>
      </c>
      <c r="C5" s="12" t="inlineStr">
        <is>
          <t>Students
Appeared</t>
        </is>
      </c>
      <c r="D5" s="12" t="inlineStr">
        <is>
          <t>Students
Passed</t>
        </is>
      </c>
      <c r="E5" s="12" t="inlineStr">
        <is>
          <t>Pass %</t>
        </is>
      </c>
      <c r="F5" s="12" t="inlineStr">
        <is>
          <t>First Class
&amp; Above (%)</t>
        </is>
      </c>
      <c r="G5" s="12" t="inlineStr">
        <is>
          <t>Distinctions
(%)</t>
        </is>
      </c>
      <c r="H5" s="12" t="inlineStr">
        <is>
          <t>CO Attainment
(Avg Level)</t>
        </is>
      </c>
      <c r="I5" s="12" t="inlineStr">
        <is>
          <t>SSS Score
(/5)</t>
        </is>
      </c>
      <c r="J5" s="12" t="inlineStr">
        <is>
          <t>PMB Target
(Pass %)</t>
        </is>
      </c>
      <c r="K5" s="12" t="inlineStr">
        <is>
          <t>Status</t>
        </is>
      </c>
    </row>
    <row r="6" ht="22" customHeight="1">
      <c r="B6" s="15" t="inlineStr">
        <is>
          <t>CSE</t>
        </is>
      </c>
      <c r="C6" s="15" t="inlineStr"/>
      <c r="D6" s="15" t="inlineStr"/>
      <c r="E6" s="15">
        <f>IFERROR(ROUND(D6/C6*100,1),"")</f>
        <v/>
      </c>
      <c r="F6" s="15" t="inlineStr"/>
      <c r="G6" s="15" t="inlineStr"/>
      <c r="H6" s="15" t="inlineStr"/>
      <c r="I6" s="15" t="inlineStr"/>
      <c r="J6" s="15" t="n">
        <v>75</v>
      </c>
      <c r="K6" s="15">
        <f>IFERROR(IF(E6&gt;=J6,"✓ Met","✗ Below"),"")</f>
        <v/>
      </c>
    </row>
    <row r="7" ht="22" customHeight="1">
      <c r="B7" s="6" t="inlineStr">
        <is>
          <t>ECE</t>
        </is>
      </c>
      <c r="C7" s="6" t="inlineStr"/>
      <c r="D7" s="6" t="inlineStr"/>
      <c r="E7" s="6">
        <f>IFERROR(ROUND(D7/C7*100,1),"")</f>
        <v/>
      </c>
      <c r="F7" s="6" t="inlineStr"/>
      <c r="G7" s="6" t="inlineStr"/>
      <c r="H7" s="6" t="inlineStr"/>
      <c r="I7" s="6" t="inlineStr"/>
      <c r="J7" s="6" t="n">
        <v>75</v>
      </c>
      <c r="K7" s="6">
        <f>IFERROR(IF(E7&gt;=J7,"✓ Met","✗ Below"),"")</f>
        <v/>
      </c>
    </row>
    <row r="8" ht="22" customHeight="1">
      <c r="B8" s="15" t="inlineStr">
        <is>
          <t>EEE</t>
        </is>
      </c>
      <c r="C8" s="15" t="inlineStr"/>
      <c r="D8" s="15" t="inlineStr"/>
      <c r="E8" s="15">
        <f>IFERROR(ROUND(D8/C8*100,1),"")</f>
        <v/>
      </c>
      <c r="F8" s="15" t="inlineStr"/>
      <c r="G8" s="15" t="inlineStr"/>
      <c r="H8" s="15" t="inlineStr"/>
      <c r="I8" s="15" t="inlineStr"/>
      <c r="J8" s="15" t="n">
        <v>75</v>
      </c>
      <c r="K8" s="15">
        <f>IFERROR(IF(E8&gt;=J8,"✓ Met","✗ Below"),"")</f>
        <v/>
      </c>
    </row>
    <row r="9" ht="22" customHeight="1">
      <c r="B9" s="6" t="inlineStr">
        <is>
          <t>MECH</t>
        </is>
      </c>
      <c r="C9" s="6" t="inlineStr"/>
      <c r="D9" s="6" t="inlineStr"/>
      <c r="E9" s="6">
        <f>IFERROR(ROUND(D9/C9*100,1),"")</f>
        <v/>
      </c>
      <c r="F9" s="6" t="inlineStr"/>
      <c r="G9" s="6" t="inlineStr"/>
      <c r="H9" s="6" t="inlineStr"/>
      <c r="I9" s="6" t="inlineStr"/>
      <c r="J9" s="6" t="n">
        <v>75</v>
      </c>
      <c r="K9" s="6">
        <f>IFERROR(IF(E9&gt;=J9,"✓ Met","✗ Below"),"")</f>
        <v/>
      </c>
    </row>
    <row r="10" ht="22" customHeight="1">
      <c r="B10" s="15" t="inlineStr">
        <is>
          <t>CIVIL</t>
        </is>
      </c>
      <c r="C10" s="15" t="inlineStr"/>
      <c r="D10" s="15" t="inlineStr"/>
      <c r="E10" s="15">
        <f>IFERROR(ROUND(D10/C10*100,1),"")</f>
        <v/>
      </c>
      <c r="F10" s="15" t="inlineStr"/>
      <c r="G10" s="15" t="inlineStr"/>
      <c r="H10" s="15" t="inlineStr"/>
      <c r="I10" s="15" t="inlineStr"/>
      <c r="J10" s="15" t="n">
        <v>75</v>
      </c>
      <c r="K10" s="15">
        <f>IFERROR(IF(E10&gt;=J10,"✓ Met","✗ Below"),"")</f>
        <v/>
      </c>
    </row>
    <row r="11" ht="22" customHeight="1">
      <c r="B11" s="6" t="inlineStr">
        <is>
          <t>S&amp;H</t>
        </is>
      </c>
      <c r="C11" s="6" t="inlineStr"/>
      <c r="D11" s="6" t="inlineStr"/>
      <c r="E11" s="6">
        <f>IFERROR(ROUND(D11/C11*100,1),"")</f>
        <v/>
      </c>
      <c r="F11" s="6" t="inlineStr"/>
      <c r="G11" s="6" t="inlineStr"/>
      <c r="H11" s="6" t="inlineStr"/>
      <c r="I11" s="6" t="inlineStr"/>
      <c r="J11" s="6" t="n">
        <v>75</v>
      </c>
      <c r="K11" s="6">
        <f>IFERROR(IF(E11&gt;=J11,"✓ Met","✗ Below"),"")</f>
        <v/>
      </c>
    </row>
    <row r="12" ht="22" customHeight="1">
      <c r="B12" s="15" t="inlineStr">
        <is>
          <t>MBA</t>
        </is>
      </c>
      <c r="C12" s="15" t="inlineStr"/>
      <c r="D12" s="15" t="inlineStr"/>
      <c r="E12" s="15">
        <f>IFERROR(ROUND(D12/C12*100,1),"")</f>
        <v/>
      </c>
      <c r="F12" s="15" t="inlineStr"/>
      <c r="G12" s="15" t="inlineStr"/>
      <c r="H12" s="15" t="inlineStr"/>
      <c r="I12" s="15" t="inlineStr"/>
      <c r="J12" s="15" t="n">
        <v>75</v>
      </c>
      <c r="K12" s="15">
        <f>IFERROR(IF(E12&gt;=J12,"✓ Met","✗ Below"),"")</f>
        <v/>
      </c>
    </row>
    <row r="13" ht="22" customHeight="1">
      <c r="B13" s="6" t="inlineStr">
        <is>
          <t>MCA</t>
        </is>
      </c>
      <c r="C13" s="6" t="inlineStr"/>
      <c r="D13" s="6" t="inlineStr"/>
      <c r="E13" s="6">
        <f>IFERROR(ROUND(D13/C13*100,1),"")</f>
        <v/>
      </c>
      <c r="F13" s="6" t="inlineStr"/>
      <c r="G13" s="6" t="inlineStr"/>
      <c r="H13" s="6" t="inlineStr"/>
      <c r="I13" s="6" t="inlineStr"/>
      <c r="J13" s="6" t="n">
        <v>75</v>
      </c>
      <c r="K13" s="6">
        <f>IFERROR(IF(E13&gt;=J13,"✓ Met","✗ Below"),"")</f>
        <v/>
      </c>
    </row>
    <row r="14" ht="22" customHeight="1">
      <c r="B14" s="61" t="inlineStr">
        <is>
          <t>INSTITUTION</t>
        </is>
      </c>
      <c r="C14" s="61" t="inlineStr"/>
      <c r="D14" s="61" t="inlineStr"/>
      <c r="E14" s="61">
        <f>IFERROR(ROUND(D14/C14*100,1),"")</f>
        <v/>
      </c>
      <c r="F14" s="61" t="inlineStr"/>
      <c r="G14" s="61" t="inlineStr"/>
      <c r="H14" s="61" t="inlineStr"/>
      <c r="I14" s="61" t="inlineStr"/>
      <c r="J14" s="61" t="n">
        <v>75</v>
      </c>
      <c r="K14" s="61">
        <f>IFERROR(IF(E14&gt;=J14,"✓ Met","✗ Below"),"")</f>
        <v/>
      </c>
    </row>
    <row r="15" ht="22" customHeight="1"/>
    <row r="16" ht="24" customHeight="1">
      <c r="B16" s="34" t="inlineStr">
        <is>
          <t>PART B — YEAR-ON-YEAR ACADEMIC TREND</t>
        </is>
      </c>
    </row>
    <row r="17" ht="22" customHeight="1">
      <c r="B17" s="30" t="inlineStr">
        <is>
          <t>Metric</t>
        </is>
      </c>
      <c r="C17" s="30" t="inlineStr">
        <is>
          <t>3 Years Ago</t>
        </is>
      </c>
      <c r="D17" s="30" t="inlineStr">
        <is>
          <t>2 Years Ago</t>
        </is>
      </c>
      <c r="E17" s="30" t="inlineStr">
        <is>
          <t>Previous Year</t>
        </is>
      </c>
      <c r="F17" s="30" t="inlineStr">
        <is>
          <t>Current Year</t>
        </is>
      </c>
      <c r="G17" s="30" t="inlineStr">
        <is>
          <t>Trend
(↑/↓/→)</t>
        </is>
      </c>
      <c r="H17" s="30" t="inlineStr">
        <is>
          <t>Target Next Year</t>
        </is>
      </c>
      <c r="I17" s="30" t="inlineStr"/>
      <c r="J17" s="30" t="inlineStr"/>
      <c r="K17" s="30" t="inlineStr"/>
    </row>
    <row r="18" ht="22" customHeight="1">
      <c r="B18" s="35" t="inlineStr">
        <is>
          <t>Overall Pass %</t>
        </is>
      </c>
      <c r="C18" s="33" t="inlineStr"/>
      <c r="D18" s="33" t="inlineStr"/>
      <c r="E18" s="33" t="inlineStr"/>
      <c r="F18" s="33" t="inlineStr"/>
      <c r="G18" s="33" t="inlineStr">
        <is>
          <t>→</t>
        </is>
      </c>
      <c r="H18" s="33" t="inlineStr"/>
      <c r="I18" s="62" t="n"/>
      <c r="J18" s="62" t="n"/>
      <c r="K18" s="62" t="n"/>
    </row>
    <row r="19" ht="22" customHeight="1">
      <c r="B19" s="25" t="inlineStr">
        <is>
          <t>First Class %</t>
        </is>
      </c>
      <c r="C19" s="6" t="inlineStr"/>
      <c r="D19" s="6" t="inlineStr"/>
      <c r="E19" s="6" t="inlineStr"/>
      <c r="F19" s="6" t="inlineStr"/>
      <c r="G19" s="6" t="inlineStr">
        <is>
          <t>→</t>
        </is>
      </c>
      <c r="H19" s="6" t="inlineStr"/>
      <c r="I19" s="63" t="n"/>
      <c r="J19" s="63" t="n"/>
      <c r="K19" s="63" t="n"/>
    </row>
    <row r="20" ht="22" customHeight="1">
      <c r="B20" s="35" t="inlineStr">
        <is>
          <t>Dropout Rate %</t>
        </is>
      </c>
      <c r="C20" s="33" t="inlineStr"/>
      <c r="D20" s="33" t="inlineStr"/>
      <c r="E20" s="33" t="inlineStr"/>
      <c r="F20" s="33" t="inlineStr"/>
      <c r="G20" s="33" t="inlineStr">
        <is>
          <t>→</t>
        </is>
      </c>
      <c r="H20" s="33" t="inlineStr"/>
      <c r="I20" s="62" t="n"/>
      <c r="J20" s="62" t="n"/>
      <c r="K20" s="62" t="n"/>
    </row>
    <row r="21" ht="22" customHeight="1">
      <c r="B21" s="25" t="inlineStr">
        <is>
          <t>Placement Rate %</t>
        </is>
      </c>
      <c r="C21" s="6" t="inlineStr"/>
      <c r="D21" s="6" t="inlineStr"/>
      <c r="E21" s="6" t="inlineStr"/>
      <c r="F21" s="6" t="inlineStr"/>
      <c r="G21" s="6" t="inlineStr">
        <is>
          <t>→</t>
        </is>
      </c>
      <c r="H21" s="6" t="inlineStr"/>
      <c r="I21" s="63" t="n"/>
      <c r="J21" s="63" t="n"/>
      <c r="K21" s="63" t="n"/>
    </row>
    <row r="22" ht="22" customHeight="1">
      <c r="B22" s="35" t="inlineStr">
        <is>
          <t>CO Attainment Level</t>
        </is>
      </c>
      <c r="C22" s="33" t="inlineStr"/>
      <c r="D22" s="33" t="inlineStr"/>
      <c r="E22" s="33" t="inlineStr"/>
      <c r="F22" s="33" t="inlineStr"/>
      <c r="G22" s="33" t="inlineStr">
        <is>
          <t>→</t>
        </is>
      </c>
      <c r="H22" s="33" t="inlineStr"/>
      <c r="I22" s="62" t="n"/>
      <c r="J22" s="62" t="n"/>
      <c r="K22" s="62" t="n"/>
    </row>
    <row r="23" ht="22" customHeight="1">
      <c r="B23" s="25" t="inlineStr">
        <is>
          <t>Student Satisfaction</t>
        </is>
      </c>
      <c r="C23" s="6" t="inlineStr"/>
      <c r="D23" s="6" t="inlineStr"/>
      <c r="E23" s="6" t="inlineStr"/>
      <c r="F23" s="6" t="inlineStr"/>
      <c r="G23" s="6" t="inlineStr">
        <is>
          <t>→</t>
        </is>
      </c>
      <c r="H23" s="6" t="inlineStr"/>
      <c r="I23" s="63" t="n"/>
      <c r="J23" s="63" t="n"/>
      <c r="K23" s="63" t="n"/>
    </row>
    <row r="24" ht="22" customHeight="1">
      <c r="B24" s="35" t="inlineStr">
        <is>
          <t>Publications / Faculty</t>
        </is>
      </c>
      <c r="C24" s="33" t="inlineStr"/>
      <c r="D24" s="33" t="inlineStr"/>
      <c r="E24" s="33" t="inlineStr"/>
      <c r="F24" s="33" t="inlineStr"/>
      <c r="G24" s="33" t="inlineStr">
        <is>
          <t>→</t>
        </is>
      </c>
      <c r="H24" s="33" t="inlineStr"/>
      <c r="I24" s="62" t="n"/>
      <c r="J24" s="62" t="n"/>
      <c r="K24" s="62" t="n"/>
    </row>
    <row r="25" ht="22" customHeight="1">
      <c r="B25" s="25" t="inlineStr">
        <is>
          <t>FDP Participation %</t>
        </is>
      </c>
      <c r="C25" s="6" t="inlineStr"/>
      <c r="D25" s="6" t="inlineStr"/>
      <c r="E25" s="6" t="inlineStr"/>
      <c r="F25" s="6" t="inlineStr"/>
      <c r="G25" s="6" t="inlineStr">
        <is>
          <t>→</t>
        </is>
      </c>
      <c r="H25" s="6" t="inlineStr"/>
      <c r="I25" s="63" t="n"/>
      <c r="J25" s="63" t="n"/>
      <c r="K25" s="63" t="n"/>
    </row>
    <row r="26" ht="22" customHeight="1"/>
    <row r="27" ht="24" customHeight="1">
      <c r="B27" s="28" t="inlineStr">
        <is>
          <t>PMB OBSERVATIONS &amp; CORRECTIVE DIRECTIONS</t>
        </is>
      </c>
    </row>
    <row r="28" ht="22" customHeight="1">
      <c r="B28" s="12" t="inlineStr">
        <is>
          <t>Observation No.</t>
        </is>
      </c>
      <c r="C28" s="12" t="inlineStr">
        <is>
          <t>PMB Observation</t>
        </is>
      </c>
      <c r="D28" s="12" t="inlineStr">
        <is>
          <t>Department / Area</t>
        </is>
      </c>
      <c r="E28" s="12" t="inlineStr">
        <is>
          <t>Priority
(H/M/L)</t>
        </is>
      </c>
      <c r="F28" s="12" t="inlineStr">
        <is>
          <t>Directed to</t>
        </is>
      </c>
      <c r="G28" s="12" t="inlineStr">
        <is>
          <t>Action Expected</t>
        </is>
      </c>
      <c r="H28" s="12" t="inlineStr">
        <is>
          <t>Timeline</t>
        </is>
      </c>
      <c r="I28" s="12" t="inlineStr"/>
      <c r="J28" s="12" t="inlineStr"/>
      <c r="K28" s="12" t="inlineStr"/>
    </row>
    <row r="29" ht="22" customHeight="1">
      <c r="B29" s="13" t="n">
        <v>1</v>
      </c>
      <c r="C29" s="14" t="inlineStr"/>
      <c r="D29" s="15" t="inlineStr"/>
      <c r="E29" s="15" t="inlineStr">
        <is>
          <t>M</t>
        </is>
      </c>
      <c r="F29" s="15" t="inlineStr"/>
      <c r="G29" s="14" t="inlineStr"/>
      <c r="H29" s="15" t="inlineStr"/>
      <c r="I29" s="64" t="n"/>
      <c r="J29" s="64" t="n"/>
      <c r="K29" s="64" t="n"/>
    </row>
    <row r="30" ht="22" customHeight="1">
      <c r="B30" s="4" t="n">
        <v>2</v>
      </c>
      <c r="C30" s="5" t="inlineStr"/>
      <c r="D30" s="6" t="inlineStr"/>
      <c r="E30" s="6" t="inlineStr">
        <is>
          <t>M</t>
        </is>
      </c>
      <c r="F30" s="6" t="inlineStr"/>
      <c r="G30" s="5" t="inlineStr"/>
      <c r="H30" s="6" t="inlineStr"/>
      <c r="I30" s="63" t="n"/>
      <c r="J30" s="63" t="n"/>
      <c r="K30" s="63" t="n"/>
    </row>
    <row r="31" ht="22" customHeight="1">
      <c r="B31" s="13" t="n">
        <v>3</v>
      </c>
      <c r="C31" s="14" t="inlineStr"/>
      <c r="D31" s="15" t="inlineStr"/>
      <c r="E31" s="15" t="inlineStr">
        <is>
          <t>M</t>
        </is>
      </c>
      <c r="F31" s="15" t="inlineStr"/>
      <c r="G31" s="14" t="inlineStr"/>
      <c r="H31" s="15" t="inlineStr"/>
      <c r="I31" s="64" t="n"/>
      <c r="J31" s="64" t="n"/>
      <c r="K31" s="64" t="n"/>
    </row>
    <row r="32" ht="22" customHeight="1">
      <c r="B32" s="4" t="n">
        <v>4</v>
      </c>
      <c r="C32" s="5" t="inlineStr"/>
      <c r="D32" s="6" t="inlineStr"/>
      <c r="E32" s="6" t="inlineStr">
        <is>
          <t>M</t>
        </is>
      </c>
      <c r="F32" s="6" t="inlineStr"/>
      <c r="G32" s="5" t="inlineStr"/>
      <c r="H32" s="6" t="inlineStr"/>
      <c r="I32" s="63" t="n"/>
      <c r="J32" s="63" t="n"/>
      <c r="K32" s="63" t="n"/>
    </row>
    <row r="33" ht="22" customHeight="1">
      <c r="B33" s="13" t="n">
        <v>5</v>
      </c>
      <c r="C33" s="14" t="inlineStr"/>
      <c r="D33" s="15" t="inlineStr"/>
      <c r="E33" s="15" t="inlineStr">
        <is>
          <t>M</t>
        </is>
      </c>
      <c r="F33" s="15" t="inlineStr"/>
      <c r="G33" s="14" t="inlineStr"/>
      <c r="H33" s="15" t="inlineStr"/>
      <c r="I33" s="64" t="n"/>
      <c r="J33" s="64" t="n"/>
      <c r="K33" s="64" t="n"/>
    </row>
    <row r="34" ht="22" customHeight="1">
      <c r="B34" s="4" t="n">
        <v>6</v>
      </c>
      <c r="C34" s="5" t="inlineStr"/>
      <c r="D34" s="6" t="inlineStr"/>
      <c r="E34" s="6" t="inlineStr">
        <is>
          <t>M</t>
        </is>
      </c>
      <c r="F34" s="6" t="inlineStr"/>
      <c r="G34" s="5" t="inlineStr"/>
      <c r="H34" s="6" t="inlineStr"/>
      <c r="I34" s="63" t="n"/>
      <c r="J34" s="63" t="n"/>
      <c r="K34" s="63" t="n"/>
    </row>
    <row r="35" ht="22" customHeight="1">
      <c r="B35" s="13" t="n">
        <v>7</v>
      </c>
      <c r="C35" s="14" t="inlineStr"/>
      <c r="D35" s="15" t="inlineStr"/>
      <c r="E35" s="15" t="inlineStr">
        <is>
          <t>M</t>
        </is>
      </c>
      <c r="F35" s="15" t="inlineStr"/>
      <c r="G35" s="14" t="inlineStr"/>
      <c r="H35" s="15" t="inlineStr"/>
      <c r="I35" s="64" t="n"/>
      <c r="J35" s="64" t="n"/>
      <c r="K35" s="64" t="n"/>
    </row>
    <row r="36" ht="22" customHeight="1">
      <c r="B36" s="4" t="n">
        <v>8</v>
      </c>
      <c r="C36" s="5" t="inlineStr"/>
      <c r="D36" s="6" t="inlineStr"/>
      <c r="E36" s="6" t="inlineStr">
        <is>
          <t>M</t>
        </is>
      </c>
      <c r="F36" s="6" t="inlineStr"/>
      <c r="G36" s="5" t="inlineStr"/>
      <c r="H36" s="6" t="inlineStr"/>
      <c r="I36" s="63" t="n"/>
      <c r="J36" s="63" t="n"/>
      <c r="K36" s="63" t="n"/>
    </row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5">
    <mergeCell ref="B4:K4"/>
    <mergeCell ref="B27:K27"/>
    <mergeCell ref="B2:K2"/>
    <mergeCell ref="B16:K16"/>
    <mergeCell ref="B3:K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0" customHeight="1"/>
    <row r="2" ht="48" customHeight="1">
      <c r="B2" s="11" t="inlineStr">
        <is>
          <t>PM-11: RESEARCH &amp; INNOVATION MONITORING FORM</t>
        </is>
      </c>
    </row>
    <row r="3" ht="25" customHeight="1">
      <c r="B3" s="2" t="inlineStr">
        <is>
          <t>A.Y.: _______  Reviewed in PMB Meeting No.: _______  Dean R&amp;D: ___________________  Date: _______</t>
        </is>
      </c>
    </row>
    <row r="4" ht="24" customHeight="1">
      <c r="B4" s="34" t="inlineStr">
        <is>
          <t>PART A — PUBLICATIONS MONITORING</t>
        </is>
      </c>
    </row>
    <row r="5" ht="22" customHeight="1">
      <c r="B5" s="30" t="inlineStr">
        <is>
          <t>Department</t>
        </is>
      </c>
      <c r="C5" s="30" t="inlineStr">
        <is>
          <t>Total
Publications</t>
        </is>
      </c>
      <c r="D5" s="30" t="inlineStr">
        <is>
          <t>SCI
Indexed</t>
        </is>
      </c>
      <c r="E5" s="30" t="inlineStr">
        <is>
          <t>Scopus
Indexed</t>
        </is>
      </c>
      <c r="F5" s="30" t="inlineStr">
        <is>
          <t>UGC-Listed</t>
        </is>
      </c>
      <c r="G5" s="30" t="inlineStr">
        <is>
          <t>Conf.
Papers</t>
        </is>
      </c>
      <c r="H5" s="30" t="inlineStr">
        <is>
          <t>Books /
Chapters</t>
        </is>
      </c>
      <c r="I5" s="30" t="inlineStr">
        <is>
          <t>PMB
Target</t>
        </is>
      </c>
      <c r="J5" s="30" t="inlineStr">
        <is>
          <t>Status</t>
        </is>
      </c>
    </row>
    <row r="6" ht="22" customHeight="1">
      <c r="B6" s="33" t="inlineStr">
        <is>
          <t>CSE</t>
        </is>
      </c>
      <c r="C6" s="33" t="inlineStr"/>
      <c r="D6" s="33" t="inlineStr"/>
      <c r="E6" s="33" t="inlineStr"/>
      <c r="F6" s="33" t="inlineStr"/>
      <c r="G6" s="33" t="inlineStr"/>
      <c r="H6" s="33" t="inlineStr"/>
      <c r="I6" s="33" t="inlineStr"/>
      <c r="J6" s="33">
        <f>IFERROR(IF(C6&gt;=I6,"✓","✗"),"")</f>
        <v/>
      </c>
    </row>
    <row r="7" ht="22" customHeight="1">
      <c r="B7" s="6" t="inlineStr">
        <is>
          <t>ECE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>
        <f>IFERROR(IF(C7&gt;=I7,"✓","✗"),"")</f>
        <v/>
      </c>
    </row>
    <row r="8" ht="22" customHeight="1">
      <c r="B8" s="33" t="inlineStr">
        <is>
          <t>EEE</t>
        </is>
      </c>
      <c r="C8" s="33" t="inlineStr"/>
      <c r="D8" s="33" t="inlineStr"/>
      <c r="E8" s="33" t="inlineStr"/>
      <c r="F8" s="33" t="inlineStr"/>
      <c r="G8" s="33" t="inlineStr"/>
      <c r="H8" s="33" t="inlineStr"/>
      <c r="I8" s="33" t="inlineStr"/>
      <c r="J8" s="33">
        <f>IFERROR(IF(C8&gt;=I8,"✓","✗"),"")</f>
        <v/>
      </c>
    </row>
    <row r="9" ht="22" customHeight="1">
      <c r="B9" s="6" t="inlineStr">
        <is>
          <t>MECH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>
        <f>IFERROR(IF(C9&gt;=I9,"✓","✗"),"")</f>
        <v/>
      </c>
    </row>
    <row r="10" ht="22" customHeight="1">
      <c r="B10" s="33" t="inlineStr">
        <is>
          <t>CIVIL</t>
        </is>
      </c>
      <c r="C10" s="33" t="inlineStr"/>
      <c r="D10" s="33" t="inlineStr"/>
      <c r="E10" s="33" t="inlineStr"/>
      <c r="F10" s="33" t="inlineStr"/>
      <c r="G10" s="33" t="inlineStr"/>
      <c r="H10" s="33" t="inlineStr"/>
      <c r="I10" s="33" t="inlineStr"/>
      <c r="J10" s="33">
        <f>IFERROR(IF(C10&gt;=I10,"✓","✗"),"")</f>
        <v/>
      </c>
    </row>
    <row r="11" ht="22" customHeight="1">
      <c r="B11" s="6" t="inlineStr">
        <is>
          <t>S&amp;H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>
        <f>IFERROR(IF(C11&gt;=I11,"✓","✗"),"")</f>
        <v/>
      </c>
    </row>
    <row r="12" ht="22" customHeight="1">
      <c r="B12" s="33" t="inlineStr">
        <is>
          <t>MBA</t>
        </is>
      </c>
      <c r="C12" s="33" t="inlineStr"/>
      <c r="D12" s="33" t="inlineStr"/>
      <c r="E12" s="33" t="inlineStr"/>
      <c r="F12" s="33" t="inlineStr"/>
      <c r="G12" s="33" t="inlineStr"/>
      <c r="H12" s="33" t="inlineStr"/>
      <c r="I12" s="33" t="inlineStr"/>
      <c r="J12" s="33">
        <f>IFERROR(IF(C12&gt;=I12,"✓","✗"),"")</f>
        <v/>
      </c>
    </row>
    <row r="13" ht="22" customHeight="1">
      <c r="B13" s="6" t="inlineStr">
        <is>
          <t>MCA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>
        <f>IFERROR(IF(C13&gt;=I13,"✓","✗"),"")</f>
        <v/>
      </c>
    </row>
    <row r="14" ht="22" customHeight="1">
      <c r="B14" s="61" t="inlineStr">
        <is>
          <t>INSTITUTION</t>
        </is>
      </c>
      <c r="C14" s="61" t="inlineStr"/>
      <c r="D14" s="61" t="inlineStr"/>
      <c r="E14" s="61" t="inlineStr"/>
      <c r="F14" s="61" t="inlineStr"/>
      <c r="G14" s="61" t="inlineStr"/>
      <c r="H14" s="61" t="inlineStr"/>
      <c r="I14" s="61" t="inlineStr"/>
      <c r="J14" s="61">
        <f>IFERROR(IF(C14&gt;=I14,"✓","✗"),"")</f>
        <v/>
      </c>
    </row>
    <row r="15" ht="22" customHeight="1"/>
    <row r="16" ht="24" customHeight="1">
      <c r="B16" s="43" t="inlineStr">
        <is>
          <t>PART B — FUNDED PROJECTS &amp; GRANTS</t>
        </is>
      </c>
    </row>
    <row r="17" ht="22" customHeight="1">
      <c r="B17" s="57" t="inlineStr">
        <is>
          <t>Project Title (Brief)</t>
        </is>
      </c>
      <c r="C17" s="57" t="inlineStr">
        <is>
          <t>PI / Dept.</t>
        </is>
      </c>
      <c r="D17" s="57" t="inlineStr">
        <is>
          <t>Funding Agency</t>
        </is>
      </c>
      <c r="E17" s="57" t="inlineStr">
        <is>
          <t>Grant
(₹L)</t>
        </is>
      </c>
      <c r="F17" s="57" t="inlineStr">
        <is>
          <t>Duration</t>
        </is>
      </c>
      <c r="G17" s="57" t="inlineStr">
        <is>
          <t>Status</t>
        </is>
      </c>
      <c r="H17" s="57" t="inlineStr">
        <is>
          <t>Publications
From Project</t>
        </is>
      </c>
      <c r="I17" s="57" t="inlineStr">
        <is>
          <t>Utilisation
%</t>
        </is>
      </c>
      <c r="J17" s="57" t="inlineStr">
        <is>
          <t>PMB Note</t>
        </is>
      </c>
    </row>
    <row r="18" ht="25" customHeight="1"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</row>
    <row r="19" ht="25" customHeight="1"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25" customHeight="1"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</row>
    <row r="21" ht="25" customHeight="1"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25" customHeight="1"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</row>
    <row r="23" ht="25" customHeight="1"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25" customHeight="1"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</row>
    <row r="25" ht="25" customHeight="1"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25" customHeight="1"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</row>
    <row r="27" ht="22" customHeight="1"/>
    <row r="28" ht="24" customHeight="1">
      <c r="B28" s="20" t="inlineStr">
        <is>
          <t>PART C — PATENTS, STARTUPS &amp; INNOVATION ECOSYSTEM</t>
        </is>
      </c>
    </row>
    <row r="29" ht="22" customHeight="1">
      <c r="B29" s="21" t="inlineStr">
        <is>
          <t>Metric</t>
        </is>
      </c>
      <c r="C29" s="21" t="inlineStr">
        <is>
          <t>Target
(Annual)</t>
        </is>
      </c>
      <c r="D29" s="21" t="inlineStr">
        <is>
          <t>Q1
Actual</t>
        </is>
      </c>
      <c r="E29" s="21" t="inlineStr">
        <is>
          <t>Q2
Actual</t>
        </is>
      </c>
      <c r="F29" s="21" t="inlineStr">
        <is>
          <t>Q3
Actual</t>
        </is>
      </c>
      <c r="G29" s="21" t="inlineStr">
        <is>
          <t>Q4 /
Annual</t>
        </is>
      </c>
      <c r="H29" s="21" t="inlineStr">
        <is>
          <t>YTD
Total</t>
        </is>
      </c>
      <c r="I29" s="21" t="inlineStr">
        <is>
          <t>Achievement
%</t>
        </is>
      </c>
      <c r="J29" s="21" t="inlineStr">
        <is>
          <t>PMB Remarks</t>
        </is>
      </c>
    </row>
    <row r="30" ht="22" customHeight="1">
      <c r="B30" s="23" t="inlineStr">
        <is>
          <t>Patents Filed</t>
        </is>
      </c>
      <c r="C30" s="22" t="inlineStr"/>
      <c r="D30" s="22" t="inlineStr"/>
      <c r="E30" s="22" t="inlineStr"/>
      <c r="F30" s="22" t="inlineStr"/>
      <c r="G30" s="22" t="inlineStr"/>
      <c r="H30" s="22">
        <f>IFERROR(SUM(D30:G30),"")</f>
        <v/>
      </c>
      <c r="I30" s="22">
        <f>IFERROR(ROUND(H30/C30*100,1),"")</f>
        <v/>
      </c>
      <c r="J30" s="46" t="inlineStr"/>
    </row>
    <row r="31" ht="22" customHeight="1">
      <c r="B31" s="25" t="inlineStr">
        <is>
          <t>Patents Published</t>
        </is>
      </c>
      <c r="C31" s="6" t="inlineStr"/>
      <c r="D31" s="6" t="inlineStr"/>
      <c r="E31" s="6" t="inlineStr"/>
      <c r="F31" s="6" t="inlineStr"/>
      <c r="G31" s="6" t="inlineStr"/>
      <c r="H31" s="6">
        <f>IFERROR(SUM(D31:G31),"")</f>
        <v/>
      </c>
      <c r="I31" s="6">
        <f>IFERROR(ROUND(H31/C31*100,1),"")</f>
        <v/>
      </c>
      <c r="J31" s="5" t="inlineStr"/>
    </row>
    <row r="32" ht="22" customHeight="1">
      <c r="B32" s="23" t="inlineStr">
        <is>
          <t>Patents Granted</t>
        </is>
      </c>
      <c r="C32" s="22" t="inlineStr"/>
      <c r="D32" s="22" t="inlineStr"/>
      <c r="E32" s="22" t="inlineStr"/>
      <c r="F32" s="22" t="inlineStr"/>
      <c r="G32" s="22" t="inlineStr"/>
      <c r="H32" s="22">
        <f>IFERROR(SUM(D32:G32),"")</f>
        <v/>
      </c>
      <c r="I32" s="22">
        <f>IFERROR(ROUND(H32/C32*100,1),"")</f>
        <v/>
      </c>
      <c r="J32" s="46" t="inlineStr"/>
    </row>
    <row r="33" ht="22" customHeight="1">
      <c r="B33" s="25" t="inlineStr">
        <is>
          <t>Startups Incubated</t>
        </is>
      </c>
      <c r="C33" s="6" t="inlineStr"/>
      <c r="D33" s="6" t="inlineStr"/>
      <c r="E33" s="6" t="inlineStr"/>
      <c r="F33" s="6" t="inlineStr"/>
      <c r="G33" s="6" t="inlineStr"/>
      <c r="H33" s="6">
        <f>IFERROR(SUM(D33:G33),"")</f>
        <v/>
      </c>
      <c r="I33" s="6">
        <f>IFERROR(ROUND(H33/C33*100,1),"")</f>
        <v/>
      </c>
      <c r="J33" s="5" t="inlineStr"/>
    </row>
    <row r="34" ht="22" customHeight="1">
      <c r="B34" s="23" t="inlineStr">
        <is>
          <t>Technology Transfers</t>
        </is>
      </c>
      <c r="C34" s="22" t="inlineStr"/>
      <c r="D34" s="22" t="inlineStr"/>
      <c r="E34" s="22" t="inlineStr"/>
      <c r="F34" s="22" t="inlineStr"/>
      <c r="G34" s="22" t="inlineStr"/>
      <c r="H34" s="22">
        <f>IFERROR(SUM(D34:G34),"")</f>
        <v/>
      </c>
      <c r="I34" s="22">
        <f>IFERROR(ROUND(H34/C34*100,1),"")</f>
        <v/>
      </c>
      <c r="J34" s="46" t="inlineStr"/>
    </row>
    <row r="35" ht="22" customHeight="1">
      <c r="B35" s="25" t="inlineStr">
        <is>
          <t>Consultancy Projects</t>
        </is>
      </c>
      <c r="C35" s="6" t="inlineStr"/>
      <c r="D35" s="6" t="inlineStr"/>
      <c r="E35" s="6" t="inlineStr"/>
      <c r="F35" s="6" t="inlineStr"/>
      <c r="G35" s="6" t="inlineStr"/>
      <c r="H35" s="6">
        <f>IFERROR(SUM(D35:G35),"")</f>
        <v/>
      </c>
      <c r="I35" s="6">
        <f>IFERROR(ROUND(H35/C35*100,1),"")</f>
        <v/>
      </c>
      <c r="J35" s="5" t="inlineStr"/>
    </row>
    <row r="36" ht="22" customHeight="1">
      <c r="B36" s="23" t="inlineStr">
        <is>
          <t>Consultancy Revenue (₹L)</t>
        </is>
      </c>
      <c r="C36" s="22" t="inlineStr"/>
      <c r="D36" s="22" t="inlineStr"/>
      <c r="E36" s="22" t="inlineStr"/>
      <c r="F36" s="22" t="inlineStr"/>
      <c r="G36" s="22" t="inlineStr"/>
      <c r="H36" s="22">
        <f>IFERROR(SUM(D36:G36),"")</f>
        <v/>
      </c>
      <c r="I36" s="22">
        <f>IFERROR(ROUND(H36/C36*100,1),"")</f>
        <v/>
      </c>
      <c r="J36" s="46" t="inlineStr"/>
    </row>
    <row r="37" ht="22" customHeight="1">
      <c r="B37" s="25" t="inlineStr">
        <is>
          <t>Ph.D. Students Enrolled</t>
        </is>
      </c>
      <c r="C37" s="6" t="inlineStr"/>
      <c r="D37" s="6" t="inlineStr"/>
      <c r="E37" s="6" t="inlineStr"/>
      <c r="F37" s="6" t="inlineStr"/>
      <c r="G37" s="6" t="inlineStr"/>
      <c r="H37" s="6">
        <f>IFERROR(SUM(D37:G37),"")</f>
        <v/>
      </c>
      <c r="I37" s="6">
        <f>IFERROR(ROUND(H37/C37*100,1),"")</f>
        <v/>
      </c>
      <c r="J37" s="5" t="inlineStr"/>
    </row>
    <row r="38" ht="22" customHeight="1">
      <c r="B38" s="23" t="inlineStr">
        <is>
          <t>Ph.D. Awarded</t>
        </is>
      </c>
      <c r="C38" s="22" t="inlineStr"/>
      <c r="D38" s="22" t="inlineStr"/>
      <c r="E38" s="22" t="inlineStr"/>
      <c r="F38" s="22" t="inlineStr"/>
      <c r="G38" s="22" t="inlineStr"/>
      <c r="H38" s="22">
        <f>IFERROR(SUM(D38:G38),"")</f>
        <v/>
      </c>
      <c r="I38" s="22">
        <f>IFERROR(ROUND(H38/C38*100,1),"")</f>
        <v/>
      </c>
      <c r="J38" s="46" t="inlineStr"/>
    </row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5">
    <mergeCell ref="B3:J3"/>
    <mergeCell ref="B28:J28"/>
    <mergeCell ref="B4:J4"/>
    <mergeCell ref="B2:J2"/>
    <mergeCell ref="B16:J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1" t="inlineStr">
        <is>
          <t>PM-12: INFRASTRUCTURE DEVELOPMENT MONITORING REGISTER</t>
        </is>
      </c>
    </row>
    <row r="3" ht="25" customHeight="1">
      <c r="B3" s="2" t="inlineStr">
        <is>
          <t>A.Y.: _______  Reviewed in PMB Meeting No.: _______  Estate Officer: ___________________  Date: _______</t>
        </is>
      </c>
    </row>
    <row r="4" ht="24" customHeight="1">
      <c r="B4" s="18" t="inlineStr">
        <is>
          <t>ACTIVE CAPITAL PROJECTS — STATUS TRACKER</t>
        </is>
      </c>
    </row>
    <row r="5" ht="24" customHeight="1">
      <c r="B5" s="19" t="inlineStr">
        <is>
          <t>Project
Ref.</t>
        </is>
      </c>
      <c r="C5" s="19" t="inlineStr">
        <is>
          <t>Project Title</t>
        </is>
      </c>
      <c r="D5" s="19" t="inlineStr">
        <is>
          <t>Category</t>
        </is>
      </c>
      <c r="E5" s="19" t="inlineStr">
        <is>
          <t>Total Budget
(₹L)</t>
        </is>
      </c>
      <c r="F5" s="19" t="inlineStr">
        <is>
          <t>Expenditure
to Date (₹L)</t>
        </is>
      </c>
      <c r="G5" s="19" t="inlineStr">
        <is>
          <t>% Complete
(Physical)</t>
        </is>
      </c>
      <c r="H5" s="19" t="inlineStr">
        <is>
          <t>Original
Completion</t>
        </is>
      </c>
      <c r="I5" s="19" t="inlineStr">
        <is>
          <t>Revised
Completion</t>
        </is>
      </c>
      <c r="J5" s="19" t="inlineStr">
        <is>
          <t>PMB Status</t>
        </is>
      </c>
    </row>
    <row r="6" ht="24" customHeight="1">
      <c r="B6" s="65" t="inlineStr">
        <is>
          <t>PROJ/001</t>
        </is>
      </c>
      <c r="C6" s="66" t="inlineStr"/>
      <c r="D6" s="67" t="inlineStr">
        <is>
          <t>New Construction</t>
        </is>
      </c>
      <c r="E6" s="67" t="inlineStr"/>
      <c r="F6" s="67" t="inlineStr"/>
      <c r="G6" s="67" t="inlineStr"/>
      <c r="H6" s="67" t="inlineStr"/>
      <c r="I6" s="67" t="inlineStr"/>
      <c r="J6" s="67" t="inlineStr">
        <is>
          <t>On Schedule</t>
        </is>
      </c>
    </row>
    <row r="7" ht="24" customHeight="1">
      <c r="B7" s="4" t="inlineStr">
        <is>
          <t>PROJ/002</t>
        </is>
      </c>
      <c r="C7" s="5" t="inlineStr"/>
      <c r="D7" s="6" t="inlineStr">
        <is>
          <t>Renovation</t>
        </is>
      </c>
      <c r="E7" s="6" t="inlineStr"/>
      <c r="F7" s="6" t="inlineStr"/>
      <c r="G7" s="6" t="inlineStr"/>
      <c r="H7" s="6" t="inlineStr"/>
      <c r="I7" s="6" t="inlineStr"/>
      <c r="J7" s="6" t="inlineStr">
        <is>
          <t>Ahead</t>
        </is>
      </c>
    </row>
    <row r="8" ht="24" customHeight="1">
      <c r="B8" s="65" t="inlineStr">
        <is>
          <t>PROJ/003</t>
        </is>
      </c>
      <c r="C8" s="66" t="inlineStr"/>
      <c r="D8" s="67" t="inlineStr">
        <is>
          <t>Equipment</t>
        </is>
      </c>
      <c r="E8" s="67" t="inlineStr"/>
      <c r="F8" s="67" t="inlineStr"/>
      <c r="G8" s="67" t="inlineStr"/>
      <c r="H8" s="67" t="inlineStr"/>
      <c r="I8" s="67" t="inlineStr"/>
      <c r="J8" s="67" t="inlineStr">
        <is>
          <t>Delayed — Minor</t>
        </is>
      </c>
    </row>
    <row r="9" ht="24" customHeight="1">
      <c r="B9" s="4" t="inlineStr">
        <is>
          <t>PROJ/004</t>
        </is>
      </c>
      <c r="C9" s="5" t="inlineStr"/>
      <c r="D9" s="6" t="inlineStr">
        <is>
          <t>IT Infra</t>
        </is>
      </c>
      <c r="E9" s="6" t="inlineStr"/>
      <c r="F9" s="6" t="inlineStr"/>
      <c r="G9" s="6" t="inlineStr"/>
      <c r="H9" s="6" t="inlineStr"/>
      <c r="I9" s="6" t="inlineStr"/>
      <c r="J9" s="6" t="inlineStr">
        <is>
          <t>Delayed — Major</t>
        </is>
      </c>
    </row>
    <row r="10" ht="24" customHeight="1">
      <c r="B10" s="65" t="inlineStr">
        <is>
          <t>PROJ/005</t>
        </is>
      </c>
      <c r="C10" s="66" t="inlineStr"/>
      <c r="D10" s="67" t="inlineStr">
        <is>
          <t>Green Campus</t>
        </is>
      </c>
      <c r="E10" s="67" t="inlineStr"/>
      <c r="F10" s="67" t="inlineStr"/>
      <c r="G10" s="67" t="inlineStr"/>
      <c r="H10" s="67" t="inlineStr"/>
      <c r="I10" s="67" t="inlineStr"/>
      <c r="J10" s="67" t="inlineStr">
        <is>
          <t>Completed</t>
        </is>
      </c>
    </row>
    <row r="11" ht="24" customHeight="1">
      <c r="B11" s="4" t="inlineStr">
        <is>
          <t>PROJ/006</t>
        </is>
      </c>
      <c r="C11" s="5" t="inlineStr"/>
      <c r="D11" s="6" t="inlineStr">
        <is>
          <t>Others</t>
        </is>
      </c>
      <c r="E11" s="6" t="inlineStr"/>
      <c r="F11" s="6" t="inlineStr"/>
      <c r="G11" s="6" t="inlineStr"/>
      <c r="H11" s="6" t="inlineStr"/>
      <c r="I11" s="6" t="inlineStr"/>
      <c r="J11" s="6" t="inlineStr">
        <is>
          <t>On Hold</t>
        </is>
      </c>
    </row>
    <row r="12" ht="24" customHeight="1">
      <c r="B12" s="65" t="inlineStr">
        <is>
          <t>PROJ/007</t>
        </is>
      </c>
      <c r="C12" s="66" t="inlineStr"/>
      <c r="D12" s="67" t="inlineStr">
        <is>
          <t>New Construction</t>
        </is>
      </c>
      <c r="E12" s="67" t="inlineStr"/>
      <c r="F12" s="67" t="inlineStr"/>
      <c r="G12" s="67" t="inlineStr"/>
      <c r="H12" s="67" t="inlineStr"/>
      <c r="I12" s="67" t="inlineStr"/>
      <c r="J12" s="67" t="inlineStr">
        <is>
          <t>On Schedule</t>
        </is>
      </c>
    </row>
    <row r="13" ht="24" customHeight="1">
      <c r="B13" s="4" t="inlineStr">
        <is>
          <t>PROJ/008</t>
        </is>
      </c>
      <c r="C13" s="5" t="inlineStr"/>
      <c r="D13" s="6" t="inlineStr">
        <is>
          <t>Renovation</t>
        </is>
      </c>
      <c r="E13" s="6" t="inlineStr"/>
      <c r="F13" s="6" t="inlineStr"/>
      <c r="G13" s="6" t="inlineStr"/>
      <c r="H13" s="6" t="inlineStr"/>
      <c r="I13" s="6" t="inlineStr"/>
      <c r="J13" s="6" t="inlineStr">
        <is>
          <t>Ahead</t>
        </is>
      </c>
    </row>
    <row r="14" ht="24" customHeight="1">
      <c r="B14" s="65" t="inlineStr">
        <is>
          <t>PROJ/009</t>
        </is>
      </c>
      <c r="C14" s="66" t="inlineStr"/>
      <c r="D14" s="67" t="inlineStr">
        <is>
          <t>Equipment</t>
        </is>
      </c>
      <c r="E14" s="67" t="inlineStr"/>
      <c r="F14" s="67" t="inlineStr"/>
      <c r="G14" s="67" t="inlineStr"/>
      <c r="H14" s="67" t="inlineStr"/>
      <c r="I14" s="67" t="inlineStr"/>
      <c r="J14" s="67" t="inlineStr">
        <is>
          <t>Delayed — Minor</t>
        </is>
      </c>
    </row>
    <row r="15" ht="24" customHeight="1">
      <c r="B15" s="4" t="inlineStr">
        <is>
          <t>PROJ/010</t>
        </is>
      </c>
      <c r="C15" s="5" t="inlineStr"/>
      <c r="D15" s="6" t="inlineStr">
        <is>
          <t>IT Infra</t>
        </is>
      </c>
      <c r="E15" s="6" t="inlineStr"/>
      <c r="F15" s="6" t="inlineStr"/>
      <c r="G15" s="6" t="inlineStr"/>
      <c r="H15" s="6" t="inlineStr"/>
      <c r="I15" s="6" t="inlineStr"/>
      <c r="J15" s="6" t="inlineStr">
        <is>
          <t>Delayed — Major</t>
        </is>
      </c>
    </row>
    <row r="16" ht="24" customHeight="1">
      <c r="B16" s="65" t="inlineStr">
        <is>
          <t>PROJ/011</t>
        </is>
      </c>
      <c r="C16" s="66" t="inlineStr"/>
      <c r="D16" s="67" t="inlineStr">
        <is>
          <t>Green Campus</t>
        </is>
      </c>
      <c r="E16" s="67" t="inlineStr"/>
      <c r="F16" s="67" t="inlineStr"/>
      <c r="G16" s="67" t="inlineStr"/>
      <c r="H16" s="67" t="inlineStr"/>
      <c r="I16" s="67" t="inlineStr"/>
      <c r="J16" s="67" t="inlineStr">
        <is>
          <t>Completed</t>
        </is>
      </c>
    </row>
    <row r="17" ht="24" customHeight="1">
      <c r="B17" s="4" t="inlineStr">
        <is>
          <t>PROJ/012</t>
        </is>
      </c>
      <c r="C17" s="5" t="inlineStr"/>
      <c r="D17" s="6" t="inlineStr">
        <is>
          <t>Others</t>
        </is>
      </c>
      <c r="E17" s="6" t="inlineStr"/>
      <c r="F17" s="6" t="inlineStr"/>
      <c r="G17" s="6" t="inlineStr"/>
      <c r="H17" s="6" t="inlineStr"/>
      <c r="I17" s="6" t="inlineStr"/>
      <c r="J17" s="6" t="inlineStr">
        <is>
          <t>On Hold</t>
        </is>
      </c>
    </row>
    <row r="18" ht="24" customHeight="1">
      <c r="B18" s="65" t="inlineStr">
        <is>
          <t>PROJ/013</t>
        </is>
      </c>
      <c r="C18" s="66" t="inlineStr"/>
      <c r="D18" s="67" t="inlineStr">
        <is>
          <t>New Construction</t>
        </is>
      </c>
      <c r="E18" s="67" t="inlineStr"/>
      <c r="F18" s="67" t="inlineStr"/>
      <c r="G18" s="67" t="inlineStr"/>
      <c r="H18" s="67" t="inlineStr"/>
      <c r="I18" s="67" t="inlineStr"/>
      <c r="J18" s="67" t="inlineStr">
        <is>
          <t>On Schedule</t>
        </is>
      </c>
    </row>
    <row r="19" ht="24" customHeight="1">
      <c r="B19" s="4" t="inlineStr">
        <is>
          <t>PROJ/014</t>
        </is>
      </c>
      <c r="C19" s="5" t="inlineStr"/>
      <c r="D19" s="6" t="inlineStr">
        <is>
          <t>Renovation</t>
        </is>
      </c>
      <c r="E19" s="6" t="inlineStr"/>
      <c r="F19" s="6" t="inlineStr"/>
      <c r="G19" s="6" t="inlineStr"/>
      <c r="H19" s="6" t="inlineStr"/>
      <c r="I19" s="6" t="inlineStr"/>
      <c r="J19" s="6" t="inlineStr">
        <is>
          <t>Ahead</t>
        </is>
      </c>
    </row>
    <row r="20" ht="24" customHeight="1">
      <c r="B20" s="65" t="inlineStr">
        <is>
          <t>PROJ/015</t>
        </is>
      </c>
      <c r="C20" s="66" t="inlineStr"/>
      <c r="D20" s="67" t="inlineStr">
        <is>
          <t>Equipment</t>
        </is>
      </c>
      <c r="E20" s="67" t="inlineStr"/>
      <c r="F20" s="67" t="inlineStr"/>
      <c r="G20" s="67" t="inlineStr"/>
      <c r="H20" s="67" t="inlineStr"/>
      <c r="I20" s="67" t="inlineStr"/>
      <c r="J20" s="67" t="inlineStr">
        <is>
          <t>Delayed — Minor</t>
        </is>
      </c>
    </row>
    <row r="21" ht="24" customHeight="1">
      <c r="B21" s="4" t="inlineStr">
        <is>
          <t>PROJ/016</t>
        </is>
      </c>
      <c r="C21" s="5" t="inlineStr"/>
      <c r="D21" s="6" t="inlineStr">
        <is>
          <t>IT Infra</t>
        </is>
      </c>
      <c r="E21" s="6" t="inlineStr"/>
      <c r="F21" s="6" t="inlineStr"/>
      <c r="G21" s="6" t="inlineStr"/>
      <c r="H21" s="6" t="inlineStr"/>
      <c r="I21" s="6" t="inlineStr"/>
      <c r="J21" s="6" t="inlineStr">
        <is>
          <t>Delayed — Major</t>
        </is>
      </c>
    </row>
    <row r="22" ht="24" customHeight="1"/>
    <row r="23" ht="24" customHeight="1">
      <c r="B23" s="34" t="inlineStr">
        <is>
          <t>PROJECT PORTFOLIO SUMMARY</t>
        </is>
      </c>
    </row>
    <row r="24" ht="24" customHeight="1">
      <c r="B24" s="30" t="inlineStr">
        <is>
          <t>Status Category</t>
        </is>
      </c>
      <c r="C24" s="30" t="inlineStr">
        <is>
          <t>No. of Projects</t>
        </is>
      </c>
      <c r="D24" s="30" t="inlineStr">
        <is>
          <t>Total Budget (₹L)</t>
        </is>
      </c>
      <c r="E24" s="30" t="inlineStr">
        <is>
          <t>Expenditure (₹L)</t>
        </is>
      </c>
      <c r="F24" s="30" t="inlineStr">
        <is>
          <t>% Budget Utilised</t>
        </is>
      </c>
      <c r="G24" s="30" t="inlineStr">
        <is>
          <t>Avg. Physical
Progress %</t>
        </is>
      </c>
      <c r="H24" s="30" t="inlineStr"/>
      <c r="I24" s="30" t="inlineStr"/>
      <c r="J24" s="30" t="inlineStr"/>
    </row>
    <row r="25" ht="24" customHeight="1">
      <c r="B25" s="32" t="inlineStr">
        <is>
          <t>On Schedule</t>
        </is>
      </c>
      <c r="C25" s="33" t="inlineStr"/>
      <c r="D25" s="33" t="inlineStr"/>
      <c r="E25" s="33" t="inlineStr"/>
      <c r="F25" s="33">
        <f>IFERROR(ROUND(E25/D25*100,1),</f>
        <v/>
      </c>
      <c r="G25" s="33" t="inlineStr"/>
      <c r="H25" s="62" t="n"/>
      <c r="I25" s="62" t="n"/>
      <c r="J25" s="62" t="n"/>
    </row>
    <row r="26" ht="24" customHeight="1">
      <c r="B26" s="5" t="inlineStr">
        <is>
          <t>Delayed</t>
        </is>
      </c>
      <c r="C26" s="6" t="inlineStr"/>
      <c r="D26" s="6" t="inlineStr"/>
      <c r="E26" s="6" t="inlineStr"/>
      <c r="F26" s="6">
        <f>IFERROR(ROUND(E26/D26*100,1),</f>
        <v/>
      </c>
      <c r="G26" s="6" t="inlineStr"/>
      <c r="H26" s="63" t="n"/>
      <c r="I26" s="63" t="n"/>
      <c r="J26" s="63" t="n"/>
    </row>
    <row r="27" ht="24" customHeight="1">
      <c r="B27" s="32" t="inlineStr">
        <is>
          <t>Completed</t>
        </is>
      </c>
      <c r="C27" s="33" t="inlineStr"/>
      <c r="D27" s="33" t="inlineStr"/>
      <c r="E27" s="33" t="inlineStr"/>
      <c r="F27" s="33">
        <f>IFERROR(ROUND(E27/D27*100,1),</f>
        <v/>
      </c>
      <c r="G27" s="33" t="inlineStr"/>
      <c r="H27" s="62" t="n"/>
      <c r="I27" s="62" t="n"/>
      <c r="J27" s="62" t="n"/>
    </row>
    <row r="28" ht="24" customHeight="1">
      <c r="B28" s="5" t="inlineStr">
        <is>
          <t>On Hold</t>
        </is>
      </c>
      <c r="C28" s="6" t="inlineStr"/>
      <c r="D28" s="6" t="inlineStr"/>
      <c r="E28" s="6" t="inlineStr"/>
      <c r="F28" s="6">
        <f>IFERROR(ROUND(E28/D28*100,1),</f>
        <v/>
      </c>
      <c r="G28" s="6" t="inlineStr"/>
      <c r="H28" s="63" t="n"/>
      <c r="I28" s="63" t="n"/>
      <c r="J28" s="63" t="n"/>
    </row>
    <row r="29" ht="24" customHeight="1">
      <c r="B29" s="68" t="inlineStr">
        <is>
          <t>TOTAL</t>
        </is>
      </c>
      <c r="C29" s="61" t="inlineStr"/>
      <c r="D29" s="61" t="inlineStr"/>
      <c r="E29" s="61" t="inlineStr"/>
      <c r="F29" s="61">
        <f>IFERROR(ROUND(E29/D29*100,1),</f>
        <v/>
      </c>
      <c r="G29" s="61" t="inlineStr"/>
      <c r="H29" s="69" t="n"/>
      <c r="I29" s="69" t="n"/>
      <c r="J29" s="70" t="n"/>
    </row>
    <row r="30" ht="24" customHeight="1"/>
    <row r="31" ht="24" customHeight="1">
      <c r="B31" s="38" t="inlineStr">
        <is>
          <t>INFRASTRUCTURE UTILISATION REVIEW</t>
        </is>
      </c>
    </row>
    <row r="32" ht="24" customHeight="1">
      <c r="B32" s="12" t="inlineStr">
        <is>
          <t>Facility</t>
        </is>
      </c>
      <c r="C32" s="12" t="inlineStr">
        <is>
          <t>Installed
Capacity</t>
        </is>
      </c>
      <c r="D32" s="12" t="inlineStr">
        <is>
          <t>Current
Utilisation</t>
        </is>
      </c>
      <c r="E32" s="12" t="inlineStr">
        <is>
          <t>Utilisation %</t>
        </is>
      </c>
      <c r="F32" s="12" t="inlineStr">
        <is>
          <t>Adequacy
(Y/N)</t>
        </is>
      </c>
      <c r="G32" s="12" t="inlineStr">
        <is>
          <t>Expansion
Needed?</t>
        </is>
      </c>
      <c r="H32" s="12" t="inlineStr">
        <is>
          <t>PMB Direction</t>
        </is>
      </c>
      <c r="I32" s="12" t="inlineStr"/>
      <c r="J32" s="12" t="inlineStr"/>
    </row>
    <row r="33" ht="24" customHeight="1">
      <c r="I33" s="64" t="n"/>
      <c r="J33" s="71" t="n"/>
    </row>
    <row r="34" ht="24" customHeight="1">
      <c r="I34" s="63" t="n"/>
      <c r="J34" s="72" t="n"/>
    </row>
    <row r="35" ht="24" customHeight="1">
      <c r="I35" s="64" t="n"/>
      <c r="J35" s="71" t="n"/>
    </row>
    <row r="36" ht="24" customHeight="1">
      <c r="I36" s="63" t="n"/>
      <c r="J36" s="72" t="n"/>
    </row>
    <row r="37" ht="24" customHeight="1">
      <c r="I37" s="64" t="n"/>
      <c r="J37" s="71" t="n"/>
    </row>
    <row r="38" ht="24" customHeight="1">
      <c r="I38" s="63" t="n"/>
      <c r="J38" s="72" t="n"/>
    </row>
    <row r="39" ht="24" customHeight="1">
      <c r="I39" s="64" t="n"/>
      <c r="J39" s="71" t="n"/>
    </row>
    <row r="40" ht="24" customHeight="1">
      <c r="I40" s="63" t="n"/>
      <c r="J40" s="63" t="n"/>
    </row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</sheetData>
  <mergeCells count="5">
    <mergeCell ref="B3:J3"/>
    <mergeCell ref="B31:J31"/>
    <mergeCell ref="B23:J23"/>
    <mergeCell ref="B4:J4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1" t="inlineStr">
        <is>
          <t>PM-13: FACULTY &amp; STAFF DEVELOPMENT MONITORING REGISTER</t>
        </is>
      </c>
    </row>
    <row r="3" ht="25" customHeight="1">
      <c r="B3" s="2" t="inlineStr">
        <is>
          <t>A.Y.: _______  Reviewed in PMB Meeting No.: _______  HR Officer: ___________________  Date: _______</t>
        </is>
      </c>
    </row>
    <row r="4" ht="24" customHeight="1">
      <c r="B4" s="38" t="inlineStr">
        <is>
          <t>PART A — FACULTY STRENGTH &amp; QUALIFICATION MATRIX</t>
        </is>
      </c>
    </row>
    <row r="5" ht="22" customHeight="1">
      <c r="B5" s="12" t="inlineStr">
        <is>
          <t>Dept.</t>
        </is>
      </c>
      <c r="C5" s="12" t="inlineStr">
        <is>
          <t>Sanctioned
Strength</t>
        </is>
      </c>
      <c r="D5" s="12" t="inlineStr">
        <is>
          <t>Filled
Posts</t>
        </is>
      </c>
      <c r="E5" s="12" t="inlineStr">
        <is>
          <t>Vacancy</t>
        </is>
      </c>
      <c r="F5" s="12" t="inlineStr">
        <is>
          <t>With
Ph.D. (%)</t>
        </is>
      </c>
      <c r="G5" s="12" t="inlineStr">
        <is>
          <t>Pursuing
Ph.D.</t>
        </is>
      </c>
      <c r="H5" s="12" t="inlineStr">
        <is>
          <t>Avg.
Exp. (Yrs)</t>
        </is>
      </c>
      <c r="I5" s="12" t="inlineStr">
        <is>
          <t>Ratio
(S:F)</t>
        </is>
      </c>
      <c r="J5" s="12" t="inlineStr">
        <is>
          <t>FDP
Attended (%)</t>
        </is>
      </c>
      <c r="K5" s="12" t="inlineStr">
        <is>
          <t>Appraisal
% Done</t>
        </is>
      </c>
    </row>
    <row r="6" ht="22" customHeight="1">
      <c r="B6" s="15" t="inlineStr">
        <is>
          <t>CSE</t>
        </is>
      </c>
      <c r="C6" s="15" t="inlineStr"/>
      <c r="D6" s="15" t="inlineStr"/>
      <c r="E6" s="15">
        <f>IFERROR(C6-D6,"")</f>
        <v/>
      </c>
      <c r="F6" s="15" t="inlineStr"/>
      <c r="G6" s="15" t="inlineStr"/>
      <c r="H6" s="15" t="inlineStr"/>
      <c r="I6" s="15" t="inlineStr"/>
      <c r="J6" s="15" t="inlineStr"/>
      <c r="K6" s="15" t="inlineStr"/>
    </row>
    <row r="7" ht="22" customHeight="1">
      <c r="B7" s="6" t="inlineStr">
        <is>
          <t>ECE</t>
        </is>
      </c>
      <c r="C7" s="6" t="inlineStr"/>
      <c r="D7" s="6" t="inlineStr"/>
      <c r="E7" s="6">
        <f>IFERROR(C7-D7,"")</f>
        <v/>
      </c>
      <c r="F7" s="6" t="inlineStr"/>
      <c r="G7" s="6" t="inlineStr"/>
      <c r="H7" s="6" t="inlineStr"/>
      <c r="I7" s="6" t="inlineStr"/>
      <c r="J7" s="6" t="inlineStr"/>
      <c r="K7" s="6" t="inlineStr"/>
    </row>
    <row r="8" ht="22" customHeight="1">
      <c r="B8" s="15" t="inlineStr">
        <is>
          <t>EEE</t>
        </is>
      </c>
      <c r="C8" s="15" t="inlineStr"/>
      <c r="D8" s="15" t="inlineStr"/>
      <c r="E8" s="15">
        <f>IFERROR(C8-D8,"")</f>
        <v/>
      </c>
      <c r="F8" s="15" t="inlineStr"/>
      <c r="G8" s="15" t="inlineStr"/>
      <c r="H8" s="15" t="inlineStr"/>
      <c r="I8" s="15" t="inlineStr"/>
      <c r="J8" s="15" t="inlineStr"/>
      <c r="K8" s="15" t="inlineStr"/>
    </row>
    <row r="9" ht="22" customHeight="1">
      <c r="B9" s="6" t="inlineStr">
        <is>
          <t>MECH</t>
        </is>
      </c>
      <c r="C9" s="6" t="inlineStr"/>
      <c r="D9" s="6" t="inlineStr"/>
      <c r="E9" s="6">
        <f>IFERROR(C9-D9,"")</f>
        <v/>
      </c>
      <c r="F9" s="6" t="inlineStr"/>
      <c r="G9" s="6" t="inlineStr"/>
      <c r="H9" s="6" t="inlineStr"/>
      <c r="I9" s="6" t="inlineStr"/>
      <c r="J9" s="6" t="inlineStr"/>
      <c r="K9" s="6" t="inlineStr"/>
    </row>
    <row r="10" ht="22" customHeight="1">
      <c r="B10" s="15" t="inlineStr">
        <is>
          <t>CIVIL</t>
        </is>
      </c>
      <c r="C10" s="15" t="inlineStr"/>
      <c r="D10" s="15" t="inlineStr"/>
      <c r="E10" s="15">
        <f>IFERROR(C10-D10,"")</f>
        <v/>
      </c>
      <c r="F10" s="15" t="inlineStr"/>
      <c r="G10" s="15" t="inlineStr"/>
      <c r="H10" s="15" t="inlineStr"/>
      <c r="I10" s="15" t="inlineStr"/>
      <c r="J10" s="15" t="inlineStr"/>
      <c r="K10" s="15" t="inlineStr"/>
    </row>
    <row r="11" ht="22" customHeight="1">
      <c r="B11" s="6" t="inlineStr">
        <is>
          <t>S&amp;H</t>
        </is>
      </c>
      <c r="C11" s="6" t="inlineStr"/>
      <c r="D11" s="6" t="inlineStr"/>
      <c r="E11" s="6">
        <f>IFERROR(C11-D11,"")</f>
        <v/>
      </c>
      <c r="F11" s="6" t="inlineStr"/>
      <c r="G11" s="6" t="inlineStr"/>
      <c r="H11" s="6" t="inlineStr"/>
      <c r="I11" s="6" t="inlineStr"/>
      <c r="J11" s="6" t="inlineStr"/>
      <c r="K11" s="6" t="inlineStr"/>
    </row>
    <row r="12" ht="22" customHeight="1">
      <c r="B12" s="15" t="inlineStr">
        <is>
          <t>MBA</t>
        </is>
      </c>
      <c r="C12" s="15" t="inlineStr"/>
      <c r="D12" s="15" t="inlineStr"/>
      <c r="E12" s="15">
        <f>IFERROR(C12-D12,"")</f>
        <v/>
      </c>
      <c r="F12" s="15" t="inlineStr"/>
      <c r="G12" s="15" t="inlineStr"/>
      <c r="H12" s="15" t="inlineStr"/>
      <c r="I12" s="15" t="inlineStr"/>
      <c r="J12" s="15" t="inlineStr"/>
      <c r="K12" s="15" t="inlineStr"/>
    </row>
    <row r="13" ht="22" customHeight="1">
      <c r="B13" s="6" t="inlineStr">
        <is>
          <t>MCA</t>
        </is>
      </c>
      <c r="C13" s="6" t="inlineStr"/>
      <c r="D13" s="6" t="inlineStr"/>
      <c r="E13" s="6">
        <f>IFERROR(C13-D13,"")</f>
        <v/>
      </c>
      <c r="F13" s="6" t="inlineStr"/>
      <c r="G13" s="6" t="inlineStr"/>
      <c r="H13" s="6" t="inlineStr"/>
      <c r="I13" s="6" t="inlineStr"/>
      <c r="J13" s="6" t="inlineStr"/>
      <c r="K13" s="6" t="inlineStr"/>
    </row>
    <row r="14" ht="22" customHeight="1">
      <c r="B14" s="61" t="inlineStr">
        <is>
          <t>INSTITUTION</t>
        </is>
      </c>
      <c r="C14" s="61" t="inlineStr"/>
      <c r="D14" s="61" t="inlineStr"/>
      <c r="E14" s="61">
        <f>IFERROR(C14-D14,"")</f>
        <v/>
      </c>
      <c r="F14" s="61" t="inlineStr"/>
      <c r="G14" s="61" t="inlineStr"/>
      <c r="H14" s="61" t="inlineStr"/>
      <c r="I14" s="61" t="inlineStr"/>
      <c r="J14" s="61" t="inlineStr"/>
      <c r="K14" s="61" t="inlineStr"/>
    </row>
    <row r="15" ht="22" customHeight="1"/>
    <row r="16" ht="24" customHeight="1">
      <c r="B16" s="34" t="inlineStr">
        <is>
          <t>PART B — RECRUITMENT PIPELINE &amp; STATUS</t>
        </is>
      </c>
    </row>
    <row r="17" ht="22" customHeight="1">
      <c r="B17" s="30" t="inlineStr">
        <is>
          <t>Post / Designation</t>
        </is>
      </c>
      <c r="C17" s="30" t="inlineStr">
        <is>
          <t>Dept.</t>
        </is>
      </c>
      <c r="D17" s="30" t="inlineStr">
        <is>
          <t>No. of Posts
Advertised</t>
        </is>
      </c>
      <c r="E17" s="30" t="inlineStr">
        <is>
          <t>Applications
Received</t>
        </is>
      </c>
      <c r="F17" s="30" t="inlineStr">
        <is>
          <t>Shortlisted</t>
        </is>
      </c>
      <c r="G17" s="30" t="inlineStr">
        <is>
          <t>Interviewed</t>
        </is>
      </c>
      <c r="H17" s="30" t="inlineStr">
        <is>
          <t>Selected</t>
        </is>
      </c>
      <c r="I17" s="30" t="inlineStr">
        <is>
          <t>Joined</t>
        </is>
      </c>
      <c r="J17" s="30" t="inlineStr">
        <is>
          <t>PMB
Approval</t>
        </is>
      </c>
      <c r="K17" s="30" t="inlineStr">
        <is>
          <t>Status</t>
        </is>
      </c>
    </row>
    <row r="18" ht="22" customHeight="1"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</row>
    <row r="19" ht="22" customHeight="1"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 ht="22" customHeight="1"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</row>
    <row r="21" ht="22" customHeight="1"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 ht="22" customHeight="1"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</row>
    <row r="23" ht="22" customHeight="1"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 ht="22" customHeight="1"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</row>
    <row r="25" ht="22" customHeight="1"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 ht="22" customHeight="1"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</row>
    <row r="27" ht="22" customHeight="1"/>
    <row r="28" ht="24" customHeight="1">
      <c r="B28" s="43" t="inlineStr">
        <is>
          <t>PART C — FDP / TRAINING CALENDAR MONITORING</t>
        </is>
      </c>
    </row>
    <row r="29" ht="22" customHeight="1">
      <c r="B29" s="57" t="inlineStr">
        <is>
          <t>Programme Type</t>
        </is>
      </c>
      <c r="C29" s="57" t="inlineStr">
        <is>
          <t>Organised
by Dept./IQAC</t>
        </is>
      </c>
      <c r="D29" s="57" t="inlineStr">
        <is>
          <t>External
Attended</t>
        </is>
      </c>
      <c r="E29" s="57" t="inlineStr">
        <is>
          <t>Faculty
Covered</t>
        </is>
      </c>
      <c r="F29" s="57" t="inlineStr">
        <is>
          <t>Coverage %</t>
        </is>
      </c>
      <c r="G29" s="57" t="inlineStr">
        <is>
          <t>MOOCs
Completed</t>
        </is>
      </c>
      <c r="H29" s="57" t="inlineStr">
        <is>
          <t>Online Certs.</t>
        </is>
      </c>
      <c r="I29" s="57" t="inlineStr">
        <is>
          <t>PMB Target
(%)</t>
        </is>
      </c>
      <c r="J29" s="57" t="inlineStr">
        <is>
          <t>Status</t>
        </is>
      </c>
      <c r="K29" s="57" t="inlineStr">
        <is>
          <t>Remarks</t>
        </is>
      </c>
    </row>
    <row r="30" ht="22" customHeight="1">
      <c r="B30" s="73" t="inlineStr">
        <is>
          <t>STTP / Workshop</t>
        </is>
      </c>
      <c r="C30" s="44" t="inlineStr"/>
      <c r="D30" s="44" t="inlineStr"/>
      <c r="E30" s="44" t="inlineStr"/>
      <c r="F30" s="44">
        <f>IFERROR(ROUND(E30/C30*100,1),"")</f>
        <v/>
      </c>
      <c r="G30" s="44" t="inlineStr"/>
      <c r="H30" s="44" t="inlineStr"/>
      <c r="I30" s="44" t="n">
        <v>80</v>
      </c>
      <c r="J30" s="44" t="inlineStr"/>
      <c r="K30" s="45" t="inlineStr"/>
    </row>
    <row r="31" ht="22" customHeight="1">
      <c r="B31" s="25" t="inlineStr">
        <is>
          <t>National Conference</t>
        </is>
      </c>
      <c r="C31" s="6" t="inlineStr"/>
      <c r="D31" s="6" t="inlineStr"/>
      <c r="E31" s="6" t="inlineStr"/>
      <c r="F31" s="6">
        <f>IFERROR(ROUND(E31/C31*100,1),"")</f>
        <v/>
      </c>
      <c r="G31" s="6" t="inlineStr"/>
      <c r="H31" s="6" t="inlineStr"/>
      <c r="I31" s="6" t="n">
        <v>80</v>
      </c>
      <c r="J31" s="6" t="inlineStr"/>
      <c r="K31" s="5" t="inlineStr"/>
    </row>
    <row r="32" ht="22" customHeight="1">
      <c r="B32" s="73" t="inlineStr">
        <is>
          <t>International Conference</t>
        </is>
      </c>
      <c r="C32" s="44" t="inlineStr"/>
      <c r="D32" s="44" t="inlineStr"/>
      <c r="E32" s="44" t="inlineStr"/>
      <c r="F32" s="44">
        <f>IFERROR(ROUND(E32/C32*100,1),"")</f>
        <v/>
      </c>
      <c r="G32" s="44" t="inlineStr"/>
      <c r="H32" s="44" t="inlineStr"/>
      <c r="I32" s="44" t="n">
        <v>80</v>
      </c>
      <c r="J32" s="44" t="inlineStr"/>
      <c r="K32" s="45" t="inlineStr"/>
    </row>
    <row r="33" ht="22" customHeight="1">
      <c r="B33" s="25" t="inlineStr">
        <is>
          <t>MOOC / NPTEL</t>
        </is>
      </c>
      <c r="C33" s="6" t="inlineStr"/>
      <c r="D33" s="6" t="inlineStr"/>
      <c r="E33" s="6" t="inlineStr"/>
      <c r="F33" s="6">
        <f>IFERROR(ROUND(E33/C33*100,1),"")</f>
        <v/>
      </c>
      <c r="G33" s="6" t="inlineStr"/>
      <c r="H33" s="6" t="inlineStr"/>
      <c r="I33" s="6" t="n">
        <v>80</v>
      </c>
      <c r="J33" s="6" t="inlineStr"/>
      <c r="K33" s="5" t="inlineStr"/>
    </row>
    <row r="34" ht="22" customHeight="1">
      <c r="B34" s="73" t="inlineStr">
        <is>
          <t>Refresher / Orientation</t>
        </is>
      </c>
      <c r="C34" s="44" t="inlineStr"/>
      <c r="D34" s="44" t="inlineStr"/>
      <c r="E34" s="44" t="inlineStr"/>
      <c r="F34" s="44">
        <f>IFERROR(ROUND(E34/C34*100,1),"")</f>
        <v/>
      </c>
      <c r="G34" s="44" t="inlineStr"/>
      <c r="H34" s="44" t="inlineStr"/>
      <c r="I34" s="44" t="n">
        <v>80</v>
      </c>
      <c r="J34" s="44" t="inlineStr"/>
      <c r="K34" s="45" t="inlineStr"/>
    </row>
    <row r="35" ht="22" customHeight="1">
      <c r="B35" s="25" t="inlineStr">
        <is>
          <t>Industry Immersion</t>
        </is>
      </c>
      <c r="C35" s="6" t="inlineStr"/>
      <c r="D35" s="6" t="inlineStr"/>
      <c r="E35" s="6" t="inlineStr"/>
      <c r="F35" s="6">
        <f>IFERROR(ROUND(E35/C35*100,1),"")</f>
        <v/>
      </c>
      <c r="G35" s="6" t="inlineStr"/>
      <c r="H35" s="6" t="inlineStr"/>
      <c r="I35" s="6" t="n">
        <v>80</v>
      </c>
      <c r="J35" s="6" t="inlineStr"/>
      <c r="K35" s="5" t="inlineStr"/>
    </row>
    <row r="36" ht="22" customHeight="1">
      <c r="B36" s="73" t="inlineStr">
        <is>
          <t>Research Methodology</t>
        </is>
      </c>
      <c r="C36" s="44" t="inlineStr"/>
      <c r="D36" s="44" t="inlineStr"/>
      <c r="E36" s="44" t="inlineStr"/>
      <c r="F36" s="44">
        <f>IFERROR(ROUND(E36/C36*100,1),"")</f>
        <v/>
      </c>
      <c r="G36" s="44" t="inlineStr"/>
      <c r="H36" s="44" t="inlineStr"/>
      <c r="I36" s="44" t="n">
        <v>80</v>
      </c>
      <c r="J36" s="44" t="inlineStr"/>
      <c r="K36" s="45" t="inlineStr"/>
    </row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</sheetData>
  <mergeCells count="5">
    <mergeCell ref="B4:K4"/>
    <mergeCell ref="B2:K2"/>
    <mergeCell ref="B16:K16"/>
    <mergeCell ref="B28:K28"/>
    <mergeCell ref="B3:K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8" customHeight="1">
      <c r="B2" s="11" t="inlineStr">
        <is>
          <t>PM-14: FINANCIAL PERFORMANCE MONITORING FORM (₹ in Lakhs)</t>
        </is>
      </c>
    </row>
    <row r="3" ht="25" customHeight="1">
      <c r="B3" s="2" t="inlineStr">
        <is>
          <t>Financial Year: _______  Reviewed in PMB Meeting No.: _______  Finance Officer: ___________________</t>
        </is>
      </c>
    </row>
    <row r="4" ht="24" customHeight="1">
      <c r="B4" s="43" t="inlineStr">
        <is>
          <t>INCOME PERFORMANCE vs. BUDGET</t>
        </is>
      </c>
    </row>
    <row r="5" ht="22" customHeight="1">
      <c r="B5" s="57" t="inlineStr">
        <is>
          <t>Income Head</t>
        </is>
      </c>
      <c r="C5" s="57" t="inlineStr">
        <is>
          <t>Annual Budget
(₹L)</t>
        </is>
      </c>
      <c r="D5" s="57" t="inlineStr">
        <is>
          <t>Q1 Actual</t>
        </is>
      </c>
      <c r="E5" s="57" t="inlineStr">
        <is>
          <t>Q2 Actual</t>
        </is>
      </c>
      <c r="F5" s="57" t="inlineStr">
        <is>
          <t>Q3 Actual</t>
        </is>
      </c>
      <c r="G5" s="57" t="inlineStr">
        <is>
          <t>Q4 / Annual</t>
        </is>
      </c>
      <c r="H5" s="57" t="inlineStr">
        <is>
          <t>Achievement %</t>
        </is>
      </c>
    </row>
    <row r="6" ht="22" customHeight="1">
      <c r="B6" s="45" t="inlineStr">
        <is>
          <t>Tuition Fees (All Programmes)</t>
        </is>
      </c>
      <c r="C6" s="44" t="inlineStr"/>
      <c r="D6" s="44" t="inlineStr"/>
      <c r="E6" s="44" t="inlineStr"/>
      <c r="F6" s="44" t="inlineStr"/>
      <c r="G6" s="44">
        <f>IFERROR(SUM(D6:G6),"")</f>
        <v/>
      </c>
      <c r="H6" s="44">
        <f>IFERROR(ROUND(H6/C6*100,1),"")</f>
        <v/>
      </c>
    </row>
    <row r="7" ht="22" customHeight="1">
      <c r="B7" s="5" t="inlineStr">
        <is>
          <t>Govt. Grants (UGC/AICTE/State)</t>
        </is>
      </c>
      <c r="C7" s="6" t="inlineStr"/>
      <c r="D7" s="6" t="inlineStr"/>
      <c r="E7" s="6" t="inlineStr"/>
      <c r="F7" s="6" t="inlineStr"/>
      <c r="G7" s="6">
        <f>IFERROR(SUM(D7:G7),"")</f>
        <v/>
      </c>
      <c r="H7" s="6">
        <f>IFERROR(ROUND(H7/C7*100,1),"")</f>
        <v/>
      </c>
    </row>
    <row r="8" ht="22" customHeight="1">
      <c r="B8" s="45" t="inlineStr">
        <is>
          <t>Research Grants</t>
        </is>
      </c>
      <c r="C8" s="44" t="inlineStr"/>
      <c r="D8" s="44" t="inlineStr"/>
      <c r="E8" s="44" t="inlineStr"/>
      <c r="F8" s="44" t="inlineStr"/>
      <c r="G8" s="44">
        <f>IFERROR(SUM(D8:G8),"")</f>
        <v/>
      </c>
      <c r="H8" s="44">
        <f>IFERROR(ROUND(H8/C8*100,1),"")</f>
        <v/>
      </c>
    </row>
    <row r="9" ht="22" customHeight="1">
      <c r="B9" s="5" t="inlineStr">
        <is>
          <t>Consultancy Income</t>
        </is>
      </c>
      <c r="C9" s="6" t="inlineStr"/>
      <c r="D9" s="6" t="inlineStr"/>
      <c r="E9" s="6" t="inlineStr"/>
      <c r="F9" s="6" t="inlineStr"/>
      <c r="G9" s="6">
        <f>IFERROR(SUM(D9:G9),"")</f>
        <v/>
      </c>
      <c r="H9" s="6">
        <f>IFERROR(ROUND(H9/C9*100,1),"")</f>
        <v/>
      </c>
    </row>
    <row r="10" ht="22" customHeight="1">
      <c r="B10" s="45" t="inlineStr">
        <is>
          <t>Other Income</t>
        </is>
      </c>
      <c r="C10" s="44" t="inlineStr"/>
      <c r="D10" s="44" t="inlineStr"/>
      <c r="E10" s="44" t="inlineStr"/>
      <c r="F10" s="44" t="inlineStr"/>
      <c r="G10" s="44">
        <f>IFERROR(SUM(D10:G10),"")</f>
        <v/>
      </c>
      <c r="H10" s="44">
        <f>IFERROR(ROUND(H10/C10*100,1),"")</f>
        <v/>
      </c>
    </row>
    <row r="11" ht="22" customHeight="1">
      <c r="B11" s="68" t="inlineStr">
        <is>
          <t>TOTAL INCOME</t>
        </is>
      </c>
      <c r="C11" s="61" t="inlineStr"/>
      <c r="D11" s="61" t="inlineStr"/>
      <c r="E11" s="61" t="inlineStr"/>
      <c r="F11" s="61" t="inlineStr"/>
      <c r="G11" s="61">
        <f>IFERROR(SUM(D11:G11),"")</f>
        <v/>
      </c>
      <c r="H11" s="61">
        <f>IFERROR(ROUND(H11/C11*100,1),"")</f>
        <v/>
      </c>
    </row>
    <row r="12" ht="22" customHeight="1"/>
    <row r="13" ht="24" customHeight="1">
      <c r="B13" s="74" t="inlineStr">
        <is>
          <t>EXPENDITURE PERFORMANCE vs. BUDGET</t>
        </is>
      </c>
    </row>
    <row r="14" ht="22" customHeight="1">
      <c r="B14" s="75" t="inlineStr">
        <is>
          <t>Expenditure Head</t>
        </is>
      </c>
      <c r="C14" s="75" t="inlineStr">
        <is>
          <t>Annual Budget
(₹L)</t>
        </is>
      </c>
      <c r="D14" s="75" t="inlineStr">
        <is>
          <t>Q1 Actual</t>
        </is>
      </c>
      <c r="E14" s="75" t="inlineStr">
        <is>
          <t>Q2 Actual</t>
        </is>
      </c>
      <c r="F14" s="75" t="inlineStr">
        <is>
          <t>Q3 Actual</t>
        </is>
      </c>
      <c r="G14" s="75" t="inlineStr">
        <is>
          <t>Q4 / Annual</t>
        </is>
      </c>
      <c r="H14" s="75" t="inlineStr">
        <is>
          <t>Utilisation %</t>
        </is>
      </c>
    </row>
    <row r="15" ht="22" customHeight="1">
      <c r="B15" s="76" t="inlineStr">
        <is>
          <t>Salaries &amp; Benefits</t>
        </is>
      </c>
      <c r="C15" s="77" t="inlineStr"/>
      <c r="D15" s="77" t="inlineStr"/>
      <c r="E15" s="77" t="inlineStr"/>
      <c r="F15" s="77" t="inlineStr"/>
      <c r="G15" s="77">
        <f>IFERROR(SUM(D15:G15),"")</f>
        <v/>
      </c>
      <c r="H15" s="77">
        <f>IFERROR(ROUND(H15/C15*100,1),"")</f>
        <v/>
      </c>
    </row>
    <row r="16" ht="22" customHeight="1">
      <c r="B16" s="5" t="inlineStr">
        <is>
          <t>Academic Expenses</t>
        </is>
      </c>
      <c r="C16" s="6" t="inlineStr"/>
      <c r="D16" s="6" t="inlineStr"/>
      <c r="E16" s="6" t="inlineStr"/>
      <c r="F16" s="6" t="inlineStr"/>
      <c r="G16" s="6">
        <f>IFERROR(SUM(D16:G16),"")</f>
        <v/>
      </c>
      <c r="H16" s="6">
        <f>IFERROR(ROUND(H16/C16*100,1),"")</f>
        <v/>
      </c>
    </row>
    <row r="17" ht="22" customHeight="1">
      <c r="B17" s="76" t="inlineStr">
        <is>
          <t>Infrastructure &amp; Maintenance</t>
        </is>
      </c>
      <c r="C17" s="77" t="inlineStr"/>
      <c r="D17" s="77" t="inlineStr"/>
      <c r="E17" s="77" t="inlineStr"/>
      <c r="F17" s="77" t="inlineStr"/>
      <c r="G17" s="77">
        <f>IFERROR(SUM(D17:G17),"")</f>
        <v/>
      </c>
      <c r="H17" s="77">
        <f>IFERROR(ROUND(H17/C17*100,1),"")</f>
        <v/>
      </c>
    </row>
    <row r="18" ht="22" customHeight="1">
      <c r="B18" s="5" t="inlineStr">
        <is>
          <t>Administrative Expenses</t>
        </is>
      </c>
      <c r="C18" s="6" t="inlineStr"/>
      <c r="D18" s="6" t="inlineStr"/>
      <c r="E18" s="6" t="inlineStr"/>
      <c r="F18" s="6" t="inlineStr"/>
      <c r="G18" s="6">
        <f>IFERROR(SUM(D18:G18),"")</f>
        <v/>
      </c>
      <c r="H18" s="6">
        <f>IFERROR(ROUND(H18/C18*100,1),"")</f>
        <v/>
      </c>
    </row>
    <row r="19" ht="22" customHeight="1">
      <c r="B19" s="76" t="inlineStr">
        <is>
          <t>Research &amp; Innovation</t>
        </is>
      </c>
      <c r="C19" s="77" t="inlineStr"/>
      <c r="D19" s="77" t="inlineStr"/>
      <c r="E19" s="77" t="inlineStr"/>
      <c r="F19" s="77" t="inlineStr"/>
      <c r="G19" s="77">
        <f>IFERROR(SUM(D19:G19),"")</f>
        <v/>
      </c>
      <c r="H19" s="77">
        <f>IFERROR(ROUND(H19/C19*100,1),"")</f>
        <v/>
      </c>
    </row>
    <row r="20" ht="22" customHeight="1">
      <c r="B20" s="5" t="inlineStr">
        <is>
          <t>Capital Expenditure</t>
        </is>
      </c>
      <c r="C20" s="6" t="inlineStr"/>
      <c r="D20" s="6" t="inlineStr"/>
      <c r="E20" s="6" t="inlineStr"/>
      <c r="F20" s="6" t="inlineStr"/>
      <c r="G20" s="6">
        <f>IFERROR(SUM(D20:G20),"")</f>
        <v/>
      </c>
      <c r="H20" s="6">
        <f>IFERROR(ROUND(H20/C20*100,1),"")</f>
        <v/>
      </c>
    </row>
    <row r="21" ht="22" customHeight="1">
      <c r="B21" s="23" t="inlineStr">
        <is>
          <t>TOTAL EXPENDITURE</t>
        </is>
      </c>
      <c r="C21" s="54" t="inlineStr"/>
      <c r="D21" s="54" t="inlineStr"/>
      <c r="E21" s="54" t="inlineStr"/>
      <c r="F21" s="54" t="inlineStr"/>
      <c r="G21" s="54">
        <f>IFERROR(SUM(D21:G21),"")</f>
        <v/>
      </c>
      <c r="H21" s="54">
        <f>IFERROR(ROUND(H21/C21*100,1),"")</f>
        <v/>
      </c>
    </row>
    <row r="22" ht="22" customHeight="1"/>
    <row r="23" ht="24" customHeight="1">
      <c r="B23" s="20" t="inlineStr">
        <is>
          <t>FINANCIAL HEALTH KPIs</t>
        </is>
      </c>
    </row>
    <row r="24" ht="22" customHeight="1">
      <c r="B24" s="21" t="inlineStr">
        <is>
          <t>Financial KPI</t>
        </is>
      </c>
      <c r="C24" s="21" t="inlineStr">
        <is>
          <t>Formula / Basis</t>
        </is>
      </c>
      <c r="D24" s="21" t="inlineStr">
        <is>
          <t>PMB Target</t>
        </is>
      </c>
      <c r="E24" s="21" t="inlineStr">
        <is>
          <t>Previous Year</t>
        </is>
      </c>
      <c r="F24" s="21" t="inlineStr">
        <is>
          <t>Current Year
Actual</t>
        </is>
      </c>
      <c r="G24" s="21" t="inlineStr">
        <is>
          <t>Status</t>
        </is>
      </c>
      <c r="H24" s="21" t="inlineStr">
        <is>
          <t>PMB Direction</t>
        </is>
      </c>
    </row>
    <row r="25" ht="22" customHeight="1">
      <c r="B25" s="23" t="inlineStr">
        <is>
          <t>Surplus Ratio (%)</t>
        </is>
      </c>
      <c r="C25" s="46" t="inlineStr">
        <is>
          <t>Net Surplus / Total Income × 100</t>
        </is>
      </c>
      <c r="D25" s="22" t="inlineStr">
        <is>
          <t>≥5%</t>
        </is>
      </c>
      <c r="E25" s="22" t="inlineStr"/>
      <c r="F25" s="22" t="inlineStr"/>
      <c r="G25" s="22" t="inlineStr"/>
      <c r="H25" s="46" t="inlineStr"/>
    </row>
    <row r="26" ht="22" customHeight="1">
      <c r="B26" s="25" t="inlineStr">
        <is>
          <t>Fee Collection Rate (%)</t>
        </is>
      </c>
      <c r="C26" s="5" t="inlineStr">
        <is>
          <t>Fees Collected / Fees Billed × 100</t>
        </is>
      </c>
      <c r="D26" s="6" t="inlineStr">
        <is>
          <t>≥95%</t>
        </is>
      </c>
      <c r="E26" s="6" t="inlineStr"/>
      <c r="F26" s="6" t="inlineStr"/>
      <c r="G26" s="6" t="inlineStr"/>
      <c r="H26" s="5" t="inlineStr"/>
    </row>
    <row r="27" ht="22" customHeight="1">
      <c r="B27" s="23" t="inlineStr">
        <is>
          <t>Staff Cost Ratio (%)</t>
        </is>
      </c>
      <c r="C27" s="46" t="inlineStr">
        <is>
          <t>Staff Cost / Total Income × 100</t>
        </is>
      </c>
      <c r="D27" s="22" t="inlineStr">
        <is>
          <t>≤55%</t>
        </is>
      </c>
      <c r="E27" s="22" t="inlineStr"/>
      <c r="F27" s="22" t="inlineStr"/>
      <c r="G27" s="22" t="inlineStr"/>
      <c r="H27" s="46" t="inlineStr"/>
    </row>
    <row r="28" ht="22" customHeight="1">
      <c r="B28" s="25" t="inlineStr">
        <is>
          <t>Research Grant Utilisation (%)</t>
        </is>
      </c>
      <c r="C28" s="5" t="inlineStr">
        <is>
          <t>Utilised / Sanctioned × 100</t>
        </is>
      </c>
      <c r="D28" s="6" t="inlineStr">
        <is>
          <t>≥80%</t>
        </is>
      </c>
      <c r="E28" s="6" t="inlineStr"/>
      <c r="F28" s="6" t="inlineStr"/>
      <c r="G28" s="6" t="inlineStr"/>
      <c r="H28" s="5" t="inlineStr"/>
    </row>
    <row r="29" ht="22" customHeight="1">
      <c r="B29" s="23" t="inlineStr">
        <is>
          <t>Capex to Total Expenditure (%)</t>
        </is>
      </c>
      <c r="C29" s="46" t="inlineStr">
        <is>
          <t>Capex / Total Exp × 100</t>
        </is>
      </c>
      <c r="D29" s="22" t="inlineStr">
        <is>
          <t>≥15%</t>
        </is>
      </c>
      <c r="E29" s="22" t="inlineStr"/>
      <c r="F29" s="22" t="inlineStr"/>
      <c r="G29" s="22" t="inlineStr"/>
      <c r="H29" s="46" t="inlineStr"/>
    </row>
    <row r="30" ht="22" customHeight="1">
      <c r="B30" s="25" t="inlineStr">
        <is>
          <t>Grant per Faculty (₹L)</t>
        </is>
      </c>
      <c r="C30" s="5" t="inlineStr">
        <is>
          <t>Total Grants / No. of Faculty</t>
        </is>
      </c>
      <c r="D30" s="6" t="inlineStr">
        <is>
          <t>≥1 L / faculty</t>
        </is>
      </c>
      <c r="E30" s="6" t="inlineStr"/>
      <c r="F30" s="6" t="inlineStr"/>
      <c r="G30" s="6" t="inlineStr"/>
      <c r="H30" s="5" t="inlineStr"/>
    </row>
    <row r="31" ht="22" customHeight="1">
      <c r="B31" s="23" t="inlineStr">
        <is>
          <t>Endowment Growth (% p.a.)</t>
        </is>
      </c>
      <c r="C31" s="46" t="inlineStr">
        <is>
          <t>(Endowment end – begin) / begin × 100</t>
        </is>
      </c>
      <c r="D31" s="22" t="inlineStr">
        <is>
          <t>≥8%</t>
        </is>
      </c>
      <c r="E31" s="22" t="inlineStr"/>
      <c r="F31" s="22" t="inlineStr"/>
      <c r="G31" s="22" t="inlineStr"/>
      <c r="H31" s="46" t="inlineStr"/>
    </row>
    <row r="32" ht="22" customHeight="1">
      <c r="B32" s="25" t="inlineStr">
        <is>
          <t>Operating Cost per Student (₹L)</t>
        </is>
      </c>
      <c r="C32" s="5" t="inlineStr">
        <is>
          <t>Total Operating Cost / No. of Students</t>
        </is>
      </c>
      <c r="D32" s="6" t="inlineStr">
        <is>
          <t>Benchmark</t>
        </is>
      </c>
      <c r="E32" s="6" t="inlineStr"/>
      <c r="F32" s="6" t="inlineStr"/>
      <c r="G32" s="6" t="inlineStr"/>
      <c r="H32" s="5" t="inlineStr"/>
    </row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</sheetData>
  <mergeCells count="5">
    <mergeCell ref="B13:H13"/>
    <mergeCell ref="B4:H4"/>
    <mergeCell ref="B2:H2"/>
    <mergeCell ref="B3:H3"/>
    <mergeCell ref="B23:H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PM-15: INDUSTRY-INSTITUTE INTERACTION &amp; ALUMNI MONITORING</t>
        </is>
      </c>
    </row>
    <row r="3" ht="25" customHeight="1">
      <c r="B3" s="2" t="inlineStr">
        <is>
          <t>A.Y.: _______  Reviewed in PMB Meeting No.: _______  T&amp;P Officer: ___________________  Date: _______</t>
        </is>
      </c>
    </row>
    <row r="4" ht="24" customHeight="1">
      <c r="B4" s="38" t="inlineStr">
        <is>
          <t>PART A — PLACEMENT &amp; CAREER OUTCOMES</t>
        </is>
      </c>
    </row>
    <row r="5" ht="22" customHeight="1">
      <c r="B5" s="12" t="inlineStr">
        <is>
          <t>Department</t>
        </is>
      </c>
      <c r="C5" s="12" t="inlineStr">
        <is>
          <t>Final Year
Students</t>
        </is>
      </c>
      <c r="D5" s="12" t="inlineStr">
        <is>
          <t>Registered
for Placement</t>
        </is>
      </c>
      <c r="E5" s="12" t="inlineStr">
        <is>
          <t>Placed
(Industry)</t>
        </is>
      </c>
      <c r="F5" s="12" t="inlineStr">
        <is>
          <t>Higher
Studies</t>
        </is>
      </c>
      <c r="G5" s="12" t="inlineStr">
        <is>
          <t>Entrepre-
neurship</t>
        </is>
      </c>
      <c r="H5" s="12" t="inlineStr">
        <is>
          <t>Placement
Rate %</t>
        </is>
      </c>
      <c r="I5" s="12" t="inlineStr">
        <is>
          <t>Avg CTC
(₹L PA)</t>
        </is>
      </c>
    </row>
    <row r="6" ht="22" customHeight="1">
      <c r="B6" s="15" t="inlineStr">
        <is>
          <t>CSE</t>
        </is>
      </c>
      <c r="C6" s="15" t="inlineStr"/>
      <c r="D6" s="15" t="inlineStr"/>
      <c r="E6" s="15" t="inlineStr"/>
      <c r="F6" s="15" t="inlineStr"/>
      <c r="G6" s="15" t="inlineStr"/>
      <c r="H6" s="15">
        <f>IFERROR(ROUND(E6/C6*100,1),"")</f>
        <v/>
      </c>
      <c r="I6" s="15" t="inlineStr"/>
    </row>
    <row r="7" ht="22" customHeight="1">
      <c r="B7" s="6" t="inlineStr">
        <is>
          <t>ECE</t>
        </is>
      </c>
      <c r="C7" s="6" t="inlineStr"/>
      <c r="D7" s="6" t="inlineStr"/>
      <c r="E7" s="6" t="inlineStr"/>
      <c r="F7" s="6" t="inlineStr"/>
      <c r="G7" s="6" t="inlineStr"/>
      <c r="H7" s="6">
        <f>IFERROR(ROUND(E7/C7*100,1),"")</f>
        <v/>
      </c>
      <c r="I7" s="6" t="inlineStr"/>
    </row>
    <row r="8" ht="22" customHeight="1">
      <c r="B8" s="15" t="inlineStr">
        <is>
          <t>EEE</t>
        </is>
      </c>
      <c r="C8" s="15" t="inlineStr"/>
      <c r="D8" s="15" t="inlineStr"/>
      <c r="E8" s="15" t="inlineStr"/>
      <c r="F8" s="15" t="inlineStr"/>
      <c r="G8" s="15" t="inlineStr"/>
      <c r="H8" s="15">
        <f>IFERROR(ROUND(E8/C8*100,1),"")</f>
        <v/>
      </c>
      <c r="I8" s="15" t="inlineStr"/>
    </row>
    <row r="9" ht="22" customHeight="1">
      <c r="B9" s="6" t="inlineStr">
        <is>
          <t>MECH</t>
        </is>
      </c>
      <c r="C9" s="6" t="inlineStr"/>
      <c r="D9" s="6" t="inlineStr"/>
      <c r="E9" s="6" t="inlineStr"/>
      <c r="F9" s="6" t="inlineStr"/>
      <c r="G9" s="6" t="inlineStr"/>
      <c r="H9" s="6">
        <f>IFERROR(ROUND(E9/C9*100,1),"")</f>
        <v/>
      </c>
      <c r="I9" s="6" t="inlineStr"/>
    </row>
    <row r="10" ht="22" customHeight="1">
      <c r="B10" s="15" t="inlineStr">
        <is>
          <t>CIVIL</t>
        </is>
      </c>
      <c r="C10" s="15" t="inlineStr"/>
      <c r="D10" s="15" t="inlineStr"/>
      <c r="E10" s="15" t="inlineStr"/>
      <c r="F10" s="15" t="inlineStr"/>
      <c r="G10" s="15" t="inlineStr"/>
      <c r="H10" s="15">
        <f>IFERROR(ROUND(E10/C10*100,1),"")</f>
        <v/>
      </c>
      <c r="I10" s="15" t="inlineStr"/>
    </row>
    <row r="11" ht="22" customHeight="1">
      <c r="B11" s="6" t="inlineStr">
        <is>
          <t>MBA</t>
        </is>
      </c>
      <c r="C11" s="6" t="inlineStr"/>
      <c r="D11" s="6" t="inlineStr"/>
      <c r="E11" s="6" t="inlineStr"/>
      <c r="F11" s="6" t="inlineStr"/>
      <c r="G11" s="6" t="inlineStr"/>
      <c r="H11" s="6">
        <f>IFERROR(ROUND(E11/C11*100,1),"")</f>
        <v/>
      </c>
      <c r="I11" s="6" t="inlineStr"/>
    </row>
    <row r="12" ht="22" customHeight="1">
      <c r="B12" s="15" t="inlineStr">
        <is>
          <t>MCA</t>
        </is>
      </c>
      <c r="C12" s="15" t="inlineStr"/>
      <c r="D12" s="15" t="inlineStr"/>
      <c r="E12" s="15" t="inlineStr"/>
      <c r="F12" s="15" t="inlineStr"/>
      <c r="G12" s="15" t="inlineStr"/>
      <c r="H12" s="15">
        <f>IFERROR(ROUND(E12/C12*100,1),"")</f>
        <v/>
      </c>
      <c r="I12" s="15" t="inlineStr"/>
    </row>
    <row r="13" ht="22" customHeight="1">
      <c r="B13" s="61" t="inlineStr">
        <is>
          <t>INSTITUTION</t>
        </is>
      </c>
      <c r="C13" s="61" t="inlineStr"/>
      <c r="D13" s="61" t="inlineStr"/>
      <c r="E13" s="61" t="inlineStr"/>
      <c r="F13" s="61" t="inlineStr"/>
      <c r="G13" s="61" t="inlineStr"/>
      <c r="H13" s="61">
        <f>IFERROR(ROUND(E13/C13*100,1),"")</f>
        <v/>
      </c>
      <c r="I13" s="61" t="inlineStr"/>
    </row>
    <row r="14" ht="22" customHeight="1"/>
    <row r="15" ht="24" customHeight="1">
      <c r="B15" s="34" t="inlineStr">
        <is>
          <t>PART B — MoU &amp; INDUSTRY COLLABORATION MONITORING</t>
        </is>
      </c>
    </row>
    <row r="16" ht="22" customHeight="1">
      <c r="B16" s="30" t="inlineStr">
        <is>
          <t>Metric</t>
        </is>
      </c>
      <c r="C16" s="30" t="inlineStr">
        <is>
          <t>PMB Target
(Annual)</t>
        </is>
      </c>
      <c r="D16" s="30" t="inlineStr">
        <is>
          <t>Q1 Actual</t>
        </is>
      </c>
      <c r="E16" s="30" t="inlineStr">
        <is>
          <t>Q2 Actual</t>
        </is>
      </c>
      <c r="F16" s="30" t="inlineStr">
        <is>
          <t>Q3 Actual</t>
        </is>
      </c>
      <c r="G16" s="30" t="inlineStr">
        <is>
          <t>Annual
Total</t>
        </is>
      </c>
      <c r="H16" s="30" t="inlineStr">
        <is>
          <t>Achievement
%</t>
        </is>
      </c>
      <c r="I16" s="30" t="inlineStr">
        <is>
          <t>PMB Remarks</t>
        </is>
      </c>
    </row>
    <row r="17" ht="22" customHeight="1">
      <c r="B17" s="35" t="inlineStr">
        <is>
          <t>Active MoUs (Total)</t>
        </is>
      </c>
      <c r="C17" s="33" t="inlineStr"/>
      <c r="D17" s="33" t="inlineStr"/>
      <c r="E17" s="33" t="inlineStr"/>
      <c r="F17" s="33" t="inlineStr"/>
      <c r="G17" s="33">
        <f>IFERROR(SUM(D17:G17),"")</f>
        <v/>
      </c>
      <c r="H17" s="33">
        <f>IFERROR(ROUND(H17/C17*100,1),"")</f>
        <v/>
      </c>
      <c r="I17" s="32" t="inlineStr"/>
    </row>
    <row r="18" ht="22" customHeight="1">
      <c r="B18" s="25" t="inlineStr">
        <is>
          <t>New MoUs signed this year</t>
        </is>
      </c>
      <c r="C18" s="6" t="inlineStr"/>
      <c r="D18" s="6" t="inlineStr"/>
      <c r="E18" s="6" t="inlineStr"/>
      <c r="F18" s="6" t="inlineStr"/>
      <c r="G18" s="6">
        <f>IFERROR(SUM(D18:G18),"")</f>
        <v/>
      </c>
      <c r="H18" s="6">
        <f>IFERROR(ROUND(H18/C18*100,1),"")</f>
        <v/>
      </c>
      <c r="I18" s="5" t="inlineStr"/>
    </row>
    <row r="19" ht="22" customHeight="1">
      <c r="B19" s="35" t="inlineStr">
        <is>
          <t>Joint R&amp;D / Projects</t>
        </is>
      </c>
      <c r="C19" s="33" t="inlineStr"/>
      <c r="D19" s="33" t="inlineStr"/>
      <c r="E19" s="33" t="inlineStr"/>
      <c r="F19" s="33" t="inlineStr"/>
      <c r="G19" s="33">
        <f>IFERROR(SUM(D19:G19),"")</f>
        <v/>
      </c>
      <c r="H19" s="33">
        <f>IFERROR(ROUND(H19/C19*100,1),"")</f>
        <v/>
      </c>
      <c r="I19" s="32" t="inlineStr"/>
    </row>
    <row r="20" ht="22" customHeight="1">
      <c r="B20" s="25" t="inlineStr">
        <is>
          <t>Guest lectures by industry</t>
        </is>
      </c>
      <c r="C20" s="6" t="inlineStr"/>
      <c r="D20" s="6" t="inlineStr"/>
      <c r="E20" s="6" t="inlineStr"/>
      <c r="F20" s="6" t="inlineStr"/>
      <c r="G20" s="6">
        <f>IFERROR(SUM(D20:G20),"")</f>
        <v/>
      </c>
      <c r="H20" s="6">
        <f>IFERROR(ROUND(H20/C20*100,1),"")</f>
        <v/>
      </c>
      <c r="I20" s="5" t="inlineStr"/>
    </row>
    <row r="21" ht="22" customHeight="1">
      <c r="B21" s="35" t="inlineStr">
        <is>
          <t>Students on internship</t>
        </is>
      </c>
      <c r="C21" s="33" t="inlineStr"/>
      <c r="D21" s="33" t="inlineStr"/>
      <c r="E21" s="33" t="inlineStr"/>
      <c r="F21" s="33" t="inlineStr"/>
      <c r="G21" s="33">
        <f>IFERROR(SUM(D21:G21),"")</f>
        <v/>
      </c>
      <c r="H21" s="33">
        <f>IFERROR(ROUND(H21/C21*100,1),"")</f>
        <v/>
      </c>
      <c r="I21" s="32" t="inlineStr"/>
    </row>
    <row r="22" ht="22" customHeight="1">
      <c r="B22" s="25" t="inlineStr">
        <is>
          <t>Students placed via MoU partners</t>
        </is>
      </c>
      <c r="C22" s="6" t="inlineStr"/>
      <c r="D22" s="6" t="inlineStr"/>
      <c r="E22" s="6" t="inlineStr"/>
      <c r="F22" s="6" t="inlineStr"/>
      <c r="G22" s="6">
        <f>IFERROR(SUM(D22:G22),"")</f>
        <v/>
      </c>
      <c r="H22" s="6">
        <f>IFERROR(ROUND(H22/C22*100,1),"")</f>
        <v/>
      </c>
      <c r="I22" s="5" t="inlineStr"/>
    </row>
    <row r="23" ht="22" customHeight="1">
      <c r="B23" s="35" t="inlineStr">
        <is>
          <t>Faculty industry visits</t>
        </is>
      </c>
      <c r="C23" s="33" t="inlineStr"/>
      <c r="D23" s="33" t="inlineStr"/>
      <c r="E23" s="33" t="inlineStr"/>
      <c r="F23" s="33" t="inlineStr"/>
      <c r="G23" s="33">
        <f>IFERROR(SUM(D23:G23),"")</f>
        <v/>
      </c>
      <c r="H23" s="33">
        <f>IFERROR(ROUND(H23/C23*100,1),"")</f>
        <v/>
      </c>
      <c r="I23" s="32" t="inlineStr"/>
    </row>
    <row r="24" ht="22" customHeight="1">
      <c r="B24" s="25" t="inlineStr">
        <is>
          <t>Industry visits to campus</t>
        </is>
      </c>
      <c r="C24" s="6" t="inlineStr"/>
      <c r="D24" s="6" t="inlineStr"/>
      <c r="E24" s="6" t="inlineStr"/>
      <c r="F24" s="6" t="inlineStr"/>
      <c r="G24" s="6">
        <f>IFERROR(SUM(D24:G24),"")</f>
        <v/>
      </c>
      <c r="H24" s="6">
        <f>IFERROR(ROUND(H24/C24*100,1),"")</f>
        <v/>
      </c>
      <c r="I24" s="5" t="inlineStr"/>
    </row>
    <row r="25" ht="22" customHeight="1">
      <c r="B25" s="35" t="inlineStr">
        <is>
          <t>Consultancy projects</t>
        </is>
      </c>
      <c r="C25" s="33" t="inlineStr"/>
      <c r="D25" s="33" t="inlineStr"/>
      <c r="E25" s="33" t="inlineStr"/>
      <c r="F25" s="33" t="inlineStr"/>
      <c r="G25" s="33">
        <f>IFERROR(SUM(D25:G25),"")</f>
        <v/>
      </c>
      <c r="H25" s="33">
        <f>IFERROR(ROUND(H25/C25*100,1),"")</f>
        <v/>
      </c>
      <c r="I25" s="32" t="inlineStr"/>
    </row>
    <row r="26" ht="22" customHeight="1"/>
    <row r="27" ht="24" customHeight="1">
      <c r="B27" s="43" t="inlineStr">
        <is>
          <t>PART C — ALUMNI ENGAGEMENT MONITORING</t>
        </is>
      </c>
    </row>
    <row r="28" ht="22" customHeight="1">
      <c r="B28" s="57" t="inlineStr">
        <is>
          <t>Engagement Metric</t>
        </is>
      </c>
      <c r="C28" s="57" t="inlineStr">
        <is>
          <t>PMB Target</t>
        </is>
      </c>
      <c r="D28" s="57" t="inlineStr">
        <is>
          <t>Achieved</t>
        </is>
      </c>
      <c r="E28" s="57" t="inlineStr">
        <is>
          <t>Achievement %</t>
        </is>
      </c>
      <c r="F28" s="57" t="inlineStr">
        <is>
          <t>Financial
Contribution (₹L)</t>
        </is>
      </c>
      <c r="G28" s="57" t="inlineStr">
        <is>
          <t>Students
Benefited</t>
        </is>
      </c>
      <c r="H28" s="57" t="inlineStr">
        <is>
          <t>Status</t>
        </is>
      </c>
      <c r="I28" s="57" t="inlineStr">
        <is>
          <t>PMB Direction</t>
        </is>
      </c>
    </row>
    <row r="29" ht="22" customHeight="1">
      <c r="B29" s="73" t="inlineStr">
        <is>
          <t>Total Registered Alumni</t>
        </is>
      </c>
      <c r="C29" s="44" t="inlineStr"/>
      <c r="D29" s="44" t="inlineStr"/>
      <c r="E29" s="44">
        <f>IFERROR(ROUND(D29/C29*100,1),"")</f>
        <v/>
      </c>
      <c r="F29" s="44" t="inlineStr"/>
      <c r="G29" s="44" t="inlineStr"/>
      <c r="H29" s="44" t="inlineStr"/>
      <c r="I29" s="45" t="inlineStr"/>
    </row>
    <row r="30" ht="22" customHeight="1">
      <c r="B30" s="25" t="inlineStr">
        <is>
          <t>Alumni participating in events</t>
        </is>
      </c>
      <c r="C30" s="6" t="inlineStr"/>
      <c r="D30" s="6" t="inlineStr"/>
      <c r="E30" s="6">
        <f>IFERROR(ROUND(D30/C30*100,1),"")</f>
        <v/>
      </c>
      <c r="F30" s="6" t="inlineStr"/>
      <c r="G30" s="6" t="inlineStr"/>
      <c r="H30" s="6" t="inlineStr"/>
      <c r="I30" s="5" t="inlineStr"/>
    </row>
    <row r="31" ht="22" customHeight="1">
      <c r="B31" s="73" t="inlineStr">
        <is>
          <t>Guest lectures by alumni</t>
        </is>
      </c>
      <c r="C31" s="44" t="inlineStr"/>
      <c r="D31" s="44" t="inlineStr"/>
      <c r="E31" s="44">
        <f>IFERROR(ROUND(D31/C31*100,1),"")</f>
        <v/>
      </c>
      <c r="F31" s="44" t="inlineStr"/>
      <c r="G31" s="44" t="inlineStr"/>
      <c r="H31" s="44" t="inlineStr"/>
      <c r="I31" s="45" t="inlineStr"/>
    </row>
    <row r="32" ht="22" customHeight="1">
      <c r="B32" s="25" t="inlineStr">
        <is>
          <t>Scholarships by alumni</t>
        </is>
      </c>
      <c r="C32" s="6" t="inlineStr"/>
      <c r="D32" s="6" t="inlineStr"/>
      <c r="E32" s="6">
        <f>IFERROR(ROUND(D32/C32*100,1),"")</f>
        <v/>
      </c>
      <c r="F32" s="6" t="inlineStr"/>
      <c r="G32" s="6" t="inlineStr"/>
      <c r="H32" s="6" t="inlineStr"/>
      <c r="I32" s="5" t="inlineStr"/>
    </row>
    <row r="33" ht="22" customHeight="1">
      <c r="B33" s="73" t="inlineStr">
        <is>
          <t>Placements via alumni</t>
        </is>
      </c>
      <c r="C33" s="44" t="inlineStr"/>
      <c r="D33" s="44" t="inlineStr"/>
      <c r="E33" s="44">
        <f>IFERROR(ROUND(D33/C33*100,1),"")</f>
        <v/>
      </c>
      <c r="F33" s="44" t="inlineStr"/>
      <c r="G33" s="44" t="inlineStr"/>
      <c r="H33" s="44" t="inlineStr"/>
      <c r="I33" s="45" t="inlineStr"/>
    </row>
    <row r="34" ht="22" customHeight="1">
      <c r="B34" s="25" t="inlineStr">
        <is>
          <t>Mentorship connections</t>
        </is>
      </c>
      <c r="C34" s="6" t="inlineStr"/>
      <c r="D34" s="6" t="inlineStr"/>
      <c r="E34" s="6">
        <f>IFERROR(ROUND(D34/C34*100,1),"")</f>
        <v/>
      </c>
      <c r="F34" s="6" t="inlineStr"/>
      <c r="G34" s="6" t="inlineStr"/>
      <c r="H34" s="6" t="inlineStr"/>
      <c r="I34" s="5" t="inlineStr"/>
    </row>
    <row r="35" ht="22" customHeight="1">
      <c r="B35" s="73" t="inlineStr">
        <is>
          <t>Alumni donations (₹L)</t>
        </is>
      </c>
      <c r="C35" s="44" t="inlineStr"/>
      <c r="D35" s="44" t="inlineStr"/>
      <c r="E35" s="44">
        <f>IFERROR(ROUND(D35/C35*100,1),"")</f>
        <v/>
      </c>
      <c r="F35" s="44" t="inlineStr"/>
      <c r="G35" s="44" t="inlineStr"/>
      <c r="H35" s="44" t="inlineStr"/>
      <c r="I35" s="45" t="inlineStr"/>
    </row>
    <row r="36" ht="22" customHeight="1">
      <c r="B36" s="25" t="inlineStr">
        <is>
          <t>Alumni chapters (regions)</t>
        </is>
      </c>
      <c r="C36" s="6" t="inlineStr"/>
      <c r="D36" s="6" t="inlineStr"/>
      <c r="E36" s="6">
        <f>IFERROR(ROUND(D36/C36*100,1),"")</f>
        <v/>
      </c>
      <c r="F36" s="6" t="inlineStr"/>
      <c r="G36" s="6" t="inlineStr"/>
      <c r="H36" s="6" t="inlineStr"/>
      <c r="I36" s="5" t="inlineStr"/>
    </row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</sheetData>
  <mergeCells count="5">
    <mergeCell ref="B15:I15"/>
    <mergeCell ref="B2:I2"/>
    <mergeCell ref="B3:I3"/>
    <mergeCell ref="B27:I27"/>
    <mergeCell ref="B4:I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I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PM-16: ACCREDITATION &amp; RANKING MONITORING REGISTER</t>
        </is>
      </c>
    </row>
    <row r="3" ht="25" customHeight="1">
      <c r="B3" s="2" t="inlineStr">
        <is>
          <t>A.Y.: _______  IQAC Coordinator: ___________________  Reviewed in PMB Meeting No.: _______</t>
        </is>
      </c>
    </row>
    <row r="4" ht="24" customHeight="1">
      <c r="B4" s="38" t="inlineStr">
        <is>
          <t>NAAC PREPARATION MILESTONE TRACKER</t>
        </is>
      </c>
    </row>
    <row r="5" ht="22" customHeight="1">
      <c r="B5" s="12" t="inlineStr">
        <is>
          <t>Criterion</t>
        </is>
      </c>
      <c r="C5" s="12" t="inlineStr">
        <is>
          <t>Key Milestone</t>
        </is>
      </c>
      <c r="D5" s="12" t="inlineStr">
        <is>
          <t>Target Date</t>
        </is>
      </c>
      <c r="E5" s="12" t="inlineStr">
        <is>
          <t>Responsible</t>
        </is>
      </c>
      <c r="F5" s="12" t="inlineStr">
        <is>
          <t>Status</t>
        </is>
      </c>
      <c r="G5" s="12" t="inlineStr">
        <is>
          <t>DVV Ready?</t>
        </is>
      </c>
      <c r="H5" s="12" t="inlineStr">
        <is>
          <t>PMB Rating
(1–5)</t>
        </is>
      </c>
      <c r="I5" s="12" t="inlineStr">
        <is>
          <t>PMB Direction</t>
        </is>
      </c>
    </row>
    <row r="6" ht="22" customHeight="1">
      <c r="B6" s="13" t="inlineStr">
        <is>
          <t>Criterion I</t>
        </is>
      </c>
      <c r="C6" s="14" t="inlineStr">
        <is>
          <t>Stakeholder feedback on curriculum compiled</t>
        </is>
      </c>
      <c r="D6" s="15" t="inlineStr"/>
      <c r="E6" s="15" t="inlineStr"/>
      <c r="F6" s="15" t="inlineStr">
        <is>
          <t>In Progress</t>
        </is>
      </c>
      <c r="G6" s="15" t="inlineStr"/>
      <c r="H6" s="15" t="inlineStr"/>
      <c r="I6" s="14" t="inlineStr"/>
    </row>
    <row r="7" ht="22" customHeight="1">
      <c r="B7" s="4" t="inlineStr">
        <is>
          <t>Criterion II</t>
        </is>
      </c>
      <c r="C7" s="5" t="inlineStr">
        <is>
          <t>CO attainment computed for all programmes</t>
        </is>
      </c>
      <c r="D7" s="6" t="inlineStr"/>
      <c r="E7" s="6" t="inlineStr"/>
      <c r="F7" s="6" t="inlineStr">
        <is>
          <t>In Progress</t>
        </is>
      </c>
      <c r="G7" s="6" t="inlineStr"/>
      <c r="H7" s="6" t="inlineStr"/>
      <c r="I7" s="5" t="inlineStr"/>
    </row>
    <row r="8" ht="22" customHeight="1">
      <c r="B8" s="13" t="inlineStr">
        <is>
          <t>Criterion III</t>
        </is>
      </c>
      <c r="C8" s="14" t="inlineStr">
        <is>
          <t>Research data (pubs/grants/patents) verified</t>
        </is>
      </c>
      <c r="D8" s="15" t="inlineStr"/>
      <c r="E8" s="15" t="inlineStr"/>
      <c r="F8" s="15" t="inlineStr">
        <is>
          <t>In Progress</t>
        </is>
      </c>
      <c r="G8" s="15" t="inlineStr"/>
      <c r="H8" s="15" t="inlineStr"/>
      <c r="I8" s="14" t="inlineStr"/>
    </row>
    <row r="9" ht="22" customHeight="1">
      <c r="B9" s="4" t="inlineStr">
        <is>
          <t>Criterion IV</t>
        </is>
      </c>
      <c r="C9" s="5" t="inlineStr">
        <is>
          <t>Infrastructure audit completed</t>
        </is>
      </c>
      <c r="D9" s="6" t="inlineStr"/>
      <c r="E9" s="6" t="inlineStr"/>
      <c r="F9" s="6" t="inlineStr">
        <is>
          <t>In Progress</t>
        </is>
      </c>
      <c r="G9" s="6" t="inlineStr"/>
      <c r="H9" s="6" t="inlineStr"/>
      <c r="I9" s="5" t="inlineStr"/>
    </row>
    <row r="10" ht="22" customHeight="1">
      <c r="B10" s="13" t="inlineStr">
        <is>
          <t>Criterion V</t>
        </is>
      </c>
      <c r="C10" s="14" t="inlineStr">
        <is>
          <t>Placement &amp; scholarship data compiled</t>
        </is>
      </c>
      <c r="D10" s="15" t="inlineStr"/>
      <c r="E10" s="15" t="inlineStr"/>
      <c r="F10" s="15" t="inlineStr">
        <is>
          <t>In Progress</t>
        </is>
      </c>
      <c r="G10" s="15" t="inlineStr"/>
      <c r="H10" s="15" t="inlineStr"/>
      <c r="I10" s="14" t="inlineStr"/>
    </row>
    <row r="11" ht="22" customHeight="1">
      <c r="B11" s="4" t="inlineStr">
        <is>
          <t>Criterion VI</t>
        </is>
      </c>
      <c r="C11" s="5" t="inlineStr">
        <is>
          <t>Governance documents &amp; e-Gov data ready</t>
        </is>
      </c>
      <c r="D11" s="6" t="inlineStr"/>
      <c r="E11" s="6" t="inlineStr"/>
      <c r="F11" s="6" t="inlineStr">
        <is>
          <t>In Progress</t>
        </is>
      </c>
      <c r="G11" s="6" t="inlineStr"/>
      <c r="H11" s="6" t="inlineStr"/>
      <c r="I11" s="5" t="inlineStr"/>
    </row>
    <row r="12" ht="22" customHeight="1">
      <c r="B12" s="13" t="inlineStr">
        <is>
          <t>Criterion VII</t>
        </is>
      </c>
      <c r="C12" s="14" t="inlineStr">
        <is>
          <t>Best practices documented (min 2)</t>
        </is>
      </c>
      <c r="D12" s="15" t="inlineStr"/>
      <c r="E12" s="15" t="inlineStr"/>
      <c r="F12" s="15" t="inlineStr">
        <is>
          <t>In Progress</t>
        </is>
      </c>
      <c r="G12" s="15" t="inlineStr"/>
      <c r="H12" s="15" t="inlineStr"/>
      <c r="I12" s="14" t="inlineStr"/>
    </row>
    <row r="13" ht="22" customHeight="1">
      <c r="B13" s="4" t="inlineStr">
        <is>
          <t>SSR Overall</t>
        </is>
      </c>
      <c r="C13" s="5" t="inlineStr">
        <is>
          <t>Self-Study Report draft ready for PMB review</t>
        </is>
      </c>
      <c r="D13" s="6" t="inlineStr"/>
      <c r="E13" s="6" t="inlineStr"/>
      <c r="F13" s="6" t="inlineStr">
        <is>
          <t>In Progress</t>
        </is>
      </c>
      <c r="G13" s="6" t="inlineStr"/>
      <c r="H13" s="6" t="inlineStr"/>
      <c r="I13" s="5" t="inlineStr"/>
    </row>
    <row r="14" ht="22" customHeight="1">
      <c r="B14" s="13" t="inlineStr">
        <is>
          <t>DVV</t>
        </is>
      </c>
      <c r="C14" s="14" t="inlineStr">
        <is>
          <t>Data Validation &amp; Verification documents prepared</t>
        </is>
      </c>
      <c r="D14" s="15" t="inlineStr"/>
      <c r="E14" s="15" t="inlineStr"/>
      <c r="F14" s="15" t="inlineStr">
        <is>
          <t>In Progress</t>
        </is>
      </c>
      <c r="G14" s="15" t="inlineStr"/>
      <c r="H14" s="15" t="inlineStr"/>
      <c r="I14" s="14" t="inlineStr"/>
    </row>
    <row r="15" ht="22" customHeight="1">
      <c r="B15" s="4" t="inlineStr">
        <is>
          <t>Pre-Assessment</t>
        </is>
      </c>
      <c r="C15" s="5" t="inlineStr">
        <is>
          <t>Mock NAAC peer visit conducted</t>
        </is>
      </c>
      <c r="D15" s="6" t="inlineStr"/>
      <c r="E15" s="6" t="inlineStr"/>
      <c r="F15" s="6" t="inlineStr">
        <is>
          <t>In Progress</t>
        </is>
      </c>
      <c r="G15" s="6" t="inlineStr"/>
      <c r="H15" s="6" t="inlineStr"/>
      <c r="I15" s="5" t="inlineStr"/>
    </row>
    <row r="16" ht="22" customHeight="1"/>
    <row r="17" ht="24" customHeight="1">
      <c r="B17" s="34" t="inlineStr">
        <is>
          <t>NBA PROGRAMME-WISE ACCREDITATION STATUS</t>
        </is>
      </c>
    </row>
    <row r="18" ht="22" customHeight="1">
      <c r="B18" s="30" t="inlineStr">
        <is>
          <t>Programme</t>
        </is>
      </c>
      <c r="C18" s="30" t="inlineStr">
        <is>
          <t>NBA Criterion-wise
Readiness</t>
        </is>
      </c>
      <c r="D18" s="30" t="inlineStr">
        <is>
          <t>Current
Status</t>
        </is>
      </c>
      <c r="E18" s="30" t="inlineStr">
        <is>
          <t>Valid Upto</t>
        </is>
      </c>
      <c r="F18" s="30" t="inlineStr">
        <is>
          <t>SAR
Draft %</t>
        </is>
      </c>
      <c r="G18" s="30" t="inlineStr">
        <is>
          <t>CO-PO Attainment
Ready</t>
        </is>
      </c>
      <c r="H18" s="30" t="inlineStr">
        <is>
          <t>Next Submission</t>
        </is>
      </c>
      <c r="I18" s="30" t="inlineStr">
        <is>
          <t>PMB Target</t>
        </is>
      </c>
    </row>
    <row r="19" ht="22" customHeight="1">
      <c r="B19" s="35" t="inlineStr">
        <is>
          <t>B.E. CSE</t>
        </is>
      </c>
      <c r="C19" s="33" t="inlineStr"/>
      <c r="D19" s="33" t="inlineStr">
        <is>
          <t>Accredited</t>
        </is>
      </c>
      <c r="E19" s="33" t="inlineStr"/>
      <c r="F19" s="33" t="inlineStr"/>
      <c r="G19" s="33" t="inlineStr"/>
      <c r="H19" s="33" t="inlineStr"/>
      <c r="I19" s="33" t="inlineStr"/>
    </row>
    <row r="20" ht="22" customHeight="1">
      <c r="B20" s="25" t="inlineStr">
        <is>
          <t>B.E. ECE</t>
        </is>
      </c>
      <c r="C20" s="6" t="inlineStr"/>
      <c r="D20" s="6" t="inlineStr">
        <is>
          <t>Accredited</t>
        </is>
      </c>
      <c r="E20" s="6" t="inlineStr"/>
      <c r="F20" s="6" t="inlineStr"/>
      <c r="G20" s="6" t="inlineStr"/>
      <c r="H20" s="6" t="inlineStr"/>
      <c r="I20" s="6" t="inlineStr"/>
    </row>
    <row r="21" ht="22" customHeight="1">
      <c r="B21" s="35" t="inlineStr">
        <is>
          <t>B.E. EEE</t>
        </is>
      </c>
      <c r="C21" s="33" t="inlineStr"/>
      <c r="D21" s="33" t="inlineStr">
        <is>
          <t>Accredited</t>
        </is>
      </c>
      <c r="E21" s="33" t="inlineStr"/>
      <c r="F21" s="33" t="inlineStr"/>
      <c r="G21" s="33" t="inlineStr"/>
      <c r="H21" s="33" t="inlineStr"/>
      <c r="I21" s="33" t="inlineStr"/>
    </row>
    <row r="22" ht="22" customHeight="1">
      <c r="B22" s="25" t="inlineStr">
        <is>
          <t>B.E. MECH</t>
        </is>
      </c>
      <c r="C22" s="6" t="inlineStr"/>
      <c r="D22" s="6" t="inlineStr">
        <is>
          <t>Accredited</t>
        </is>
      </c>
      <c r="E22" s="6" t="inlineStr"/>
      <c r="F22" s="6" t="inlineStr"/>
      <c r="G22" s="6" t="inlineStr"/>
      <c r="H22" s="6" t="inlineStr"/>
      <c r="I22" s="6" t="inlineStr"/>
    </row>
    <row r="23" ht="22" customHeight="1">
      <c r="B23" s="35" t="inlineStr">
        <is>
          <t>B.E. CIVIL</t>
        </is>
      </c>
      <c r="C23" s="33" t="inlineStr"/>
      <c r="D23" s="33" t="inlineStr">
        <is>
          <t>Accredited</t>
        </is>
      </c>
      <c r="E23" s="33" t="inlineStr"/>
      <c r="F23" s="33" t="inlineStr"/>
      <c r="G23" s="33" t="inlineStr"/>
      <c r="H23" s="33" t="inlineStr"/>
      <c r="I23" s="33" t="inlineStr"/>
    </row>
    <row r="24" ht="22" customHeight="1">
      <c r="B24" s="25" t="inlineStr">
        <is>
          <t>M.E. CSE</t>
        </is>
      </c>
      <c r="C24" s="6" t="inlineStr"/>
      <c r="D24" s="6" t="inlineStr">
        <is>
          <t>Accredited</t>
        </is>
      </c>
      <c r="E24" s="6" t="inlineStr"/>
      <c r="F24" s="6" t="inlineStr"/>
      <c r="G24" s="6" t="inlineStr"/>
      <c r="H24" s="6" t="inlineStr"/>
      <c r="I24" s="6" t="inlineStr"/>
    </row>
    <row r="25" ht="22" customHeight="1">
      <c r="B25" s="35" t="inlineStr">
        <is>
          <t>MBA</t>
        </is>
      </c>
      <c r="C25" s="33" t="inlineStr"/>
      <c r="D25" s="33" t="inlineStr">
        <is>
          <t>Accredited</t>
        </is>
      </c>
      <c r="E25" s="33" t="inlineStr"/>
      <c r="F25" s="33" t="inlineStr"/>
      <c r="G25" s="33" t="inlineStr"/>
      <c r="H25" s="33" t="inlineStr"/>
      <c r="I25" s="33" t="inlineStr"/>
    </row>
    <row r="26" ht="22" customHeight="1"/>
    <row r="27" ht="24" customHeight="1">
      <c r="B27" s="20" t="inlineStr">
        <is>
          <t>NIRF RANKING MONITORING</t>
        </is>
      </c>
    </row>
    <row r="28" ht="22" customHeight="1">
      <c r="B28" s="21" t="inlineStr">
        <is>
          <t>NIRF Parameter</t>
        </is>
      </c>
      <c r="C28" s="21" t="inlineStr">
        <is>
          <t>Weightage
(%)</t>
        </is>
      </c>
      <c r="D28" s="21" t="inlineStr">
        <is>
          <t>Score
(Prev. Year)</t>
        </is>
      </c>
      <c r="E28" s="21" t="inlineStr">
        <is>
          <t>Score
(Target)</t>
        </is>
      </c>
      <c r="F28" s="21" t="inlineStr">
        <is>
          <t>Action Needed</t>
        </is>
      </c>
      <c r="G28" s="21" t="inlineStr">
        <is>
          <t>Responsible</t>
        </is>
      </c>
      <c r="H28" s="21" t="inlineStr">
        <is>
          <t>PMB Status</t>
        </is>
      </c>
      <c r="I28" s="21" t="inlineStr">
        <is>
          <t>Submission Date</t>
        </is>
      </c>
    </row>
    <row r="29" ht="22" customHeight="1">
      <c r="B29" s="23" t="inlineStr">
        <is>
          <t>Teaching, Learning &amp; Resources</t>
        </is>
      </c>
      <c r="C29" s="22" t="n">
        <v>30</v>
      </c>
      <c r="D29" s="22" t="inlineStr"/>
      <c r="E29" s="22" t="inlineStr"/>
      <c r="F29" s="46" t="inlineStr"/>
      <c r="G29" s="22" t="inlineStr"/>
      <c r="H29" s="22" t="inlineStr"/>
      <c r="I29" s="22" t="inlineStr"/>
    </row>
    <row r="30" ht="22" customHeight="1">
      <c r="B30" s="25" t="inlineStr">
        <is>
          <t>Research &amp; Professional Practice</t>
        </is>
      </c>
      <c r="C30" s="6" t="n">
        <v>30</v>
      </c>
      <c r="D30" s="6" t="inlineStr"/>
      <c r="E30" s="6" t="inlineStr"/>
      <c r="F30" s="5" t="inlineStr"/>
      <c r="G30" s="6" t="inlineStr"/>
      <c r="H30" s="6" t="inlineStr"/>
      <c r="I30" s="6" t="inlineStr"/>
    </row>
    <row r="31" ht="22" customHeight="1">
      <c r="B31" s="23" t="inlineStr">
        <is>
          <t>Graduation Outcomes</t>
        </is>
      </c>
      <c r="C31" s="22" t="n">
        <v>20</v>
      </c>
      <c r="D31" s="22" t="inlineStr"/>
      <c r="E31" s="22" t="inlineStr"/>
      <c r="F31" s="46" t="inlineStr"/>
      <c r="G31" s="22" t="inlineStr"/>
      <c r="H31" s="22" t="inlineStr"/>
      <c r="I31" s="22" t="inlineStr"/>
    </row>
    <row r="32" ht="22" customHeight="1">
      <c r="B32" s="25" t="inlineStr">
        <is>
          <t>Outreach &amp; Inclusivity</t>
        </is>
      </c>
      <c r="C32" s="6" t="n">
        <v>10</v>
      </c>
      <c r="D32" s="6" t="inlineStr"/>
      <c r="E32" s="6" t="inlineStr"/>
      <c r="F32" s="5" t="inlineStr"/>
      <c r="G32" s="6" t="inlineStr"/>
      <c r="H32" s="6" t="inlineStr"/>
      <c r="I32" s="6" t="inlineStr"/>
    </row>
    <row r="33" ht="22" customHeight="1">
      <c r="B33" s="23" t="inlineStr">
        <is>
          <t>Perception</t>
        </is>
      </c>
      <c r="C33" s="22" t="n">
        <v>10</v>
      </c>
      <c r="D33" s="22" t="inlineStr"/>
      <c r="E33" s="22" t="inlineStr"/>
      <c r="F33" s="46" t="inlineStr"/>
      <c r="G33" s="22" t="inlineStr"/>
      <c r="H33" s="22" t="inlineStr"/>
      <c r="I33" s="22" t="inlineStr"/>
    </row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5">
    <mergeCell ref="B2:I2"/>
    <mergeCell ref="B3:I3"/>
    <mergeCell ref="B27:I27"/>
    <mergeCell ref="B4:I4"/>
    <mergeCell ref="B17:I1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1" t="inlineStr">
        <is>
          <t>PM-17: INSTITUTIONAL RISK REGISTER &amp; MITIGATION PLAN</t>
        </is>
      </c>
    </row>
    <row r="3" ht="25" customHeight="1">
      <c r="B3" s="2" t="inlineStr">
        <is>
          <t>A.Y.: _______  Risk Review Cycle: Annual / PMB Meeting  Risk Owner: ___________________  Date: _______</t>
        </is>
      </c>
    </row>
    <row r="4" ht="30" customHeight="1">
      <c r="B4" s="75" t="inlineStr">
        <is>
          <t>Risk
Ref.</t>
        </is>
      </c>
      <c r="C4" s="75" t="inlineStr">
        <is>
          <t>Risk Description</t>
        </is>
      </c>
      <c r="D4" s="75" t="inlineStr">
        <is>
          <t>Risk Category</t>
        </is>
      </c>
      <c r="E4" s="75" t="inlineStr">
        <is>
          <t>Likelihood
(H/M/L)</t>
        </is>
      </c>
      <c r="F4" s="75" t="inlineStr">
        <is>
          <t>Impact
(H/M/L)</t>
        </is>
      </c>
      <c r="G4" s="75" t="inlineStr">
        <is>
          <t>Risk Level
(H/M/L)</t>
        </is>
      </c>
      <c r="H4" s="75" t="inlineStr">
        <is>
          <t>Mitigation Strategy</t>
        </is>
      </c>
      <c r="I4" s="75" t="inlineStr">
        <is>
          <t>Risk Owner</t>
        </is>
      </c>
      <c r="J4" s="75" t="inlineStr">
        <is>
          <t>Review Date</t>
        </is>
      </c>
    </row>
    <row r="5" ht="25" customHeight="1">
      <c r="B5" s="78" t="inlineStr">
        <is>
          <t>RISK/001</t>
        </is>
      </c>
      <c r="C5" s="76" t="inlineStr">
        <is>
          <t>Declining student enrolment due to competition</t>
        </is>
      </c>
      <c r="D5" s="77" t="inlineStr">
        <is>
          <t>Academic</t>
        </is>
      </c>
      <c r="E5" s="77" t="inlineStr">
        <is>
          <t>H</t>
        </is>
      </c>
      <c r="F5" s="77" t="inlineStr">
        <is>
          <t>H</t>
        </is>
      </c>
      <c r="G5" s="79" t="inlineStr">
        <is>
          <t>H</t>
        </is>
      </c>
      <c r="H5" s="76" t="inlineStr"/>
      <c r="I5" s="77" t="inlineStr"/>
      <c r="J5" s="77" t="inlineStr"/>
    </row>
    <row r="6" ht="25" customHeight="1">
      <c r="B6" s="4" t="inlineStr">
        <is>
          <t>RISK/002</t>
        </is>
      </c>
      <c r="C6" s="5" t="inlineStr">
        <is>
          <t>Faculty attrition — loss of key talent</t>
        </is>
      </c>
      <c r="D6" s="6" t="inlineStr">
        <is>
          <t>HR / Talent</t>
        </is>
      </c>
      <c r="E6" s="6" t="inlineStr">
        <is>
          <t>H</t>
        </is>
      </c>
      <c r="F6" s="6" t="inlineStr">
        <is>
          <t>M</t>
        </is>
      </c>
      <c r="G6" s="80" t="inlineStr">
        <is>
          <t>H</t>
        </is>
      </c>
      <c r="H6" s="5" t="inlineStr"/>
      <c r="I6" s="6" t="inlineStr"/>
      <c r="J6" s="6" t="inlineStr"/>
    </row>
    <row r="7" ht="25" customHeight="1">
      <c r="B7" s="78" t="inlineStr">
        <is>
          <t>RISK/003</t>
        </is>
      </c>
      <c r="C7" s="76" t="inlineStr">
        <is>
          <t>Failure to achieve / renew NAAC accreditation</t>
        </is>
      </c>
      <c r="D7" s="77" t="inlineStr">
        <is>
          <t>Regulatory</t>
        </is>
      </c>
      <c r="E7" s="77" t="inlineStr">
        <is>
          <t>M</t>
        </is>
      </c>
      <c r="F7" s="77" t="inlineStr">
        <is>
          <t>H</t>
        </is>
      </c>
      <c r="G7" s="79" t="inlineStr">
        <is>
          <t>H</t>
        </is>
      </c>
      <c r="H7" s="76" t="inlineStr"/>
      <c r="I7" s="77" t="inlineStr"/>
      <c r="J7" s="77" t="inlineStr"/>
    </row>
    <row r="8" ht="25" customHeight="1">
      <c r="B8" s="4" t="inlineStr">
        <is>
          <t>RISK/004</t>
        </is>
      </c>
      <c r="C8" s="5" t="inlineStr">
        <is>
          <t>Budget deficit — revenue shortfall</t>
        </is>
      </c>
      <c r="D8" s="6" t="inlineStr">
        <is>
          <t>Financial</t>
        </is>
      </c>
      <c r="E8" s="6" t="inlineStr">
        <is>
          <t>M</t>
        </is>
      </c>
      <c r="F8" s="6" t="inlineStr">
        <is>
          <t>H</t>
        </is>
      </c>
      <c r="G8" s="80" t="inlineStr">
        <is>
          <t>H</t>
        </is>
      </c>
      <c r="H8" s="5" t="inlineStr"/>
      <c r="I8" s="6" t="inlineStr"/>
      <c r="J8" s="6" t="inlineStr"/>
    </row>
    <row r="9" ht="25" customHeight="1">
      <c r="B9" s="78" t="inlineStr">
        <is>
          <t>RISK/005</t>
        </is>
      </c>
      <c r="C9" s="76" t="inlineStr">
        <is>
          <t>Regulatory non-compliance (AICTE / UGC)</t>
        </is>
      </c>
      <c r="D9" s="77" t="inlineStr">
        <is>
          <t>Regulatory</t>
        </is>
      </c>
      <c r="E9" s="77" t="inlineStr">
        <is>
          <t>L</t>
        </is>
      </c>
      <c r="F9" s="77" t="inlineStr">
        <is>
          <t>H</t>
        </is>
      </c>
      <c r="G9" s="81" t="inlineStr">
        <is>
          <t>M</t>
        </is>
      </c>
      <c r="H9" s="76" t="inlineStr"/>
      <c r="I9" s="77" t="inlineStr"/>
      <c r="J9" s="77" t="inlineStr"/>
    </row>
    <row r="10" ht="25" customHeight="1">
      <c r="B10" s="4" t="inlineStr">
        <is>
          <t>RISK/006</t>
        </is>
      </c>
      <c r="C10" s="5" t="inlineStr">
        <is>
          <t>Poor research output — below ranking benchmarks</t>
        </is>
      </c>
      <c r="D10" s="6" t="inlineStr">
        <is>
          <t>Academic</t>
        </is>
      </c>
      <c r="E10" s="6" t="inlineStr">
        <is>
          <t>M</t>
        </is>
      </c>
      <c r="F10" s="6" t="inlineStr">
        <is>
          <t>M</t>
        </is>
      </c>
      <c r="G10" s="82" t="inlineStr">
        <is>
          <t>M</t>
        </is>
      </c>
      <c r="H10" s="5" t="inlineStr"/>
      <c r="I10" s="6" t="inlineStr"/>
      <c r="J10" s="6" t="inlineStr"/>
    </row>
    <row r="11" ht="25" customHeight="1">
      <c r="B11" s="78" t="inlineStr">
        <is>
          <t>RISK/007</t>
        </is>
      </c>
      <c r="C11" s="76" t="inlineStr">
        <is>
          <t>Cybersecurity / data breach risks</t>
        </is>
      </c>
      <c r="D11" s="77" t="inlineStr">
        <is>
          <t>Technology</t>
        </is>
      </c>
      <c r="E11" s="77" t="inlineStr">
        <is>
          <t>L</t>
        </is>
      </c>
      <c r="F11" s="77" t="inlineStr">
        <is>
          <t>H</t>
        </is>
      </c>
      <c r="G11" s="81" t="inlineStr">
        <is>
          <t>M</t>
        </is>
      </c>
      <c r="H11" s="76" t="inlineStr"/>
      <c r="I11" s="77" t="inlineStr"/>
      <c r="J11" s="77" t="inlineStr"/>
    </row>
    <row r="12" ht="25" customHeight="1">
      <c r="B12" s="4" t="inlineStr">
        <is>
          <t>RISK/008</t>
        </is>
      </c>
      <c r="C12" s="5" t="inlineStr">
        <is>
          <t>Infrastructure failure / natural disaster</t>
        </is>
      </c>
      <c r="D12" s="6" t="inlineStr">
        <is>
          <t>Natural / External</t>
        </is>
      </c>
      <c r="E12" s="6" t="inlineStr">
        <is>
          <t>L</t>
        </is>
      </c>
      <c r="F12" s="6" t="inlineStr">
        <is>
          <t>H</t>
        </is>
      </c>
      <c r="G12" s="82" t="inlineStr">
        <is>
          <t>M</t>
        </is>
      </c>
      <c r="H12" s="5" t="inlineStr"/>
      <c r="I12" s="6" t="inlineStr"/>
      <c r="J12" s="6" t="inlineStr"/>
    </row>
    <row r="13" ht="25" customHeight="1">
      <c r="B13" s="78" t="inlineStr">
        <is>
          <t>RISK/009</t>
        </is>
      </c>
      <c r="C13" s="76" t="inlineStr">
        <is>
          <t>Affiliating university norms change</t>
        </is>
      </c>
      <c r="D13" s="77" t="inlineStr">
        <is>
          <t>Regulatory</t>
        </is>
      </c>
      <c r="E13" s="77" t="inlineStr">
        <is>
          <t>M</t>
        </is>
      </c>
      <c r="F13" s="77" t="inlineStr">
        <is>
          <t>M</t>
        </is>
      </c>
      <c r="G13" s="81" t="inlineStr">
        <is>
          <t>M</t>
        </is>
      </c>
      <c r="H13" s="76" t="inlineStr"/>
      <c r="I13" s="77" t="inlineStr"/>
      <c r="J13" s="77" t="inlineStr"/>
    </row>
    <row r="14" ht="25" customHeight="1">
      <c r="B14" s="4" t="inlineStr">
        <is>
          <t>RISK/010</t>
        </is>
      </c>
      <c r="C14" s="5" t="inlineStr">
        <is>
          <t>Loss of key industry partnerships</t>
        </is>
      </c>
      <c r="D14" s="6" t="inlineStr">
        <is>
          <t>Strategic</t>
        </is>
      </c>
      <c r="E14" s="6" t="inlineStr">
        <is>
          <t>M</t>
        </is>
      </c>
      <c r="F14" s="6" t="inlineStr">
        <is>
          <t>M</t>
        </is>
      </c>
      <c r="G14" s="82" t="inlineStr">
        <is>
          <t>M</t>
        </is>
      </c>
      <c r="H14" s="5" t="inlineStr"/>
      <c r="I14" s="6" t="inlineStr"/>
      <c r="J14" s="6" t="inlineStr"/>
    </row>
    <row r="15" ht="25" customHeight="1">
      <c r="B15" s="78" t="inlineStr">
        <is>
          <t>RISK/011</t>
        </is>
      </c>
      <c r="C15" s="76" t="inlineStr">
        <is>
          <t>Negative social media / reputational crisis</t>
        </is>
      </c>
      <c r="D15" s="77" t="inlineStr">
        <is>
          <t>Reputational</t>
        </is>
      </c>
      <c r="E15" s="77" t="inlineStr">
        <is>
          <t>M</t>
        </is>
      </c>
      <c r="F15" s="77" t="inlineStr">
        <is>
          <t>M</t>
        </is>
      </c>
      <c r="G15" s="81" t="inlineStr">
        <is>
          <t>M</t>
        </is>
      </c>
      <c r="H15" s="76" t="inlineStr"/>
      <c r="I15" s="77" t="inlineStr"/>
      <c r="J15" s="77" t="inlineStr"/>
    </row>
    <row r="16" ht="25" customHeight="1">
      <c r="B16" s="4" t="inlineStr">
        <is>
          <t>RISK/012</t>
        </is>
      </c>
      <c r="C16" s="5" t="inlineStr">
        <is>
          <t>Delayed construction projects</t>
        </is>
      </c>
      <c r="D16" s="6" t="inlineStr">
        <is>
          <t>Infrastructure</t>
        </is>
      </c>
      <c r="E16" s="6" t="inlineStr">
        <is>
          <t>M</t>
        </is>
      </c>
      <c r="F16" s="6" t="inlineStr">
        <is>
          <t>L</t>
        </is>
      </c>
      <c r="G16" s="83" t="inlineStr">
        <is>
          <t>L</t>
        </is>
      </c>
      <c r="H16" s="5" t="inlineStr"/>
      <c r="I16" s="6" t="inlineStr"/>
      <c r="J16" s="6" t="inlineStr"/>
    </row>
    <row r="17" ht="25" customHeight="1">
      <c r="B17" s="78" t="inlineStr">
        <is>
          <t>RISK/013</t>
        </is>
      </c>
      <c r="C17" s="76" t="inlineStr">
        <is>
          <t>Financial fraud / audit qualifications</t>
        </is>
      </c>
      <c r="D17" s="77" t="inlineStr">
        <is>
          <t>Financial</t>
        </is>
      </c>
      <c r="E17" s="77" t="inlineStr">
        <is>
          <t>L</t>
        </is>
      </c>
      <c r="F17" s="77" t="inlineStr">
        <is>
          <t>H</t>
        </is>
      </c>
      <c r="G17" s="81" t="inlineStr">
        <is>
          <t>M</t>
        </is>
      </c>
      <c r="H17" s="76" t="inlineStr"/>
      <c r="I17" s="77" t="inlineStr"/>
      <c r="J17" s="77" t="inlineStr"/>
    </row>
    <row r="18" ht="25" customHeight="1">
      <c r="B18" s="4" t="inlineStr">
        <is>
          <t>RISK/014</t>
        </is>
      </c>
      <c r="C18" s="5" t="inlineStr">
        <is>
          <t>Low student satisfaction scores</t>
        </is>
      </c>
      <c r="D18" s="6" t="inlineStr">
        <is>
          <t>Academic</t>
        </is>
      </c>
      <c r="E18" s="6" t="inlineStr">
        <is>
          <t>H</t>
        </is>
      </c>
      <c r="F18" s="6" t="inlineStr">
        <is>
          <t>M</t>
        </is>
      </c>
      <c r="G18" s="80" t="inlineStr">
        <is>
          <t>H</t>
        </is>
      </c>
      <c r="H18" s="5" t="inlineStr"/>
      <c r="I18" s="6" t="inlineStr"/>
      <c r="J18" s="6" t="inlineStr"/>
    </row>
    <row r="19" ht="25" customHeight="1">
      <c r="B19" s="78" t="inlineStr">
        <is>
          <t>RISK/015</t>
        </is>
      </c>
      <c r="C19" s="76" t="inlineStr">
        <is>
          <t>Inadequate digital infrastructure</t>
        </is>
      </c>
      <c r="D19" s="77" t="inlineStr">
        <is>
          <t>Technology</t>
        </is>
      </c>
      <c r="E19" s="77" t="inlineStr">
        <is>
          <t>M</t>
        </is>
      </c>
      <c r="F19" s="77" t="inlineStr">
        <is>
          <t>M</t>
        </is>
      </c>
      <c r="G19" s="81" t="inlineStr">
        <is>
          <t>M</t>
        </is>
      </c>
      <c r="H19" s="76" t="inlineStr"/>
      <c r="I19" s="77" t="inlineStr"/>
      <c r="J19" s="77" t="inlineStr"/>
    </row>
    <row r="20" ht="25" customHeight="1">
      <c r="B20" s="4" t="inlineStr">
        <is>
          <t>RISK/016</t>
        </is>
      </c>
      <c r="C20" s="5" t="inlineStr">
        <is>
          <t>Governance / leadership succession gap</t>
        </is>
      </c>
      <c r="D20" s="6" t="inlineStr">
        <is>
          <t>Strategic</t>
        </is>
      </c>
      <c r="E20" s="6" t="inlineStr">
        <is>
          <t>L</t>
        </is>
      </c>
      <c r="F20" s="6" t="inlineStr">
        <is>
          <t>H</t>
        </is>
      </c>
      <c r="G20" s="82" t="inlineStr">
        <is>
          <t>M</t>
        </is>
      </c>
      <c r="H20" s="5" t="inlineStr"/>
      <c r="I20" s="6" t="inlineStr"/>
      <c r="J20" s="6" t="inlineStr"/>
    </row>
    <row r="21" ht="25" customHeight="1">
      <c r="B21" s="78" t="inlineStr">
        <is>
          <t>RISK/017</t>
        </is>
      </c>
      <c r="C21" s="76" t="inlineStr">
        <is>
          <t>Fee collection default by students</t>
        </is>
      </c>
      <c r="D21" s="77" t="inlineStr">
        <is>
          <t>Financial</t>
        </is>
      </c>
      <c r="E21" s="77" t="inlineStr">
        <is>
          <t>M</t>
        </is>
      </c>
      <c r="F21" s="77" t="inlineStr">
        <is>
          <t>M</t>
        </is>
      </c>
      <c r="G21" s="81" t="inlineStr">
        <is>
          <t>M</t>
        </is>
      </c>
      <c r="H21" s="76" t="inlineStr"/>
      <c r="I21" s="77" t="inlineStr"/>
      <c r="J21" s="77" t="inlineStr"/>
    </row>
    <row r="22" ht="25" customHeight="1">
      <c r="B22" s="4" t="inlineStr">
        <is>
          <t>RISK/018</t>
        </is>
      </c>
      <c r="C22" s="5" t="inlineStr">
        <is>
          <t>Shortage of qualified lab / support staff</t>
        </is>
      </c>
      <c r="D22" s="6" t="inlineStr">
        <is>
          <t>Operational</t>
        </is>
      </c>
      <c r="E22" s="6" t="inlineStr">
        <is>
          <t>M</t>
        </is>
      </c>
      <c r="F22" s="6" t="inlineStr">
        <is>
          <t>M</t>
        </is>
      </c>
      <c r="G22" s="82" t="inlineStr">
        <is>
          <t>M</t>
        </is>
      </c>
      <c r="H22" s="5" t="inlineStr"/>
      <c r="I22" s="6" t="inlineStr"/>
      <c r="J22" s="6" t="inlineStr"/>
    </row>
    <row r="23" ht="25" customHeight="1"/>
    <row r="24" ht="24" customHeight="1">
      <c r="B24" s="18" t="inlineStr">
        <is>
          <t>RISK HEAT MAP SUMMARY</t>
        </is>
      </c>
    </row>
    <row r="25" ht="25" customHeight="1">
      <c r="B25" s="19" t="inlineStr">
        <is>
          <t>Risk Level</t>
        </is>
      </c>
      <c r="C25" s="19" t="inlineStr">
        <is>
          <t>No. of Risks</t>
        </is>
      </c>
      <c r="D25" s="19" t="inlineStr">
        <is>
          <t>% of Total</t>
        </is>
      </c>
      <c r="E25" s="19" t="inlineStr">
        <is>
          <t>Key Risks</t>
        </is>
      </c>
      <c r="F25" s="19" t="inlineStr"/>
      <c r="G25" s="19" t="inlineStr"/>
      <c r="H25" s="19" t="inlineStr"/>
      <c r="I25" s="19" t="inlineStr"/>
      <c r="J25" s="19" t="inlineStr"/>
    </row>
    <row r="26" ht="25" customHeight="1">
      <c r="B26" s="84" t="inlineStr">
        <is>
          <t>High (H)</t>
        </is>
      </c>
      <c r="C26" s="84">
        <f>COUNTIF(G5:G22,"H")</f>
        <v/>
      </c>
      <c r="D26" s="84">
        <f>IFERROR(ROUND(C26/COUNTA(G5:G22)*100,1),"")</f>
        <v/>
      </c>
      <c r="E26" s="85" t="n"/>
    </row>
    <row r="27" ht="25" customHeight="1">
      <c r="B27" s="54" t="inlineStr">
        <is>
          <t>Medium (M)</t>
        </is>
      </c>
      <c r="C27" s="54">
        <f>COUNTIF(G5:G22,"M")</f>
        <v/>
      </c>
      <c r="D27" s="54">
        <f>IFERROR(ROUND(C27/COUNTA(G5:G22)*100,1),"")</f>
        <v/>
      </c>
      <c r="E27" s="46" t="n"/>
    </row>
    <row r="28" ht="25" customHeight="1">
      <c r="B28" s="58" t="inlineStr">
        <is>
          <t>Low (L)</t>
        </is>
      </c>
      <c r="C28" s="58">
        <f>COUNTIF(G5:G22,"L")</f>
        <v/>
      </c>
      <c r="D28" s="58">
        <f>IFERROR(ROUND(C28/COUNTA(G5:G22)*100,1),"")</f>
        <v/>
      </c>
      <c r="E28" s="45" t="n"/>
    </row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</sheetData>
  <mergeCells count="6">
    <mergeCell ref="B3:J3"/>
    <mergeCell ref="E28:J28"/>
    <mergeCell ref="E27:J27"/>
    <mergeCell ref="E26:J26"/>
    <mergeCell ref="B24:J24"/>
    <mergeCell ref="B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8" customWidth="1" min="4" max="4"/>
    <col width="14" customWidth="1" min="5" max="5"/>
    <col width="14" customWidth="1" min="6" max="6"/>
    <col width="16" customWidth="1" min="7" max="7"/>
    <col width="14" customWidth="1" min="8" max="8"/>
    <col width="3" customWidth="1" min="9" max="9"/>
  </cols>
  <sheetData>
    <row r="1" ht="10" customHeight="1"/>
    <row r="2" ht="48" customHeight="1">
      <c r="B2" s="11" t="inlineStr">
        <is>
          <t>PM-18: STATUTORY &amp; REGULATORY COMPLIANCE MONITORING REGISTER</t>
        </is>
      </c>
    </row>
    <row r="3" ht="25" customHeight="1">
      <c r="B3" s="2" t="inlineStr">
        <is>
          <t>A.Y.: _______  Reviewed in PMB Meeting No.: _______  Registrar: ___________________  Date: _______</t>
        </is>
      </c>
    </row>
    <row r="4" ht="24" customHeight="1">
      <c r="B4" s="38" t="inlineStr">
        <is>
          <t>ACADEMIC &amp; UNIVERSITY COMPLIANCE</t>
        </is>
      </c>
    </row>
    <row r="5" ht="22" customHeight="1">
      <c r="B5" s="12" t="inlineStr">
        <is>
          <t>Sl.</t>
        </is>
      </c>
      <c r="C5" s="12" t="inlineStr">
        <is>
          <t>Compliance Requirement</t>
        </is>
      </c>
      <c r="D5" s="12" t="inlineStr">
        <is>
          <t>Responsible Authority</t>
        </is>
      </c>
      <c r="E5" s="12" t="inlineStr">
        <is>
          <t>Due Date</t>
        </is>
      </c>
      <c r="F5" s="12" t="inlineStr">
        <is>
          <t>Status</t>
        </is>
      </c>
      <c r="G5" s="12" t="inlineStr">
        <is>
          <t>Evidence / Ref.</t>
        </is>
      </c>
      <c r="H5" s="12" t="inlineStr">
        <is>
          <t>PMB Direction</t>
        </is>
      </c>
    </row>
    <row r="6" ht="22" customHeight="1">
      <c r="B6" s="13" t="n">
        <v>1</v>
      </c>
      <c r="C6" s="14" t="inlineStr">
        <is>
          <t>Affiliating university annual report submitted</t>
        </is>
      </c>
      <c r="D6" s="15" t="inlineStr">
        <is>
          <t>Registrar</t>
        </is>
      </c>
      <c r="E6" s="15" t="inlineStr"/>
      <c r="F6" s="15" t="inlineStr">
        <is>
          <t>Complied</t>
        </is>
      </c>
      <c r="G6" s="14" t="inlineStr"/>
      <c r="H6" s="14" t="inlineStr"/>
    </row>
    <row r="7" ht="22" customHeight="1">
      <c r="B7" s="4" t="n">
        <v>2</v>
      </c>
      <c r="C7" s="5" t="inlineStr">
        <is>
          <t>Academic calendar approved &amp; adhered (≥90%)</t>
        </is>
      </c>
      <c r="D7" s="6" t="inlineStr">
        <is>
          <t>Dean Academic</t>
        </is>
      </c>
      <c r="E7" s="6" t="inlineStr"/>
      <c r="F7" s="6" t="inlineStr">
        <is>
          <t>Complied</t>
        </is>
      </c>
      <c r="G7" s="5" t="inlineStr"/>
      <c r="H7" s="5" t="inlineStr"/>
    </row>
    <row r="8" ht="22" customHeight="1">
      <c r="B8" s="13" t="n">
        <v>3</v>
      </c>
      <c r="C8" s="14" t="inlineStr">
        <is>
          <t>Examination results declared on schedule</t>
        </is>
      </c>
      <c r="D8" s="15" t="inlineStr">
        <is>
          <t>COE</t>
        </is>
      </c>
      <c r="E8" s="15" t="inlineStr"/>
      <c r="F8" s="15" t="inlineStr">
        <is>
          <t>Complied</t>
        </is>
      </c>
      <c r="G8" s="14" t="inlineStr"/>
      <c r="H8" s="14" t="inlineStr"/>
    </row>
    <row r="9" ht="22" customHeight="1">
      <c r="B9" s="4" t="n">
        <v>4</v>
      </c>
      <c r="C9" s="5" t="inlineStr">
        <is>
          <t>All BoS &amp; AC recommendations implemented</t>
        </is>
      </c>
      <c r="D9" s="6" t="inlineStr">
        <is>
          <t>IQAC / Deans</t>
        </is>
      </c>
      <c r="E9" s="6" t="inlineStr"/>
      <c r="F9" s="6" t="inlineStr">
        <is>
          <t>Complied</t>
        </is>
      </c>
      <c r="G9" s="5" t="inlineStr"/>
      <c r="H9" s="5" t="inlineStr"/>
    </row>
    <row r="10" ht="22" customHeight="1">
      <c r="B10" s="13" t="n">
        <v>5</v>
      </c>
      <c r="C10" s="14" t="inlineStr">
        <is>
          <t>AQAR submitted to NAAC by July 31</t>
        </is>
      </c>
      <c r="D10" s="15" t="inlineStr">
        <is>
          <t>IQAC Coordinator</t>
        </is>
      </c>
      <c r="E10" s="15" t="inlineStr"/>
      <c r="F10" s="15" t="inlineStr">
        <is>
          <t>Complied</t>
        </is>
      </c>
      <c r="G10" s="14" t="inlineStr"/>
      <c r="H10" s="14" t="inlineStr"/>
    </row>
    <row r="11" ht="22" customHeight="1"/>
    <row r="12" ht="24" customHeight="1">
      <c r="B12" s="34" t="inlineStr">
        <is>
          <t>AICTE / UGC COMPLIANCE</t>
        </is>
      </c>
    </row>
    <row r="13" ht="22" customHeight="1">
      <c r="B13" s="30" t="inlineStr">
        <is>
          <t>Sl.</t>
        </is>
      </c>
      <c r="C13" s="30" t="inlineStr">
        <is>
          <t>Compliance Requirement</t>
        </is>
      </c>
      <c r="D13" s="30" t="inlineStr">
        <is>
          <t>Responsible Authority</t>
        </is>
      </c>
      <c r="E13" s="30" t="inlineStr">
        <is>
          <t>Due Date</t>
        </is>
      </c>
      <c r="F13" s="30" t="inlineStr">
        <is>
          <t>Status</t>
        </is>
      </c>
      <c r="G13" s="30" t="inlineStr">
        <is>
          <t>Evidence / Ref.</t>
        </is>
      </c>
      <c r="H13" s="30" t="inlineStr">
        <is>
          <t>PMB Direction</t>
        </is>
      </c>
    </row>
    <row r="14" ht="22" customHeight="1">
      <c r="B14" s="31" t="n">
        <v>1</v>
      </c>
      <c r="C14" s="32" t="inlineStr">
        <is>
          <t>AICTE Extension of Approval (EoA) received</t>
        </is>
      </c>
      <c r="D14" s="33" t="inlineStr">
        <is>
          <t>Principal</t>
        </is>
      </c>
      <c r="E14" s="33" t="inlineStr"/>
      <c r="F14" s="33" t="inlineStr">
        <is>
          <t>Complied</t>
        </is>
      </c>
      <c r="G14" s="32" t="inlineStr"/>
      <c r="H14" s="32" t="inlineStr"/>
    </row>
    <row r="15" ht="22" customHeight="1">
      <c r="B15" s="4" t="n">
        <v>2</v>
      </c>
      <c r="C15" s="5" t="inlineStr">
        <is>
          <t>AICTE Mandatory Disclosure filed online</t>
        </is>
      </c>
      <c r="D15" s="6" t="inlineStr">
        <is>
          <t>Registrar</t>
        </is>
      </c>
      <c r="E15" s="6" t="inlineStr"/>
      <c r="F15" s="6" t="inlineStr">
        <is>
          <t>Complied</t>
        </is>
      </c>
      <c r="G15" s="5" t="inlineStr"/>
      <c r="H15" s="5" t="inlineStr"/>
    </row>
    <row r="16" ht="22" customHeight="1">
      <c r="B16" s="31" t="n">
        <v>3</v>
      </c>
      <c r="C16" s="32" t="inlineStr">
        <is>
          <t>Faculty qualification norms (1:15 ratio) maintained</t>
        </is>
      </c>
      <c r="D16" s="33" t="inlineStr">
        <is>
          <t>HR Officer</t>
        </is>
      </c>
      <c r="E16" s="33" t="inlineStr"/>
      <c r="F16" s="33" t="inlineStr">
        <is>
          <t>Complied</t>
        </is>
      </c>
      <c r="G16" s="32" t="inlineStr"/>
      <c r="H16" s="32" t="inlineStr"/>
    </row>
    <row r="17" ht="22" customHeight="1">
      <c r="B17" s="4" t="n">
        <v>4</v>
      </c>
      <c r="C17" s="5" t="inlineStr">
        <is>
          <t>Online Faculty Register updated (AICTE portal)</t>
        </is>
      </c>
      <c r="D17" s="6" t="inlineStr">
        <is>
          <t>HR Officer</t>
        </is>
      </c>
      <c r="E17" s="6" t="inlineStr"/>
      <c r="F17" s="6" t="inlineStr">
        <is>
          <t>Complied</t>
        </is>
      </c>
      <c r="G17" s="5" t="inlineStr"/>
      <c r="H17" s="5" t="inlineStr"/>
    </row>
    <row r="18" ht="22" customHeight="1">
      <c r="B18" s="31" t="n">
        <v>5</v>
      </c>
      <c r="C18" s="32" t="inlineStr">
        <is>
          <t>UGC 2(f) / 12(B) compliance maintained</t>
        </is>
      </c>
      <c r="D18" s="33" t="inlineStr">
        <is>
          <t>Registrar</t>
        </is>
      </c>
      <c r="E18" s="33" t="inlineStr"/>
      <c r="F18" s="33" t="inlineStr">
        <is>
          <t>Complied</t>
        </is>
      </c>
      <c r="G18" s="32" t="inlineStr"/>
      <c r="H18" s="32" t="inlineStr"/>
    </row>
    <row r="19" ht="22" customHeight="1"/>
    <row r="20" ht="24" customHeight="1">
      <c r="B20" s="43" t="inlineStr">
        <is>
          <t>HR &amp; LABOUR COMPLIANCE</t>
        </is>
      </c>
    </row>
    <row r="21" ht="22" customHeight="1">
      <c r="B21" s="57" t="inlineStr">
        <is>
          <t>Sl.</t>
        </is>
      </c>
      <c r="C21" s="57" t="inlineStr">
        <is>
          <t>Compliance Requirement</t>
        </is>
      </c>
      <c r="D21" s="57" t="inlineStr">
        <is>
          <t>Responsible Authority</t>
        </is>
      </c>
      <c r="E21" s="57" t="inlineStr">
        <is>
          <t>Due Date</t>
        </is>
      </c>
      <c r="F21" s="57" t="inlineStr">
        <is>
          <t>Status</t>
        </is>
      </c>
      <c r="G21" s="57" t="inlineStr">
        <is>
          <t>Evidence / Ref.</t>
        </is>
      </c>
      <c r="H21" s="57" t="inlineStr">
        <is>
          <t>PMB Direction</t>
        </is>
      </c>
    </row>
    <row r="22" ht="22" customHeight="1">
      <c r="B22" s="58" t="n">
        <v>1</v>
      </c>
      <c r="C22" s="45" t="inlineStr">
        <is>
          <t>PF/ESI contributions remitted on time</t>
        </is>
      </c>
      <c r="D22" s="44" t="inlineStr">
        <is>
          <t>Finance Officer</t>
        </is>
      </c>
      <c r="E22" s="44" t="inlineStr"/>
      <c r="F22" s="44" t="inlineStr">
        <is>
          <t>Complied</t>
        </is>
      </c>
      <c r="G22" s="45" t="inlineStr"/>
      <c r="H22" s="45" t="inlineStr"/>
    </row>
    <row r="23" ht="22" customHeight="1">
      <c r="B23" s="4" t="n">
        <v>2</v>
      </c>
      <c r="C23" s="5" t="inlineStr">
        <is>
          <t>Salary as per UGC/AICTE pay scales</t>
        </is>
      </c>
      <c r="D23" s="6" t="inlineStr">
        <is>
          <t>Finance / HR</t>
        </is>
      </c>
      <c r="E23" s="6" t="inlineStr"/>
      <c r="F23" s="6" t="inlineStr">
        <is>
          <t>Complied</t>
        </is>
      </c>
      <c r="G23" s="5" t="inlineStr"/>
      <c r="H23" s="5" t="inlineStr"/>
    </row>
    <row r="24" ht="22" customHeight="1">
      <c r="B24" s="58" t="n">
        <v>3</v>
      </c>
      <c r="C24" s="45" t="inlineStr">
        <is>
          <t>Anti-ragging compliance filed</t>
        </is>
      </c>
      <c r="D24" s="44" t="inlineStr">
        <is>
          <t>Anti-ragging Comm.</t>
        </is>
      </c>
      <c r="E24" s="44" t="inlineStr"/>
      <c r="F24" s="44" t="inlineStr">
        <is>
          <t>Complied</t>
        </is>
      </c>
      <c r="G24" s="45" t="inlineStr"/>
      <c r="H24" s="45" t="inlineStr"/>
    </row>
    <row r="25" ht="22" customHeight="1">
      <c r="B25" s="4" t="n">
        <v>4</v>
      </c>
      <c r="C25" s="5" t="inlineStr">
        <is>
          <t>POSH / ICC annual report submitted</t>
        </is>
      </c>
      <c r="D25" s="6" t="inlineStr">
        <is>
          <t>ICC Chairperson</t>
        </is>
      </c>
      <c r="E25" s="6" t="inlineStr"/>
      <c r="F25" s="6" t="inlineStr">
        <is>
          <t>Complied</t>
        </is>
      </c>
      <c r="G25" s="5" t="inlineStr"/>
      <c r="H25" s="5" t="inlineStr"/>
    </row>
    <row r="26" ht="22" customHeight="1">
      <c r="B26" s="58" t="n">
        <v>5</v>
      </c>
      <c r="C26" s="45" t="inlineStr">
        <is>
          <t>RTI / PIO officer functional &amp; returns filed</t>
        </is>
      </c>
      <c r="D26" s="44" t="inlineStr">
        <is>
          <t>Registrar</t>
        </is>
      </c>
      <c r="E26" s="44" t="inlineStr"/>
      <c r="F26" s="44" t="inlineStr">
        <is>
          <t>Complied</t>
        </is>
      </c>
      <c r="G26" s="45" t="inlineStr"/>
      <c r="H26" s="45" t="inlineStr"/>
    </row>
    <row r="27" ht="22" customHeight="1"/>
    <row r="28" ht="24" customHeight="1">
      <c r="B28" s="20" t="inlineStr">
        <is>
          <t>FINANCIAL &amp; GOVERNANCE COMPLIANCE</t>
        </is>
      </c>
    </row>
    <row r="29" ht="22" customHeight="1">
      <c r="B29" s="21" t="inlineStr">
        <is>
          <t>Sl.</t>
        </is>
      </c>
      <c r="C29" s="21" t="inlineStr">
        <is>
          <t>Compliance Requirement</t>
        </is>
      </c>
      <c r="D29" s="21" t="inlineStr">
        <is>
          <t>Responsible Authority</t>
        </is>
      </c>
      <c r="E29" s="21" t="inlineStr">
        <is>
          <t>Due Date</t>
        </is>
      </c>
      <c r="F29" s="21" t="inlineStr">
        <is>
          <t>Status</t>
        </is>
      </c>
      <c r="G29" s="21" t="inlineStr">
        <is>
          <t>Evidence / Ref.</t>
        </is>
      </c>
      <c r="H29" s="21" t="inlineStr">
        <is>
          <t>PMB Direction</t>
        </is>
      </c>
    </row>
    <row r="30" ht="22" customHeight="1">
      <c r="B30" s="54" t="n">
        <v>1</v>
      </c>
      <c r="C30" s="46" t="inlineStr">
        <is>
          <t>Statutory audit (CA) completed &amp; report received</t>
        </is>
      </c>
      <c r="D30" s="22" t="inlineStr">
        <is>
          <t>Finance Officer</t>
        </is>
      </c>
      <c r="E30" s="22" t="inlineStr"/>
      <c r="F30" s="22" t="inlineStr">
        <is>
          <t>Complied</t>
        </is>
      </c>
      <c r="G30" s="46" t="inlineStr"/>
      <c r="H30" s="46" t="inlineStr"/>
    </row>
    <row r="31" ht="22" customHeight="1">
      <c r="B31" s="4" t="n">
        <v>2</v>
      </c>
      <c r="C31" s="5" t="inlineStr">
        <is>
          <t>Income Tax / GST returns filed on time</t>
        </is>
      </c>
      <c r="D31" s="6" t="inlineStr">
        <is>
          <t>Finance Officer</t>
        </is>
      </c>
      <c r="E31" s="6" t="inlineStr"/>
      <c r="F31" s="6" t="inlineStr">
        <is>
          <t>Complied</t>
        </is>
      </c>
      <c r="G31" s="5" t="inlineStr"/>
      <c r="H31" s="5" t="inlineStr"/>
    </row>
    <row r="32" ht="22" customHeight="1">
      <c r="B32" s="54" t="n">
        <v>3</v>
      </c>
      <c r="C32" s="46" t="inlineStr">
        <is>
          <t>Governing Body meetings held as per charter</t>
        </is>
      </c>
      <c r="D32" s="22" t="inlineStr">
        <is>
          <t>Secretary</t>
        </is>
      </c>
      <c r="E32" s="22" t="inlineStr"/>
      <c r="F32" s="22" t="inlineStr">
        <is>
          <t>Complied</t>
        </is>
      </c>
      <c r="G32" s="46" t="inlineStr"/>
      <c r="H32" s="46" t="inlineStr"/>
    </row>
    <row r="33" ht="22" customHeight="1">
      <c r="B33" s="4" t="n">
        <v>4</v>
      </c>
      <c r="C33" s="5" t="inlineStr">
        <is>
          <t>Audit observations complied &amp; closed</t>
        </is>
      </c>
      <c r="D33" s="6" t="inlineStr">
        <is>
          <t>Finance Officer</t>
        </is>
      </c>
      <c r="E33" s="6" t="inlineStr"/>
      <c r="F33" s="6" t="inlineStr">
        <is>
          <t>Complied</t>
        </is>
      </c>
      <c r="G33" s="5" t="inlineStr"/>
      <c r="H33" s="5" t="inlineStr"/>
    </row>
    <row r="34" ht="22" customHeight="1">
      <c r="B34" s="54" t="n">
        <v>5</v>
      </c>
      <c r="C34" s="46" t="inlineStr">
        <is>
          <t>Fee refund policy (AICTE norms) implemented</t>
        </is>
      </c>
      <c r="D34" s="22" t="inlineStr">
        <is>
          <t>Admission Officer</t>
        </is>
      </c>
      <c r="E34" s="22" t="inlineStr"/>
      <c r="F34" s="22" t="inlineStr">
        <is>
          <t>Complied</t>
        </is>
      </c>
      <c r="G34" s="46" t="inlineStr"/>
      <c r="H34" s="46" t="inlineStr"/>
    </row>
    <row r="35" ht="22" customHeight="1"/>
    <row r="36" ht="24" customHeight="1">
      <c r="B36" s="74" t="inlineStr">
        <is>
          <t>SAFETY &amp; INFRASTRUCTURE COMPLIANCE</t>
        </is>
      </c>
    </row>
    <row r="37" ht="22" customHeight="1">
      <c r="B37" s="75" t="inlineStr">
        <is>
          <t>Sl.</t>
        </is>
      </c>
      <c r="C37" s="75" t="inlineStr">
        <is>
          <t>Compliance Requirement</t>
        </is>
      </c>
      <c r="D37" s="75" t="inlineStr">
        <is>
          <t>Responsible Authority</t>
        </is>
      </c>
      <c r="E37" s="75" t="inlineStr">
        <is>
          <t>Due Date</t>
        </is>
      </c>
      <c r="F37" s="75" t="inlineStr">
        <is>
          <t>Status</t>
        </is>
      </c>
      <c r="G37" s="75" t="inlineStr">
        <is>
          <t>Evidence / Ref.</t>
        </is>
      </c>
      <c r="H37" s="75" t="inlineStr">
        <is>
          <t>PMB Direction</t>
        </is>
      </c>
    </row>
    <row r="38" ht="22" customHeight="1">
      <c r="B38" s="78" t="n">
        <v>1</v>
      </c>
      <c r="C38" s="76" t="inlineStr">
        <is>
          <t>Fire NOC renewed from Fire Department</t>
        </is>
      </c>
      <c r="D38" s="77" t="inlineStr">
        <is>
          <t>Estate Officer</t>
        </is>
      </c>
      <c r="E38" s="77" t="inlineStr"/>
      <c r="F38" s="77" t="inlineStr">
        <is>
          <t>Complied</t>
        </is>
      </c>
      <c r="G38" s="76" t="inlineStr"/>
      <c r="H38" s="76" t="inlineStr"/>
    </row>
    <row r="39" ht="22" customHeight="1">
      <c r="B39" s="4" t="n">
        <v>2</v>
      </c>
      <c r="C39" s="5" t="inlineStr">
        <is>
          <t>Building Completion Certificate valid</t>
        </is>
      </c>
      <c r="D39" s="6" t="inlineStr">
        <is>
          <t>Estate Officer</t>
        </is>
      </c>
      <c r="E39" s="6" t="inlineStr"/>
      <c r="F39" s="6" t="inlineStr">
        <is>
          <t>Complied</t>
        </is>
      </c>
      <c r="G39" s="5" t="inlineStr"/>
      <c r="H39" s="5" t="inlineStr"/>
    </row>
    <row r="40" ht="22" customHeight="1">
      <c r="B40" s="78" t="n">
        <v>3</v>
      </c>
      <c r="C40" s="76" t="inlineStr">
        <is>
          <t>Electrical safety audit conducted annually</t>
        </is>
      </c>
      <c r="D40" s="77" t="inlineStr">
        <is>
          <t>Estate Officer</t>
        </is>
      </c>
      <c r="E40" s="77" t="inlineStr"/>
      <c r="F40" s="77" t="inlineStr">
        <is>
          <t>Complied</t>
        </is>
      </c>
      <c r="G40" s="76" t="inlineStr"/>
      <c r="H40" s="76" t="inlineStr"/>
    </row>
    <row r="41" ht="22" customHeight="1">
      <c r="B41" s="4" t="n">
        <v>4</v>
      </c>
      <c r="C41" s="5" t="inlineStr">
        <is>
          <t>Environmental clearances maintained</t>
        </is>
      </c>
      <c r="D41" s="6" t="inlineStr">
        <is>
          <t>Estate Officer</t>
        </is>
      </c>
      <c r="E41" s="6" t="inlineStr"/>
      <c r="F41" s="6" t="inlineStr">
        <is>
          <t>Complied</t>
        </is>
      </c>
      <c r="G41" s="5" t="inlineStr"/>
      <c r="H41" s="5" t="inlineStr"/>
    </row>
    <row r="42" ht="22" customHeight="1">
      <c r="B42" s="78" t="n">
        <v>5</v>
      </c>
      <c r="C42" s="76" t="inlineStr">
        <is>
          <t>Insurance (building, equipment, staff) renewed</t>
        </is>
      </c>
      <c r="D42" s="77" t="inlineStr">
        <is>
          <t>Admin Officer</t>
        </is>
      </c>
      <c r="E42" s="77" t="inlineStr"/>
      <c r="F42" s="77" t="inlineStr">
        <is>
          <t>Complied</t>
        </is>
      </c>
      <c r="G42" s="76" t="inlineStr"/>
      <c r="H42" s="76" t="inlineStr"/>
    </row>
    <row r="43" ht="22" customHeight="1"/>
    <row r="44" ht="20" customHeight="1">
      <c r="B44" s="16" t="inlineStr">
        <is>
          <t>PMB Overall Compliance Status:  [ ] Fully Compliant   [ ] Partially Compliant   [ ] Non-Compliant — Urgent Action Required</t>
        </is>
      </c>
    </row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8">
    <mergeCell ref="B36:H36"/>
    <mergeCell ref="B4:H4"/>
    <mergeCell ref="B44:H44"/>
    <mergeCell ref="B12:H12"/>
    <mergeCell ref="B2:H2"/>
    <mergeCell ref="B3:H3"/>
    <mergeCell ref="B20:H20"/>
    <mergeCell ref="B28:H2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I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PM-19: PMB RECOMMENDATIONS &amp; FOLLOW-UP REGISTER (CUMULATIVE)</t>
        </is>
      </c>
    </row>
    <row r="3" ht="25" customHeight="1">
      <c r="B3" s="2" t="inlineStr">
        <is>
          <t>Institution: _________________________  Maintained by: Member Secretary / Registrar    Last Updated: _______</t>
        </is>
      </c>
    </row>
    <row r="4" ht="25" customHeight="1">
      <c r="B4" s="86" t="inlineStr">
        <is>
          <t>PMB Resolution
No.</t>
        </is>
      </c>
      <c r="C4" s="86" t="inlineStr">
        <is>
          <t>Recommendation / Resolution (Summary)</t>
        </is>
      </c>
      <c r="D4" s="86" t="inlineStr">
        <is>
          <t>Pillar /
Category</t>
        </is>
      </c>
      <c r="E4" s="86" t="inlineStr">
        <is>
          <t>PMB Meeting
No. &amp; Date</t>
        </is>
      </c>
      <c r="F4" s="86" t="inlineStr">
        <is>
          <t>Directed To</t>
        </is>
      </c>
      <c r="G4" s="86" t="inlineStr">
        <is>
          <t>Target
Date</t>
        </is>
      </c>
      <c r="H4" s="86" t="inlineStr">
        <is>
          <t>Implemented
Date</t>
        </is>
      </c>
      <c r="I4" s="86" t="inlineStr">
        <is>
          <t>Status</t>
        </is>
      </c>
    </row>
    <row r="5" ht="25" customHeight="1">
      <c r="B5" s="13" t="inlineStr">
        <is>
          <t>PMB/RES/2022/001</t>
        </is>
      </c>
      <c r="C5" s="14" t="inlineStr"/>
      <c r="D5" s="15" t="inlineStr">
        <is>
          <t>P1: Academic</t>
        </is>
      </c>
      <c r="E5" s="15" t="inlineStr"/>
      <c r="F5" s="15" t="inlineStr"/>
      <c r="G5" s="15" t="inlineStr"/>
      <c r="H5" s="15" t="inlineStr"/>
      <c r="I5" s="15" t="inlineStr">
        <is>
          <t>Pending</t>
        </is>
      </c>
    </row>
    <row r="6" ht="25" customHeight="1">
      <c r="B6" s="4" t="inlineStr">
        <is>
          <t>PMB/RES/2022/002</t>
        </is>
      </c>
      <c r="C6" s="5" t="inlineStr"/>
      <c r="D6" s="6" t="inlineStr">
        <is>
          <t>P2: Research</t>
        </is>
      </c>
      <c r="E6" s="6" t="inlineStr"/>
      <c r="F6" s="6" t="inlineStr"/>
      <c r="G6" s="6" t="inlineStr"/>
      <c r="H6" s="6" t="inlineStr"/>
      <c r="I6" s="6" t="inlineStr">
        <is>
          <t>Pending</t>
        </is>
      </c>
    </row>
    <row r="7" ht="25" customHeight="1">
      <c r="B7" s="13" t="inlineStr">
        <is>
          <t>PMB/RES/2022/003</t>
        </is>
      </c>
      <c r="C7" s="14" t="inlineStr"/>
      <c r="D7" s="15" t="inlineStr">
        <is>
          <t>P3: Industry</t>
        </is>
      </c>
      <c r="E7" s="15" t="inlineStr"/>
      <c r="F7" s="15" t="inlineStr"/>
      <c r="G7" s="15" t="inlineStr"/>
      <c r="H7" s="15" t="inlineStr"/>
      <c r="I7" s="15" t="inlineStr">
        <is>
          <t>Pending</t>
        </is>
      </c>
    </row>
    <row r="8" ht="25" customHeight="1">
      <c r="B8" s="4" t="inlineStr">
        <is>
          <t>PMB/RES/2022/004</t>
        </is>
      </c>
      <c r="C8" s="5" t="inlineStr"/>
      <c r="D8" s="6" t="inlineStr">
        <is>
          <t>P4: Infrastructure</t>
        </is>
      </c>
      <c r="E8" s="6" t="inlineStr"/>
      <c r="F8" s="6" t="inlineStr"/>
      <c r="G8" s="6" t="inlineStr"/>
      <c r="H8" s="6" t="inlineStr"/>
      <c r="I8" s="6" t="inlineStr">
        <is>
          <t>Pending</t>
        </is>
      </c>
    </row>
    <row r="9" ht="25" customHeight="1">
      <c r="B9" s="13" t="inlineStr">
        <is>
          <t>PMB/RES/2022/005</t>
        </is>
      </c>
      <c r="C9" s="14" t="inlineStr"/>
      <c r="D9" s="15" t="inlineStr">
        <is>
          <t>P5: Governance</t>
        </is>
      </c>
      <c r="E9" s="15" t="inlineStr"/>
      <c r="F9" s="15" t="inlineStr"/>
      <c r="G9" s="15" t="inlineStr"/>
      <c r="H9" s="15" t="inlineStr"/>
      <c r="I9" s="15" t="inlineStr">
        <is>
          <t>Pending</t>
        </is>
      </c>
    </row>
    <row r="10" ht="25" customHeight="1">
      <c r="B10" s="4" t="inlineStr">
        <is>
          <t>PMB/RES/2022/006</t>
        </is>
      </c>
      <c r="C10" s="5" t="inlineStr"/>
      <c r="D10" s="6" t="inlineStr">
        <is>
          <t>Financial</t>
        </is>
      </c>
      <c r="E10" s="6" t="inlineStr"/>
      <c r="F10" s="6" t="inlineStr"/>
      <c r="G10" s="6" t="inlineStr"/>
      <c r="H10" s="6" t="inlineStr"/>
      <c r="I10" s="6" t="inlineStr">
        <is>
          <t>Pending</t>
        </is>
      </c>
    </row>
    <row r="11" ht="25" customHeight="1">
      <c r="B11" s="13" t="inlineStr">
        <is>
          <t>PMB/RES/2022/007</t>
        </is>
      </c>
      <c r="C11" s="14" t="inlineStr"/>
      <c r="D11" s="15" t="inlineStr">
        <is>
          <t>HR / Faculty</t>
        </is>
      </c>
      <c r="E11" s="15" t="inlineStr"/>
      <c r="F11" s="15" t="inlineStr"/>
      <c r="G11" s="15" t="inlineStr"/>
      <c r="H11" s="15" t="inlineStr"/>
      <c r="I11" s="15" t="inlineStr">
        <is>
          <t>Pending</t>
        </is>
      </c>
    </row>
    <row r="12" ht="25" customHeight="1">
      <c r="B12" s="4" t="inlineStr">
        <is>
          <t>PMB/RES/2022/008</t>
        </is>
      </c>
      <c r="C12" s="5" t="inlineStr"/>
      <c r="D12" s="6" t="inlineStr">
        <is>
          <t>Accreditation</t>
        </is>
      </c>
      <c r="E12" s="6" t="inlineStr"/>
      <c r="F12" s="6" t="inlineStr"/>
      <c r="G12" s="6" t="inlineStr"/>
      <c r="H12" s="6" t="inlineStr"/>
      <c r="I12" s="6" t="inlineStr">
        <is>
          <t>Pending</t>
        </is>
      </c>
    </row>
    <row r="13" ht="25" customHeight="1">
      <c r="B13" s="13" t="inlineStr">
        <is>
          <t>PMB/RES/2022/009</t>
        </is>
      </c>
      <c r="C13" s="14" t="inlineStr"/>
      <c r="D13" s="15" t="inlineStr">
        <is>
          <t>Risk / Compliance</t>
        </is>
      </c>
      <c r="E13" s="15" t="inlineStr"/>
      <c r="F13" s="15" t="inlineStr"/>
      <c r="G13" s="15" t="inlineStr"/>
      <c r="H13" s="15" t="inlineStr"/>
      <c r="I13" s="15" t="inlineStr">
        <is>
          <t>Pending</t>
        </is>
      </c>
    </row>
    <row r="14" ht="25" customHeight="1">
      <c r="B14" s="4" t="inlineStr">
        <is>
          <t>PMB/RES/2022/010</t>
        </is>
      </c>
      <c r="C14" s="5" t="inlineStr"/>
      <c r="D14" s="6" t="inlineStr">
        <is>
          <t>Strategic</t>
        </is>
      </c>
      <c r="E14" s="6" t="inlineStr"/>
      <c r="F14" s="6" t="inlineStr"/>
      <c r="G14" s="6" t="inlineStr"/>
      <c r="H14" s="6" t="inlineStr"/>
      <c r="I14" s="6" t="inlineStr">
        <is>
          <t>Pending</t>
        </is>
      </c>
    </row>
    <row r="15" ht="25" customHeight="1">
      <c r="B15" s="13" t="inlineStr">
        <is>
          <t>PMB/RES/2023/011</t>
        </is>
      </c>
      <c r="C15" s="14" t="inlineStr"/>
      <c r="D15" s="15" t="inlineStr">
        <is>
          <t>Others</t>
        </is>
      </c>
      <c r="E15" s="15" t="inlineStr"/>
      <c r="F15" s="15" t="inlineStr"/>
      <c r="G15" s="15" t="inlineStr"/>
      <c r="H15" s="15" t="inlineStr"/>
      <c r="I15" s="15" t="inlineStr">
        <is>
          <t>Pending</t>
        </is>
      </c>
    </row>
    <row r="16" ht="25" customHeight="1">
      <c r="B16" s="4" t="inlineStr">
        <is>
          <t>PMB/RES/2023/012</t>
        </is>
      </c>
      <c r="C16" s="5" t="inlineStr"/>
      <c r="D16" s="6" t="inlineStr">
        <is>
          <t>P1: Academic</t>
        </is>
      </c>
      <c r="E16" s="6" t="inlineStr"/>
      <c r="F16" s="6" t="inlineStr"/>
      <c r="G16" s="6" t="inlineStr"/>
      <c r="H16" s="6" t="inlineStr"/>
      <c r="I16" s="6" t="inlineStr">
        <is>
          <t>Pending</t>
        </is>
      </c>
    </row>
    <row r="17" ht="25" customHeight="1">
      <c r="B17" s="13" t="inlineStr">
        <is>
          <t>PMB/RES/2023/013</t>
        </is>
      </c>
      <c r="C17" s="14" t="inlineStr"/>
      <c r="D17" s="15" t="inlineStr">
        <is>
          <t>P2: Research</t>
        </is>
      </c>
      <c r="E17" s="15" t="inlineStr"/>
      <c r="F17" s="15" t="inlineStr"/>
      <c r="G17" s="15" t="inlineStr"/>
      <c r="H17" s="15" t="inlineStr"/>
      <c r="I17" s="15" t="inlineStr">
        <is>
          <t>Pending</t>
        </is>
      </c>
    </row>
    <row r="18" ht="25" customHeight="1">
      <c r="B18" s="4" t="inlineStr">
        <is>
          <t>PMB/RES/2023/014</t>
        </is>
      </c>
      <c r="C18" s="5" t="inlineStr"/>
      <c r="D18" s="6" t="inlineStr">
        <is>
          <t>P3: Industry</t>
        </is>
      </c>
      <c r="E18" s="6" t="inlineStr"/>
      <c r="F18" s="6" t="inlineStr"/>
      <c r="G18" s="6" t="inlineStr"/>
      <c r="H18" s="6" t="inlineStr"/>
      <c r="I18" s="6" t="inlineStr">
        <is>
          <t>Pending</t>
        </is>
      </c>
    </row>
    <row r="19" ht="25" customHeight="1">
      <c r="B19" s="13" t="inlineStr">
        <is>
          <t>PMB/RES/2023/015</t>
        </is>
      </c>
      <c r="C19" s="14" t="inlineStr"/>
      <c r="D19" s="15" t="inlineStr">
        <is>
          <t>P4: Infrastructure</t>
        </is>
      </c>
      <c r="E19" s="15" t="inlineStr"/>
      <c r="F19" s="15" t="inlineStr"/>
      <c r="G19" s="15" t="inlineStr"/>
      <c r="H19" s="15" t="inlineStr"/>
      <c r="I19" s="15" t="inlineStr">
        <is>
          <t>Pending</t>
        </is>
      </c>
    </row>
    <row r="20" ht="25" customHeight="1">
      <c r="B20" s="4" t="inlineStr">
        <is>
          <t>PMB/RES/2023/016</t>
        </is>
      </c>
      <c r="C20" s="5" t="inlineStr"/>
      <c r="D20" s="6" t="inlineStr">
        <is>
          <t>P5: Governance</t>
        </is>
      </c>
      <c r="E20" s="6" t="inlineStr"/>
      <c r="F20" s="6" t="inlineStr"/>
      <c r="G20" s="6" t="inlineStr"/>
      <c r="H20" s="6" t="inlineStr"/>
      <c r="I20" s="6" t="inlineStr">
        <is>
          <t>Pending</t>
        </is>
      </c>
    </row>
    <row r="21" ht="25" customHeight="1">
      <c r="B21" s="13" t="inlineStr">
        <is>
          <t>PMB/RES/2023/017</t>
        </is>
      </c>
      <c r="C21" s="14" t="inlineStr"/>
      <c r="D21" s="15" t="inlineStr">
        <is>
          <t>Financial</t>
        </is>
      </c>
      <c r="E21" s="15" t="inlineStr"/>
      <c r="F21" s="15" t="inlineStr"/>
      <c r="G21" s="15" t="inlineStr"/>
      <c r="H21" s="15" t="inlineStr"/>
      <c r="I21" s="15" t="inlineStr">
        <is>
          <t>Pending</t>
        </is>
      </c>
    </row>
    <row r="22" ht="25" customHeight="1">
      <c r="B22" s="4" t="inlineStr">
        <is>
          <t>PMB/RES/2023/018</t>
        </is>
      </c>
      <c r="C22" s="5" t="inlineStr"/>
      <c r="D22" s="6" t="inlineStr">
        <is>
          <t>HR / Faculty</t>
        </is>
      </c>
      <c r="E22" s="6" t="inlineStr"/>
      <c r="F22" s="6" t="inlineStr"/>
      <c r="G22" s="6" t="inlineStr"/>
      <c r="H22" s="6" t="inlineStr"/>
      <c r="I22" s="6" t="inlineStr">
        <is>
          <t>Pending</t>
        </is>
      </c>
    </row>
    <row r="23" ht="25" customHeight="1">
      <c r="B23" s="13" t="inlineStr">
        <is>
          <t>PMB/RES/2023/019</t>
        </is>
      </c>
      <c r="C23" s="14" t="inlineStr"/>
      <c r="D23" s="15" t="inlineStr">
        <is>
          <t>Accreditation</t>
        </is>
      </c>
      <c r="E23" s="15" t="inlineStr"/>
      <c r="F23" s="15" t="inlineStr"/>
      <c r="G23" s="15" t="inlineStr"/>
      <c r="H23" s="15" t="inlineStr"/>
      <c r="I23" s="15" t="inlineStr">
        <is>
          <t>Pending</t>
        </is>
      </c>
    </row>
    <row r="24" ht="25" customHeight="1">
      <c r="B24" s="4" t="inlineStr">
        <is>
          <t>PMB/RES/2023/020</t>
        </is>
      </c>
      <c r="C24" s="5" t="inlineStr"/>
      <c r="D24" s="6" t="inlineStr">
        <is>
          <t>Risk / Compliance</t>
        </is>
      </c>
      <c r="E24" s="6" t="inlineStr"/>
      <c r="F24" s="6" t="inlineStr"/>
      <c r="G24" s="6" t="inlineStr"/>
      <c r="H24" s="6" t="inlineStr"/>
      <c r="I24" s="6" t="inlineStr">
        <is>
          <t>Pending</t>
        </is>
      </c>
    </row>
    <row r="25" ht="25" customHeight="1">
      <c r="B25" s="13" t="inlineStr">
        <is>
          <t>PMB/RES/2024/021</t>
        </is>
      </c>
      <c r="C25" s="14" t="inlineStr"/>
      <c r="D25" s="15" t="inlineStr">
        <is>
          <t>Strategic</t>
        </is>
      </c>
      <c r="E25" s="15" t="inlineStr"/>
      <c r="F25" s="15" t="inlineStr"/>
      <c r="G25" s="15" t="inlineStr"/>
      <c r="H25" s="15" t="inlineStr"/>
      <c r="I25" s="15" t="inlineStr">
        <is>
          <t>Pending</t>
        </is>
      </c>
    </row>
    <row r="26" ht="25" customHeight="1">
      <c r="B26" s="4" t="inlineStr">
        <is>
          <t>PMB/RES/2024/022</t>
        </is>
      </c>
      <c r="C26" s="5" t="inlineStr"/>
      <c r="D26" s="6" t="inlineStr">
        <is>
          <t>Others</t>
        </is>
      </c>
      <c r="E26" s="6" t="inlineStr"/>
      <c r="F26" s="6" t="inlineStr"/>
      <c r="G26" s="6" t="inlineStr"/>
      <c r="H26" s="6" t="inlineStr"/>
      <c r="I26" s="6" t="inlineStr">
        <is>
          <t>Pending</t>
        </is>
      </c>
    </row>
    <row r="27" ht="25" customHeight="1">
      <c r="B27" s="13" t="inlineStr">
        <is>
          <t>PMB/RES/2024/023</t>
        </is>
      </c>
      <c r="C27" s="14" t="inlineStr"/>
      <c r="D27" s="15" t="inlineStr">
        <is>
          <t>P1: Academic</t>
        </is>
      </c>
      <c r="E27" s="15" t="inlineStr"/>
      <c r="F27" s="15" t="inlineStr"/>
      <c r="G27" s="15" t="inlineStr"/>
      <c r="H27" s="15" t="inlineStr"/>
      <c r="I27" s="15" t="inlineStr">
        <is>
          <t>Pending</t>
        </is>
      </c>
    </row>
    <row r="28" ht="25" customHeight="1">
      <c r="B28" s="4" t="inlineStr">
        <is>
          <t>PMB/RES/2024/024</t>
        </is>
      </c>
      <c r="C28" s="5" t="inlineStr"/>
      <c r="D28" s="6" t="inlineStr">
        <is>
          <t>P2: Research</t>
        </is>
      </c>
      <c r="E28" s="6" t="inlineStr"/>
      <c r="F28" s="6" t="inlineStr"/>
      <c r="G28" s="6" t="inlineStr"/>
      <c r="H28" s="6" t="inlineStr"/>
      <c r="I28" s="6" t="inlineStr">
        <is>
          <t>Pending</t>
        </is>
      </c>
    </row>
    <row r="29" ht="25" customHeight="1">
      <c r="B29" s="13" t="inlineStr">
        <is>
          <t>PMB/RES/2024/025</t>
        </is>
      </c>
      <c r="C29" s="14" t="inlineStr"/>
      <c r="D29" s="15" t="inlineStr">
        <is>
          <t>P3: Industry</t>
        </is>
      </c>
      <c r="E29" s="15" t="inlineStr"/>
      <c r="F29" s="15" t="inlineStr"/>
      <c r="G29" s="15" t="inlineStr"/>
      <c r="H29" s="15" t="inlineStr"/>
      <c r="I29" s="15" t="inlineStr">
        <is>
          <t>Pending</t>
        </is>
      </c>
    </row>
    <row r="30" ht="25" customHeight="1">
      <c r="B30" s="4" t="inlineStr">
        <is>
          <t>PMB/RES/2024/026</t>
        </is>
      </c>
      <c r="C30" s="5" t="inlineStr"/>
      <c r="D30" s="6" t="inlineStr">
        <is>
          <t>P4: Infrastructure</t>
        </is>
      </c>
      <c r="E30" s="6" t="inlineStr"/>
      <c r="F30" s="6" t="inlineStr"/>
      <c r="G30" s="6" t="inlineStr"/>
      <c r="H30" s="6" t="inlineStr"/>
      <c r="I30" s="6" t="inlineStr">
        <is>
          <t>Pending</t>
        </is>
      </c>
    </row>
    <row r="31" ht="25" customHeight="1">
      <c r="B31" s="13" t="inlineStr">
        <is>
          <t>PMB/RES/2024/027</t>
        </is>
      </c>
      <c r="C31" s="14" t="inlineStr"/>
      <c r="D31" s="15" t="inlineStr">
        <is>
          <t>P5: Governance</t>
        </is>
      </c>
      <c r="E31" s="15" t="inlineStr"/>
      <c r="F31" s="15" t="inlineStr"/>
      <c r="G31" s="15" t="inlineStr"/>
      <c r="H31" s="15" t="inlineStr"/>
      <c r="I31" s="15" t="inlineStr">
        <is>
          <t>Pending</t>
        </is>
      </c>
    </row>
    <row r="32" ht="25" customHeight="1">
      <c r="B32" s="4" t="inlineStr">
        <is>
          <t>PMB/RES/2024/028</t>
        </is>
      </c>
      <c r="C32" s="5" t="inlineStr"/>
      <c r="D32" s="6" t="inlineStr">
        <is>
          <t>Financial</t>
        </is>
      </c>
      <c r="E32" s="6" t="inlineStr"/>
      <c r="F32" s="6" t="inlineStr"/>
      <c r="G32" s="6" t="inlineStr"/>
      <c r="H32" s="6" t="inlineStr"/>
      <c r="I32" s="6" t="inlineStr">
        <is>
          <t>Pending</t>
        </is>
      </c>
    </row>
    <row r="33" ht="25" customHeight="1">
      <c r="B33" s="13" t="inlineStr">
        <is>
          <t>PMB/RES/2024/029</t>
        </is>
      </c>
      <c r="C33" s="14" t="inlineStr"/>
      <c r="D33" s="15" t="inlineStr">
        <is>
          <t>HR / Faculty</t>
        </is>
      </c>
      <c r="E33" s="15" t="inlineStr"/>
      <c r="F33" s="15" t="inlineStr"/>
      <c r="G33" s="15" t="inlineStr"/>
      <c r="H33" s="15" t="inlineStr"/>
      <c r="I33" s="15" t="inlineStr">
        <is>
          <t>Pending</t>
        </is>
      </c>
    </row>
    <row r="34" ht="25" customHeight="1">
      <c r="B34" s="4" t="inlineStr">
        <is>
          <t>PMB/RES/2024/030</t>
        </is>
      </c>
      <c r="C34" s="5" t="inlineStr"/>
      <c r="D34" s="6" t="inlineStr">
        <is>
          <t>Accreditation</t>
        </is>
      </c>
      <c r="E34" s="6" t="inlineStr"/>
      <c r="F34" s="6" t="inlineStr"/>
      <c r="G34" s="6" t="inlineStr"/>
      <c r="H34" s="6" t="inlineStr"/>
      <c r="I34" s="6" t="inlineStr">
        <is>
          <t>Pending</t>
        </is>
      </c>
    </row>
    <row r="35" ht="25" customHeight="1">
      <c r="B35" s="13" t="inlineStr">
        <is>
          <t>PMB/RES/2025/031</t>
        </is>
      </c>
      <c r="C35" s="14" t="inlineStr"/>
      <c r="D35" s="15" t="inlineStr">
        <is>
          <t>Risk / Compliance</t>
        </is>
      </c>
      <c r="E35" s="15" t="inlineStr"/>
      <c r="F35" s="15" t="inlineStr"/>
      <c r="G35" s="15" t="inlineStr"/>
      <c r="H35" s="15" t="inlineStr"/>
      <c r="I35" s="15" t="inlineStr">
        <is>
          <t>Pending</t>
        </is>
      </c>
    </row>
    <row r="36" ht="25" customHeight="1">
      <c r="B36" s="4" t="inlineStr">
        <is>
          <t>PMB/RES/2025/032</t>
        </is>
      </c>
      <c r="C36" s="5" t="inlineStr"/>
      <c r="D36" s="6" t="inlineStr">
        <is>
          <t>Strategic</t>
        </is>
      </c>
      <c r="E36" s="6" t="inlineStr"/>
      <c r="F36" s="6" t="inlineStr"/>
      <c r="G36" s="6" t="inlineStr"/>
      <c r="H36" s="6" t="inlineStr"/>
      <c r="I36" s="6" t="inlineStr">
        <is>
          <t>Pending</t>
        </is>
      </c>
    </row>
    <row r="37" ht="25" customHeight="1">
      <c r="B37" s="13" t="inlineStr">
        <is>
          <t>PMB/RES/2025/033</t>
        </is>
      </c>
      <c r="C37" s="14" t="inlineStr"/>
      <c r="D37" s="15" t="inlineStr">
        <is>
          <t>Others</t>
        </is>
      </c>
      <c r="E37" s="15" t="inlineStr"/>
      <c r="F37" s="15" t="inlineStr"/>
      <c r="G37" s="15" t="inlineStr"/>
      <c r="H37" s="15" t="inlineStr"/>
      <c r="I37" s="15" t="inlineStr">
        <is>
          <t>Pending</t>
        </is>
      </c>
    </row>
    <row r="38" ht="25" customHeight="1">
      <c r="B38" s="4" t="inlineStr">
        <is>
          <t>PMB/RES/2025/034</t>
        </is>
      </c>
      <c r="C38" s="5" t="inlineStr"/>
      <c r="D38" s="6" t="inlineStr">
        <is>
          <t>P1: Academic</t>
        </is>
      </c>
      <c r="E38" s="6" t="inlineStr"/>
      <c r="F38" s="6" t="inlineStr"/>
      <c r="G38" s="6" t="inlineStr"/>
      <c r="H38" s="6" t="inlineStr"/>
      <c r="I38" s="6" t="inlineStr">
        <is>
          <t>Pending</t>
        </is>
      </c>
    </row>
    <row r="39" ht="25" customHeight="1">
      <c r="B39" s="13" t="inlineStr">
        <is>
          <t>PMB/RES/2025/035</t>
        </is>
      </c>
      <c r="C39" s="14" t="inlineStr"/>
      <c r="D39" s="15" t="inlineStr">
        <is>
          <t>P2: Research</t>
        </is>
      </c>
      <c r="E39" s="15" t="inlineStr"/>
      <c r="F39" s="15" t="inlineStr"/>
      <c r="G39" s="15" t="inlineStr"/>
      <c r="H39" s="15" t="inlineStr"/>
      <c r="I39" s="15" t="inlineStr">
        <is>
          <t>Pending</t>
        </is>
      </c>
    </row>
    <row r="40" ht="25" customHeight="1">
      <c r="B40" s="4" t="inlineStr">
        <is>
          <t>PMB/RES/2025/036</t>
        </is>
      </c>
      <c r="C40" s="5" t="inlineStr"/>
      <c r="D40" s="6" t="inlineStr">
        <is>
          <t>P3: Industry</t>
        </is>
      </c>
      <c r="E40" s="6" t="inlineStr"/>
      <c r="F40" s="6" t="inlineStr"/>
      <c r="G40" s="6" t="inlineStr"/>
      <c r="H40" s="6" t="inlineStr"/>
      <c r="I40" s="6" t="inlineStr">
        <is>
          <t>Pending</t>
        </is>
      </c>
    </row>
    <row r="41" ht="25" customHeight="1">
      <c r="B41" s="13" t="inlineStr">
        <is>
          <t>PMB/RES/2025/037</t>
        </is>
      </c>
      <c r="C41" s="14" t="inlineStr"/>
      <c r="D41" s="15" t="inlineStr">
        <is>
          <t>P4: Infrastructure</t>
        </is>
      </c>
      <c r="E41" s="15" t="inlineStr"/>
      <c r="F41" s="15" t="inlineStr"/>
      <c r="G41" s="15" t="inlineStr"/>
      <c r="H41" s="15" t="inlineStr"/>
      <c r="I41" s="15" t="inlineStr">
        <is>
          <t>Pending</t>
        </is>
      </c>
    </row>
    <row r="42" ht="25" customHeight="1">
      <c r="B42" s="4" t="inlineStr">
        <is>
          <t>PMB/RES/2025/038</t>
        </is>
      </c>
      <c r="C42" s="5" t="inlineStr"/>
      <c r="D42" s="6" t="inlineStr">
        <is>
          <t>P5: Governance</t>
        </is>
      </c>
      <c r="E42" s="6" t="inlineStr"/>
      <c r="F42" s="6" t="inlineStr"/>
      <c r="G42" s="6" t="inlineStr"/>
      <c r="H42" s="6" t="inlineStr"/>
      <c r="I42" s="6" t="inlineStr">
        <is>
          <t>Pending</t>
        </is>
      </c>
    </row>
    <row r="43" ht="25" customHeight="1"/>
    <row r="44" ht="24" customHeight="1">
      <c r="B44" s="87" t="inlineStr">
        <is>
          <t>REGISTER STATISTICS</t>
        </is>
      </c>
    </row>
    <row r="45" ht="25" customHeight="1">
      <c r="B45" s="88" t="inlineStr">
        <is>
          <t>Total PMB Resolutions Logged</t>
        </is>
      </c>
      <c r="F45" s="36">
        <f>COUNTA(B5:B42)</f>
        <v/>
      </c>
    </row>
    <row r="46" ht="25" customHeight="1">
      <c r="B46" s="25" t="inlineStr">
        <is>
          <t>Implemented</t>
        </is>
      </c>
      <c r="F46" s="37">
        <f>COUNTIF(I5:I42,"Implemented")</f>
        <v/>
      </c>
    </row>
    <row r="47" ht="25" customHeight="1">
      <c r="B47" s="88" t="inlineStr">
        <is>
          <t>In Progress</t>
        </is>
      </c>
      <c r="F47" s="36">
        <f>COUNTIF(I5:I42,"In Progress")</f>
        <v/>
      </c>
    </row>
    <row r="48" ht="25" customHeight="1">
      <c r="B48" s="25" t="inlineStr">
        <is>
          <t>Pending / Not Started</t>
        </is>
      </c>
      <c r="F48" s="37">
        <f>COUNTIF(I5:I42,"Pending")</f>
        <v/>
      </c>
    </row>
    <row r="49" ht="25" customHeight="1">
      <c r="B49" s="88" t="inlineStr">
        <is>
          <t>Deferred</t>
        </is>
      </c>
      <c r="F49" s="36">
        <f>COUNTIF(I5:I42,"Deferred")</f>
        <v/>
      </c>
    </row>
    <row r="50" ht="25" customHeight="1">
      <c r="B50" s="25" t="inlineStr">
        <is>
          <t>Referred to Sub-Committee</t>
        </is>
      </c>
      <c r="F50" s="37">
        <f>COUNTIF(I5:I42,"Referred")</f>
        <v/>
      </c>
    </row>
    <row r="51" ht="25" customHeight="1">
      <c r="B51" s="88" t="inlineStr">
        <is>
          <t>Overall Implementation Rate (%)</t>
        </is>
      </c>
      <c r="F51" s="36">
        <f>IFERROR(ROUND(C46/C45*100,1),"")</f>
        <v/>
      </c>
    </row>
    <row r="53">
      <c r="B53" s="27" t="inlineStr">
        <is>
          <t>Register certified by: Member Secretary ___________________    Chairman (PMB) ___________________    Date: ___________________</t>
        </is>
      </c>
    </row>
  </sheetData>
  <mergeCells count="18">
    <mergeCell ref="B45:E45"/>
    <mergeCell ref="F50:I50"/>
    <mergeCell ref="B44:I44"/>
    <mergeCell ref="B53:I53"/>
    <mergeCell ref="B49:E49"/>
    <mergeCell ref="B50:E50"/>
    <mergeCell ref="B2:I2"/>
    <mergeCell ref="B48:E48"/>
    <mergeCell ref="F47:I47"/>
    <mergeCell ref="F48:I48"/>
    <mergeCell ref="B3:I3"/>
    <mergeCell ref="B47:E47"/>
    <mergeCell ref="B51:E51"/>
    <mergeCell ref="F51:I51"/>
    <mergeCell ref="F49:I49"/>
    <mergeCell ref="B46:E46"/>
    <mergeCell ref="F45:I45"/>
    <mergeCell ref="F46:I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2026-04-19T15:07:46Z</dcterms:created>
  <dcterms:modified xmlns:dcterms="http://purl.org/dc/terms/" xmlns:xsi="http://www.w3.org/2001/XMLSchema-instance" xsi:type="dcterms:W3CDTF">2026-04-19T15:07:46Z</dcterms:modified>
</cp:coreProperties>
</file>