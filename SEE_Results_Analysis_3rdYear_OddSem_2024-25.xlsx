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tudent-Wise Result" sheetId="1" state="visible" r:id="rId3"/>
    <sheet name="Subject-Wise Summary" sheetId="2" state="visible" r:id="rId4"/>
    <sheet name="Overall Pass Analysis" sheetId="3" state="visible" r:id="rId5"/>
    <sheet name="Grade Distribution" sheetId="4" state="visible" r:id="rId6"/>
    <sheet name="Instruction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<sst xmlns="http://schemas.openxmlformats.org/spreadsheetml/2006/main" count="207" uniqueCount="138">
  <si>
    <t xml:space="preserve">SEMESTER END EXAMINATION (SEE) – RESULT ANALYSIS</t>
  </si>
  <si>
    <t xml:space="preserve">Department:</t>
  </si>
  <si>
    <t xml:space="preserve">Academic Year:</t>
  </si>
  <si>
    <t xml:space="preserve">Semester:</t>
  </si>
  <si>
    <t xml:space="preserve">Programme:</t>
  </si>
  <si>
    <t xml:space="preserve">Branch:</t>
  </si>
  <si>
    <t xml:space="preserve">Class:</t>
  </si>
  <si>
    <t xml:space="preserve">Section:</t>
  </si>
  <si>
    <t xml:space="preserve">Sl.No</t>
  </si>
  <si>
    <t xml:space="preserve">Reg. No</t>
  </si>
  <si>
    <t xml:space="preserve">Student Name</t>
  </si>
  <si>
    <t xml:space="preserve">Course #1</t>
  </si>
  <si>
    <t xml:space="preserve">Course #2</t>
  </si>
  <si>
    <t xml:space="preserve">Course #3</t>
  </si>
  <si>
    <t xml:space="preserve">Course #4</t>
  </si>
  <si>
    <t xml:space="preserve">Course #5</t>
  </si>
  <si>
    <t xml:space="preserve">Course #6</t>
  </si>
  <si>
    <t xml:space="preserve">SGPA</t>
  </si>
  <si>
    <t xml:space="preserve">CGPA</t>
  </si>
  <si>
    <t xml:space="preserve">Grade</t>
  </si>
  <si>
    <t xml:space="preserve">Marks</t>
  </si>
  <si>
    <t xml:space="preserve">Credits</t>
  </si>
  <si>
    <t xml:space="preserve">Course Code →</t>
  </si>
  <si>
    <t xml:space="preserve">SUBJ1</t>
  </si>
  <si>
    <t xml:space="preserve">SUBJ2</t>
  </si>
  <si>
    <t xml:space="preserve">SUBJ3</t>
  </si>
  <si>
    <t xml:space="preserve">SUBJ4</t>
  </si>
  <si>
    <t xml:space="preserve">SUBJ5</t>
  </si>
  <si>
    <t xml:space="preserve">SUBJ6</t>
  </si>
  <si>
    <t xml:space="preserve">Grade Points →</t>
  </si>
  <si>
    <t xml:space="preserve">O=10,A+=9,A=8,B+=7,B=6,C=5,P=4,F=0</t>
  </si>
  <si>
    <t xml:space="preserve">Max 100</t>
  </si>
  <si>
    <t xml:space="preserve">Auto</t>
  </si>
  <si>
    <t xml:space="preserve">Manual</t>
  </si>
  <si>
    <t xml:space="preserve">No. of 'O' grades (10)</t>
  </si>
  <si>
    <t xml:space="preserve">No. of 'A+' grades (09)</t>
  </si>
  <si>
    <t xml:space="preserve">No. of 'A' grades (08)</t>
  </si>
  <si>
    <t xml:space="preserve">No. of 'B+' grades (07)</t>
  </si>
  <si>
    <t xml:space="preserve">No. of 'B' grades (06)</t>
  </si>
  <si>
    <t xml:space="preserve">No. of 'C' grades (05)</t>
  </si>
  <si>
    <t xml:space="preserve">No. of 'P' grades (04)</t>
  </si>
  <si>
    <t xml:space="preserve">No. of 'F' grades (00)</t>
  </si>
  <si>
    <t xml:space="preserve">No. of Students with SGPA &lt; 5 (C-Grade)</t>
  </si>
  <si>
    <t xml:space="preserve">No. of Students with SGPA &lt; 6 (B-Grade)</t>
  </si>
  <si>
    <t xml:space="preserve">Total Students Registered</t>
  </si>
  <si>
    <t xml:space="preserve">Total Students Passed</t>
  </si>
  <si>
    <t xml:space="preserve">Pass Percentage</t>
  </si>
  <si>
    <t xml:space="preserve">Observations by HoD:</t>
  </si>
  <si>
    <t xml:space="preserve">Signature of Course Instructor</t>
  </si>
  <si>
    <t xml:space="preserve">Signature of Dept. Exam In-charge</t>
  </si>
  <si>
    <t xml:space="preserve">Signature of HOD</t>
  </si>
  <si>
    <t xml:space="preserve">Signature of Principal</t>
  </si>
  <si>
    <t xml:space="preserve">SEMESTER END EXAMINATION — SUBJECT-WISE RESULT SUMMARY</t>
  </si>
  <si>
    <t xml:space="preserve">Si. No</t>
  </si>
  <si>
    <t xml:space="preserve">Name of the Course</t>
  </si>
  <si>
    <t xml:space="preserve">Course Code</t>
  </si>
  <si>
    <t xml:space="preserve">Course Instructor</t>
  </si>
  <si>
    <t xml:space="preserve">Section</t>
  </si>
  <si>
    <t xml:space="preserve">No. of Students
on Rolls</t>
  </si>
  <si>
    <t xml:space="preserve">No. of Students
Registered</t>
  </si>
  <si>
    <t xml:space="preserve">No. of Students
Absent</t>
  </si>
  <si>
    <t xml:space="preserve">No. of Students
Passed</t>
  </si>
  <si>
    <t xml:space="preserve">No. of Students
Failed</t>
  </si>
  <si>
    <t xml:space="preserve">Pass %
(of Registered)</t>
  </si>
  <si>
    <t xml:space="preserve">Signature of
Course Instructor</t>
  </si>
  <si>
    <t xml:space="preserve">Course Name 1</t>
  </si>
  <si>
    <t xml:space="preserve">A</t>
  </si>
  <si>
    <t xml:space="preserve">Course Name 2</t>
  </si>
  <si>
    <t xml:space="preserve">Course Name 3</t>
  </si>
  <si>
    <t xml:space="preserve">Course Name 4</t>
  </si>
  <si>
    <t xml:space="preserve">Course Name 5</t>
  </si>
  <si>
    <t xml:space="preserve">Course Name 6</t>
  </si>
  <si>
    <t xml:space="preserve">OVERALL</t>
  </si>
  <si>
    <t xml:space="preserve">Dept. Exam In-charge</t>
  </si>
  <si>
    <t xml:space="preserve">PRINCIPAL</t>
  </si>
  <si>
    <t xml:space="preserve">OVERALL PASS ANALYSIS — ALL SUBJECTS</t>
  </si>
  <si>
    <t xml:space="preserve">Total No. of Students Registered:</t>
  </si>
  <si>
    <t xml:space="preserve">Total No. of Students All Subjects Passed:</t>
  </si>
  <si>
    <t xml:space="preserve">Overall Pass Percentage:</t>
  </si>
  <si>
    <t xml:space="preserve">Subject Name</t>
  </si>
  <si>
    <t xml:space="preserve">Registered</t>
  </si>
  <si>
    <t xml:space="preserve">Passed</t>
  </si>
  <si>
    <t xml:space="preserve">Failed</t>
  </si>
  <si>
    <t xml:space="preserve">Pass %</t>
  </si>
  <si>
    <t xml:space="preserve">TOTAL / AVERAGE</t>
  </si>
  <si>
    <t xml:space="preserve">GRADE DISTRIBUTION &amp; SGPA BAND ANALYSIS</t>
  </si>
  <si>
    <t xml:space="preserve">SGPA BAND DISTRIBUTION</t>
  </si>
  <si>
    <t xml:space="preserve">SGPA Range</t>
  </si>
  <si>
    <t xml:space="preserve">No. of Students</t>
  </si>
  <si>
    <t xml:space="preserve">Percentage %</t>
  </si>
  <si>
    <t xml:space="preserve">Remarks</t>
  </si>
  <si>
    <t xml:space="preserve">10.0 (O)</t>
  </si>
  <si>
    <t xml:space="preserve">Outstanding</t>
  </si>
  <si>
    <t xml:space="preserve">9.0–9.9 (A+)</t>
  </si>
  <si>
    <t xml:space="preserve">Excellent</t>
  </si>
  <si>
    <t xml:space="preserve">8.0–8.9 (A)</t>
  </si>
  <si>
    <t xml:space="preserve">Very Good</t>
  </si>
  <si>
    <t xml:space="preserve">7.0–7.9 (B+)</t>
  </si>
  <si>
    <t xml:space="preserve">Good</t>
  </si>
  <si>
    <t xml:space="preserve">6.0–6.9 (B)</t>
  </si>
  <si>
    <t xml:space="preserve">Above Average</t>
  </si>
  <si>
    <t xml:space="preserve">5.0–5.9 (C)</t>
  </si>
  <si>
    <t xml:space="preserve">Average</t>
  </si>
  <si>
    <t xml:space="preserve">4.0–4.9 (P)</t>
  </si>
  <si>
    <t xml:space="preserve">Pass</t>
  </si>
  <si>
    <t xml:space="preserve">&lt; 4.0 (F)</t>
  </si>
  <si>
    <t xml:space="preserve">Fail</t>
  </si>
  <si>
    <t xml:space="preserve">TOTAL</t>
  </si>
  <si>
    <t xml:space="preserve">INSTRUCTIONS FOR USING THIS WORKBOOK</t>
  </si>
  <si>
    <t xml:space="preserve">STEP-BY-STEP INSTRUCTIONS</t>
  </si>
  <si>
    <t xml:space="preserve">1.</t>
  </si>
  <si>
    <t xml:space="preserve">Sheet 1 'Student-Wise Result': Enter Reg. No, Student Name, and YELLOW cells — Grade (O/A+/A/B+/B/C/P/F) and Marks for each course per student.</t>
  </si>
  <si>
    <t xml:space="preserve">2.</t>
  </si>
  <si>
    <t xml:space="preserve">Do NOT enter anything in LIGHT BLUE cells — these are auto-calculated (SGPA, Grade Counts, Pass%, etc.).</t>
  </si>
  <si>
    <t xml:space="preserve">3.</t>
  </si>
  <si>
    <t xml:space="preserve">SGPA auto-calculates using: SGPA = Σ(Grade Points × Credits) / Σ(Credits). Enter CGPA manually.</t>
  </si>
  <si>
    <t xml:space="preserve">4.</t>
  </si>
  <si>
    <t xml:space="preserve">Grade point scale: O=10, A+=9, A=8, B+=7, B=6, C=5, P=4, F=0. Enter grades exactly as listed.</t>
  </si>
  <si>
    <t xml:space="preserve">5.</t>
  </si>
  <si>
    <t xml:space="preserve">Credits per course: Editable in Row 7. Default is 4. Change once — all student rows update automatically.</t>
  </si>
  <si>
    <t xml:space="preserve">6.</t>
  </si>
  <si>
    <t xml:space="preserve">Sheet 2 'Subject-Wise Summary': Enter Enrolled, Registered, Absent, Passed counts per subject. Failed and Pass% auto-calculate.</t>
  </si>
  <si>
    <t xml:space="preserve">7.</t>
  </si>
  <si>
    <t xml:space="preserve">Sheet 3 'Overall Pass Analysis': Pulls data from Subject-Wise sheet automatically. Two bar charts auto-update.</t>
  </si>
  <si>
    <t xml:space="preserve">8.</t>
  </si>
  <si>
    <t xml:space="preserve">Sheet 4 'Grade Distribution': Pulls SGPA data from Student-Wise sheet and shows band distribution with chart.</t>
  </si>
  <si>
    <t xml:space="preserve">9.</t>
  </si>
  <si>
    <t xml:space="preserve">To add more students: Insert rows ABOVE the last student row (before Grade Distribution rows).</t>
  </si>
  <si>
    <t xml:space="preserve">10.</t>
  </si>
  <si>
    <t xml:space="preserve">All signature cells are editable blue fields at the bottom of each sheet.</t>
  </si>
  <si>
    <t xml:space="preserve">COLOUR CODING GUIDE</t>
  </si>
  <si>
    <t xml:space="preserve">  </t>
  </si>
  <si>
    <t xml:space="preserve">YELLOW = Editable input cells (enter data here)</t>
  </si>
  <si>
    <t xml:space="preserve">LIGHT BLUE = Auto-calculated (do NOT edit)</t>
  </si>
  <si>
    <t xml:space="preserve">LIGHT GRAY = Alternating row shading</t>
  </si>
  <si>
    <t xml:space="preserve">LIGHT GREEN = Positive metrics (Passed, Pass%)</t>
  </si>
  <si>
    <t xml:space="preserve">LIGHT ORANGE = Negative metrics (Failed)</t>
  </si>
  <si>
    <t xml:space="preserve">SKY BLUE = Signature / information fields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</si>
</sst>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.00"/>
    <numFmt numFmtId="167" formatCode="0"/>
    <numFmt numFmtId="168" formatCode="0.0\%"/>
  </numFmts>
  <fonts count="2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9"/>
      <color rgb="FF1F3864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8"/>
      <color rgb="FF1F3864"/>
      <name val="Arial"/>
      <family val="0"/>
      <charset val="1"/>
    </font>
    <font>
      <sz val="8"/>
      <color rgb="FF404040"/>
      <name val="Arial"/>
      <family val="0"/>
      <charset val="1"/>
    </font>
    <font>
      <sz val="8"/>
      <color rgb="FF1F3864"/>
      <name val="Arial"/>
      <family val="0"/>
      <charset val="1"/>
    </font>
    <font>
      <b val="true"/>
      <sz val="7"/>
      <color rgb="FF404040"/>
      <name val="Arial"/>
      <family val="0"/>
      <charset val="1"/>
    </font>
    <font>
      <i val="true"/>
      <sz val="7"/>
      <color rgb="FFBF8F00"/>
      <name val="Arial"/>
      <family val="0"/>
      <charset val="1"/>
    </font>
    <font>
      <i val="true"/>
      <sz val="7"/>
      <color rgb="FF404040"/>
      <name val="Arial"/>
      <family val="0"/>
      <charset val="1"/>
    </font>
    <font>
      <i val="true"/>
      <sz val="7"/>
      <color rgb="FF8B0000"/>
      <name val="Arial"/>
      <family val="0"/>
      <charset val="1"/>
    </font>
    <font>
      <sz val="9"/>
      <color rgb="FF1F3864"/>
      <name val="Arial"/>
      <family val="0"/>
      <charset val="1"/>
    </font>
    <font>
      <sz val="9"/>
      <color rgb="FF2E75B6"/>
      <name val="Arial"/>
      <family val="0"/>
      <charset val="1"/>
    </font>
    <font>
      <b val="true"/>
      <sz val="9"/>
      <color rgb="FF8B0000"/>
      <name val="Arial"/>
      <family val="0"/>
      <charset val="1"/>
    </font>
    <font>
      <sz val="9"/>
      <color rgb="FF8B0000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375623"/>
      <name val="Arial"/>
      <family val="0"/>
      <charset val="1"/>
    </font>
    <font>
      <b val="true"/>
      <sz val="9"/>
      <color rgb="FF00695C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9"/>
      <color rgb="FFFFFFFF"/>
      <name val="Arial"/>
      <family val="0"/>
      <charset val="1"/>
    </font>
    <font>
      <b val="true"/>
      <sz val="12"/>
      <color rgb="FFFFFFFF"/>
      <name val="Arial"/>
      <family val="0"/>
      <charset val="1"/>
    </font>
  </fonts>
  <fills count="22">
    <fill>
      <patternFill patternType="none"/>
    </fill>
    <fill>
      <patternFill patternType="gray125"/>
    </fill>
    <fill>
      <patternFill patternType="solid">
        <fgColor rgb="FF1F3864"/>
        <bgColor rgb="FF1F497D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CE4D6"/>
      </patternFill>
    </fill>
    <fill>
      <patternFill patternType="solid">
        <fgColor rgb="FF2E75B6"/>
        <bgColor rgb="FF0066CC"/>
      </patternFill>
    </fill>
    <fill>
      <patternFill patternType="solid">
        <fgColor rgb="FF00695C"/>
        <bgColor rgb="FF1F7A4D"/>
      </patternFill>
    </fill>
    <fill>
      <patternFill patternType="solid">
        <fgColor rgb="FF375623"/>
        <bgColor rgb="FF404040"/>
      </patternFill>
    </fill>
    <fill>
      <patternFill patternType="solid">
        <fgColor rgb="FFC55A11"/>
        <bgColor rgb="FF993300"/>
      </patternFill>
    </fill>
    <fill>
      <patternFill patternType="solid">
        <fgColor rgb="FF7030A0"/>
        <bgColor rgb="FF993366"/>
      </patternFill>
    </fill>
    <fill>
      <patternFill patternType="solid">
        <fgColor rgb="FF1F497D"/>
        <bgColor rgb="FF1F3864"/>
      </patternFill>
    </fill>
    <fill>
      <patternFill patternType="solid">
        <fgColor rgb="FF8B0000"/>
        <bgColor rgb="FF800000"/>
      </patternFill>
    </fill>
    <fill>
      <patternFill patternType="solid">
        <fgColor rgb="FFF2F2F2"/>
        <bgColor rgb="FFF9F9F9"/>
      </patternFill>
    </fill>
    <fill>
      <patternFill patternType="solid">
        <fgColor rgb="FFDEEAF1"/>
        <bgColor rgb="FFE0F2F1"/>
      </patternFill>
    </fill>
    <fill>
      <patternFill patternType="solid">
        <fgColor rgb="FFFCE4D6"/>
        <bgColor rgb="FFFFF2CC"/>
      </patternFill>
    </fill>
    <fill>
      <patternFill patternType="solid">
        <fgColor rgb="FFFFFFFF"/>
        <bgColor rgb="FFF9F9F9"/>
      </patternFill>
    </fill>
    <fill>
      <patternFill patternType="solid">
        <fgColor rgb="FF1F7A4D"/>
        <bgColor rgb="FF00695C"/>
      </patternFill>
    </fill>
    <fill>
      <patternFill patternType="solid">
        <fgColor rgb="FFBF8F00"/>
        <bgColor rgb="FF808000"/>
      </patternFill>
    </fill>
    <fill>
      <patternFill patternType="solid">
        <fgColor rgb="FFC00000"/>
        <bgColor rgb="FF8B0000"/>
      </patternFill>
    </fill>
    <fill>
      <patternFill patternType="solid">
        <fgColor rgb="FFE2EFDA"/>
        <bgColor rgb="FFE0F2F1"/>
      </patternFill>
    </fill>
    <fill>
      <patternFill patternType="solid">
        <fgColor rgb="FFE0F2F1"/>
        <bgColor rgb="FFDEEAF1"/>
      </patternFill>
    </fill>
    <fill>
      <patternFill patternType="solid">
        <fgColor rgb="FF404040"/>
        <bgColor rgb="FF375623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n">
        <color rgb="FF888888"/>
      </left>
      <right style="thin">
        <color rgb="FF888888"/>
      </right>
      <top style="thin">
        <color rgb="FF888888"/>
      </top>
      <bottom style="thin">
        <color rgb="FF888888"/>
      </bottom>
      <diagonal/>
    </border>
    <border diagonalUp="false" diagonalDown="false">
      <left style="thin">
        <color rgb="FF888888"/>
      </left>
      <right/>
      <top style="thin">
        <color rgb="FF888888"/>
      </top>
      <bottom style="thin">
        <color rgb="FF888888"/>
      </bottom>
      <diagonal/>
    </border>
    <border diagonalUp="false" diagonalDown="false">
      <left style="medium"/>
      <right style="medium"/>
      <top style="medium"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7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8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8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9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8" fillId="11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7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3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6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8" fillId="8" borderId="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22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3" fillId="2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2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7" fillId="1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1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5" borderId="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00695C"/>
      <rgbColor rgb="FFD9D9D9"/>
      <rgbColor rgb="FF878787"/>
      <rgbColor rgb="FF9999FF"/>
      <rgbColor rgb="FF7030A0"/>
      <rgbColor rgb="FFFFF2CC"/>
      <rgbColor rgb="FFE0F2F1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1F7A4D"/>
      <rgbColor rgb="FF0000FF"/>
      <rgbColor rgb="FF00CCFF"/>
      <rgbColor rgb="FFDEEAF1"/>
      <rgbColor rgb="FFE2EFDA"/>
      <rgbColor rgb="FFF2F2F2"/>
      <rgbColor rgb="FFF9F9F9"/>
      <rgbColor rgb="FFFF99CC"/>
      <rgbColor rgb="FFCC99FF"/>
      <rgbColor rgb="FFFCE4D6"/>
      <rgbColor rgb="FF2E75B6"/>
      <rgbColor rgb="FF33CCCC"/>
      <rgbColor rgb="FF99CC00"/>
      <rgbColor rgb="FFFFCC00"/>
      <rgbColor rgb="FFBF8F00"/>
      <rgbColor rgb="FFC55A11"/>
      <rgbColor rgb="FF666699"/>
      <rgbColor rgb="FF888888"/>
      <rgbColor rgb="FF1F3864"/>
      <rgbColor rgb="FF339966"/>
      <rgbColor rgb="FF003300"/>
      <rgbColor rgb="FF375623"/>
      <rgbColor rgb="FF993300"/>
      <rgbColor rgb="FF993366"/>
      <rgbColor rgb="FF1F497D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Subject-Wise: Registered vs Passed vs Failed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'Overall Pass Analysis'!D7</c:f>
              <c:strCache>
                <c:ptCount val="1"/>
                <c:pt idx="0">
                  <c:v>Registered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'Overall Pass Analysis'!$D$8:$D$13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strRef>
              <c:f>'Overall Pass Analysis'!E7</c:f>
              <c:strCache>
                <c:ptCount val="1"/>
                <c:pt idx="0">
                  <c:v>Passed</c:v>
                </c:pt>
              </c:strCache>
            </c:strRef>
          </c:tx>
          <c:spPr>
            <a:solidFill>
              <a:srgbClr val="375623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'Overall Pass Analysis'!$E$8:$E$13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strRef>
              <c:f>'Overall Pass Analysis'!F7</c:f>
              <c:strCache>
                <c:ptCount val="1"/>
                <c:pt idx="0">
                  <c:v>Failed</c:v>
                </c:pt>
              </c:strCache>
            </c:strRef>
          </c:tx>
          <c:spPr>
            <a:solidFill>
              <a:srgbClr val="c00000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'Overall Pass Analysis'!$F$8:$F$13</c:f>
              <c:numCache>
                <c:formatCode>0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61004894"/>
        <c:axId val="6350591"/>
      </c:barChart>
      <c:catAx>
        <c:axId val="6100489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350591"/>
        <c:crosses val="autoZero"/>
        <c:auto val="1"/>
        <c:lblAlgn val="ctr"/>
        <c:lblOffset val="100"/>
        <c:noMultiLvlLbl val="0"/>
      </c:catAx>
      <c:valAx>
        <c:axId val="63505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1004894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Subject-Wise Pass Percentage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'Overall Pass Analysis'!G7</c:f>
              <c:strCache>
                <c:ptCount val="1"/>
                <c:pt idx="0">
                  <c:v>Pass %</c:v>
                </c:pt>
              </c:strCache>
            </c:strRef>
          </c:tx>
          <c:spPr>
            <a:solidFill>
              <a:srgbClr val="00695c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'Overall Pass Analysis'!$G$8:$G$13</c:f>
              <c:numCache>
                <c:formatCode>0.0\%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gapWidth val="150"/>
        <c:overlap val="0"/>
        <c:axId val="93796338"/>
        <c:axId val="23221950"/>
      </c:barChart>
      <c:catAx>
        <c:axId val="93796338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Subject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3221950"/>
        <c:crosses val="autoZero"/>
        <c:auto val="1"/>
        <c:lblAlgn val="ctr"/>
        <c:lblOffset val="100"/>
        <c:noMultiLvlLbl val="0"/>
      </c:catAx>
      <c:valAx>
        <c:axId val="2322195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Pass %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\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37963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SGPA Band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'Grade Distribution'!B5</c:f>
              <c:strCache>
                <c:ptCount val="1"/>
                <c:pt idx="0">
                  <c:v>No. of Students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'Grade Distribution'!$B$6:$B$13</c:f>
              <c:numCache>
                <c:formatCode>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gapWidth val="150"/>
        <c:overlap val="0"/>
        <c:axId val="41237538"/>
        <c:axId val="45072866"/>
      </c:barChart>
      <c:catAx>
        <c:axId val="41237538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SGPA Range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5072866"/>
        <c:crosses val="autoZero"/>
        <c:auto val="1"/>
        <c:lblAlgn val="ctr"/>
        <c:lblOffset val="100"/>
        <c:noMultiLvlLbl val="0"/>
      </c:catAx>
      <c:valAx>
        <c:axId val="4507286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No. of Students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23753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16</xdr:row>
      <xdr:rowOff>0</xdr:rowOff>
    </xdr:from>
    <xdr:to>
      <xdr:col>9</xdr:col>
      <xdr:colOff>226800</xdr:colOff>
      <xdr:row>42</xdr:row>
      <xdr:rowOff>86040</xdr:rowOff>
    </xdr:to>
    <xdr:graphicFrame>
      <xdr:nvGraphicFramePr>
        <xdr:cNvPr id="0" name="Chart 1"/>
        <xdr:cNvGraphicFramePr/>
      </xdr:nvGraphicFramePr>
      <xdr:xfrm>
        <a:off x="0" y="4076640"/>
        <a:ext cx="863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0</xdr:colOff>
      <xdr:row>16</xdr:row>
      <xdr:rowOff>0</xdr:rowOff>
    </xdr:from>
    <xdr:to>
      <xdr:col>25</xdr:col>
      <xdr:colOff>78120</xdr:colOff>
      <xdr:row>38</xdr:row>
      <xdr:rowOff>128160</xdr:rowOff>
    </xdr:to>
    <xdr:graphicFrame>
      <xdr:nvGraphicFramePr>
        <xdr:cNvPr id="1" name="Chart 2"/>
        <xdr:cNvGraphicFramePr/>
      </xdr:nvGraphicFramePr>
      <xdr:xfrm>
        <a:off x="9635400" y="4076640"/>
        <a:ext cx="8639280" cy="431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5</xdr:col>
      <xdr:colOff>0</xdr:colOff>
      <xdr:row>4</xdr:row>
      <xdr:rowOff>0</xdr:rowOff>
    </xdr:from>
    <xdr:to>
      <xdr:col>13</xdr:col>
      <xdr:colOff>432720</xdr:colOff>
      <xdr:row>27</xdr:row>
      <xdr:rowOff>29160</xdr:rowOff>
    </xdr:to>
    <xdr:graphicFrame>
      <xdr:nvGraphicFramePr>
        <xdr:cNvPr id="2" name="Chart 1"/>
        <xdr:cNvGraphicFramePr/>
      </xdr:nvGraphicFramePr>
      <xdr:xfrm>
        <a:off x="5779800" y="1114560"/>
        <a:ext cx="7199280" cy="503928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8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4"/>
    <col collapsed="false" customWidth="true" hidden="false" outlineLevel="0" max="3" min="3" style="1" width="26"/>
    <col collapsed="false" customWidth="true" hidden="false" outlineLevel="0" max="4" min="4" style="1" width="10"/>
    <col collapsed="false" customWidth="true" hidden="false" outlineLevel="0" max="5" min="5" style="1" width="8"/>
    <col collapsed="false" customWidth="true" hidden="false" outlineLevel="0" max="6" min="6" style="1" width="7"/>
    <col collapsed="false" customWidth="true" hidden="false" outlineLevel="0" max="7" min="7" style="1" width="10"/>
    <col collapsed="false" customWidth="true" hidden="false" outlineLevel="0" max="8" min="8" style="1" width="8"/>
    <col collapsed="false" customWidth="true" hidden="false" outlineLevel="0" max="9" min="9" style="1" width="7"/>
    <col collapsed="false" customWidth="true" hidden="false" outlineLevel="0" max="10" min="10" style="1" width="10"/>
    <col collapsed="false" customWidth="true" hidden="false" outlineLevel="0" max="11" min="11" style="1" width="8"/>
    <col collapsed="false" customWidth="true" hidden="false" outlineLevel="0" max="12" min="12" style="1" width="7"/>
    <col collapsed="false" customWidth="true" hidden="false" outlineLevel="0" max="13" min="13" style="1" width="10"/>
    <col collapsed="false" customWidth="true" hidden="false" outlineLevel="0" max="14" min="14" style="1" width="8"/>
    <col collapsed="false" customWidth="true" hidden="false" outlineLevel="0" max="15" min="15" style="1" width="7"/>
    <col collapsed="false" customWidth="true" hidden="false" outlineLevel="0" max="16" min="16" style="1" width="10"/>
    <col collapsed="false" customWidth="true" hidden="false" outlineLevel="0" max="17" min="17" style="1" width="8"/>
    <col collapsed="false" customWidth="true" hidden="false" outlineLevel="0" max="18" min="18" style="1" width="7"/>
    <col collapsed="false" customWidth="true" hidden="false" outlineLevel="0" max="19" min="19" style="1" width="10"/>
    <col collapsed="false" customWidth="true" hidden="false" outlineLevel="0" max="20" min="20" style="1" width="8"/>
    <col collapsed="false" customWidth="true" hidden="false" outlineLevel="0" max="21" min="21" style="1" width="7"/>
    <col collapsed="false" customWidth="true" hidden="false" outlineLevel="0" max="23" min="22" style="1" width="9"/>
  </cols>
  <sheetData>
    <row r="1" customFormat="false" ht="36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customFormat="false" ht="21.75" hidden="false" customHeight="true" outlineLevel="0" collapsed="false">
      <c r="A2" s="3" t="s">
        <v>1</v>
      </c>
      <c r="B2" s="4"/>
      <c r="C2" s="3" t="s">
        <v>2</v>
      </c>
      <c r="D2" s="4"/>
      <c r="F2" s="3" t="s">
        <v>3</v>
      </c>
      <c r="G2" s="4"/>
    </row>
    <row r="3" customFormat="false" ht="19.5" hidden="false" customHeight="true" outlineLevel="0" collapsed="false">
      <c r="A3" s="3" t="s">
        <v>4</v>
      </c>
      <c r="B3" s="5"/>
      <c r="C3" s="5"/>
      <c r="D3" s="3" t="s">
        <v>5</v>
      </c>
      <c r="E3" s="5"/>
      <c r="F3" s="5"/>
      <c r="G3" s="3" t="s">
        <v>6</v>
      </c>
      <c r="H3" s="4"/>
      <c r="I3" s="3" t="s">
        <v>7</v>
      </c>
      <c r="J3" s="4"/>
    </row>
    <row r="4" customFormat="false" ht="6" hidden="false" customHeight="true" outlineLevel="0" collapsed="false"/>
    <row r="5" customFormat="false" ht="21.75" hidden="false" customHeight="true" outlineLevel="0" collapsed="false">
      <c r="A5" s="6" t="s">
        <v>8</v>
      </c>
      <c r="B5" s="6" t="s">
        <v>9</v>
      </c>
      <c r="C5" s="6" t="s">
        <v>10</v>
      </c>
      <c r="D5" s="7" t="s">
        <v>11</v>
      </c>
      <c r="E5" s="7"/>
      <c r="F5" s="7"/>
      <c r="G5" s="8" t="s">
        <v>12</v>
      </c>
      <c r="H5" s="8"/>
      <c r="I5" s="8"/>
      <c r="J5" s="9" t="s">
        <v>13</v>
      </c>
      <c r="K5" s="9"/>
      <c r="L5" s="9"/>
      <c r="M5" s="10" t="s">
        <v>14</v>
      </c>
      <c r="N5" s="10"/>
      <c r="O5" s="10"/>
      <c r="P5" s="11" t="s">
        <v>15</v>
      </c>
      <c r="Q5" s="11"/>
      <c r="R5" s="11"/>
      <c r="S5" s="12" t="s">
        <v>16</v>
      </c>
      <c r="T5" s="12"/>
      <c r="U5" s="12"/>
      <c r="V5" s="13" t="s">
        <v>17</v>
      </c>
      <c r="W5" s="13" t="s">
        <v>18</v>
      </c>
    </row>
    <row r="6" customFormat="false" ht="21.75" hidden="false" customHeight="true" outlineLevel="0" collapsed="false">
      <c r="A6" s="14"/>
      <c r="B6" s="14"/>
      <c r="C6" s="14"/>
      <c r="D6" s="15" t="s">
        <v>19</v>
      </c>
      <c r="E6" s="15" t="s">
        <v>20</v>
      </c>
      <c r="F6" s="15" t="s">
        <v>21</v>
      </c>
      <c r="G6" s="16" t="s">
        <v>19</v>
      </c>
      <c r="H6" s="16" t="s">
        <v>20</v>
      </c>
      <c r="I6" s="16" t="s">
        <v>21</v>
      </c>
      <c r="J6" s="17" t="s">
        <v>19</v>
      </c>
      <c r="K6" s="17" t="s">
        <v>20</v>
      </c>
      <c r="L6" s="17" t="s">
        <v>21</v>
      </c>
      <c r="M6" s="18" t="s">
        <v>19</v>
      </c>
      <c r="N6" s="18" t="s">
        <v>20</v>
      </c>
      <c r="O6" s="18" t="s">
        <v>21</v>
      </c>
      <c r="P6" s="19" t="s">
        <v>19</v>
      </c>
      <c r="Q6" s="19" t="s">
        <v>20</v>
      </c>
      <c r="R6" s="19" t="s">
        <v>21</v>
      </c>
      <c r="S6" s="20" t="s">
        <v>19</v>
      </c>
      <c r="T6" s="20" t="s">
        <v>20</v>
      </c>
      <c r="U6" s="20" t="s">
        <v>21</v>
      </c>
      <c r="V6" s="21"/>
      <c r="W6" s="21"/>
    </row>
    <row r="7" customFormat="false" ht="19.5" hidden="false" customHeight="true" outlineLevel="0" collapsed="false">
      <c r="A7" s="22" t="s">
        <v>22</v>
      </c>
      <c r="B7" s="22"/>
      <c r="C7" s="22"/>
      <c r="D7" s="23" t="s">
        <v>23</v>
      </c>
      <c r="E7" s="24"/>
      <c r="F7" s="25" t="n">
        <v>4</v>
      </c>
      <c r="G7" s="23" t="s">
        <v>24</v>
      </c>
      <c r="H7" s="24"/>
      <c r="I7" s="25" t="n">
        <v>4</v>
      </c>
      <c r="J7" s="23" t="s">
        <v>25</v>
      </c>
      <c r="K7" s="24"/>
      <c r="L7" s="25" t="n">
        <v>4</v>
      </c>
      <c r="M7" s="23" t="s">
        <v>26</v>
      </c>
      <c r="N7" s="24"/>
      <c r="O7" s="25" t="n">
        <v>4</v>
      </c>
      <c r="P7" s="23" t="s">
        <v>27</v>
      </c>
      <c r="Q7" s="24"/>
      <c r="R7" s="25" t="n">
        <v>4</v>
      </c>
      <c r="S7" s="23" t="s">
        <v>28</v>
      </c>
      <c r="T7" s="24"/>
      <c r="U7" s="25" t="n">
        <v>4</v>
      </c>
      <c r="V7" s="26"/>
      <c r="W7" s="26"/>
    </row>
    <row r="8" customFormat="false" ht="13.5" hidden="false" customHeight="true" outlineLevel="0" collapsed="false">
      <c r="A8" s="27" t="s">
        <v>29</v>
      </c>
      <c r="B8" s="27"/>
      <c r="C8" s="27"/>
      <c r="D8" s="28" t="s">
        <v>30</v>
      </c>
      <c r="E8" s="29" t="s">
        <v>31</v>
      </c>
      <c r="F8" s="29" t="s">
        <v>21</v>
      </c>
      <c r="G8" s="28" t="s">
        <v>30</v>
      </c>
      <c r="H8" s="29" t="s">
        <v>31</v>
      </c>
      <c r="I8" s="29" t="s">
        <v>21</v>
      </c>
      <c r="J8" s="28" t="s">
        <v>30</v>
      </c>
      <c r="K8" s="29" t="s">
        <v>31</v>
      </c>
      <c r="L8" s="29" t="s">
        <v>21</v>
      </c>
      <c r="M8" s="28" t="s">
        <v>30</v>
      </c>
      <c r="N8" s="29" t="s">
        <v>31</v>
      </c>
      <c r="O8" s="29" t="s">
        <v>21</v>
      </c>
      <c r="P8" s="28" t="s">
        <v>30</v>
      </c>
      <c r="Q8" s="29" t="s">
        <v>31</v>
      </c>
      <c r="R8" s="29" t="s">
        <v>21</v>
      </c>
      <c r="S8" s="28" t="s">
        <v>30</v>
      </c>
      <c r="T8" s="29" t="s">
        <v>31</v>
      </c>
      <c r="U8" s="29" t="s">
        <v>21</v>
      </c>
      <c r="V8" s="30" t="s">
        <v>32</v>
      </c>
      <c r="W8" s="29" t="s">
        <v>33</v>
      </c>
    </row>
    <row r="9" customFormat="false" ht="18" hidden="false" customHeight="true" outlineLevel="0" collapsed="false">
      <c r="A9" s="31" t="n">
        <v>1</v>
      </c>
      <c r="B9" s="32"/>
      <c r="C9" s="32"/>
      <c r="D9" s="4"/>
      <c r="E9" s="4"/>
      <c r="F9" s="33" t="n">
        <f aca="false">F7</f>
        <v>4</v>
      </c>
      <c r="G9" s="4"/>
      <c r="H9" s="4"/>
      <c r="I9" s="33" t="n">
        <f aca="false">I7</f>
        <v>4</v>
      </c>
      <c r="J9" s="4"/>
      <c r="K9" s="4"/>
      <c r="L9" s="33" t="n">
        <f aca="false">L7</f>
        <v>4</v>
      </c>
      <c r="M9" s="4"/>
      <c r="N9" s="4"/>
      <c r="O9" s="33" t="n">
        <f aca="false">O7</f>
        <v>4</v>
      </c>
      <c r="P9" s="4"/>
      <c r="Q9" s="4"/>
      <c r="R9" s="33" t="n">
        <f aca="false">R7</f>
        <v>4</v>
      </c>
      <c r="S9" s="4"/>
      <c r="T9" s="4"/>
      <c r="U9" s="33" t="n">
        <f aca="false">U7</f>
        <v>4</v>
      </c>
      <c r="V9" s="34" t="n">
        <f aca="false">IFERROR(ROUND(((IFERROR(IF(D9="O",10,IF(D9="A+",9,IF(D9="A",8,IF(D9="B+",7,IF(D9="B",6,IF(D9="C",5,IF(D9="P",4,0))))))),0))*F9+(IFERROR(IF(G9="O",10,IF(G9="A+",9,IF(G9="A",8,IF(G9="B+",7,IF(G9="B",6,IF(G9="C",5,IF(G9="P",4,0))))))),0))*I9+(IFERROR(IF(J9="O",10,IF(J9="A+",9,IF(J9="A",8,IF(J9="B+",7,IF(J9="B",6,IF(J9="C",5,IF(J9="P",4,0))))))),0))*L9+(IFERROR(IF(M9="O",10,IF(M9="A+",9,IF(M9="A",8,IF(M9="B+",7,IF(M9="B",6,IF(M9="C",5,IF(M9="P",4,0))))))),0))*O9+(IFERROR(IF(P9="O",10,IF(P9="A+",9,IF(P9="A",8,IF(P9="B+",7,IF(P9="B",6,IF(P9="C",5,IF(P9="P",4,0))))))),0))*R9+(IFERROR(IF(S9="O",10,IF(S9="A+",9,IF(S9="A",8,IF(S9="B+",7,IF(S9="B",6,IF(S9="C",5,IF(S9="P",4,0))))))),0))*U9)/SUM(F9,I9,L9,O9,R9,U9),2),0)</f>
        <v>0</v>
      </c>
      <c r="W9" s="4"/>
    </row>
    <row r="10" customFormat="false" ht="18" hidden="false" customHeight="true" outlineLevel="0" collapsed="false">
      <c r="A10" s="35" t="n">
        <v>2</v>
      </c>
      <c r="B10" s="32"/>
      <c r="C10" s="32"/>
      <c r="D10" s="4"/>
      <c r="E10" s="4"/>
      <c r="F10" s="33" t="n">
        <f aca="false">F7</f>
        <v>4</v>
      </c>
      <c r="G10" s="4"/>
      <c r="H10" s="4"/>
      <c r="I10" s="33" t="n">
        <f aca="false">I7</f>
        <v>4</v>
      </c>
      <c r="J10" s="4"/>
      <c r="K10" s="4"/>
      <c r="L10" s="33" t="n">
        <f aca="false">L7</f>
        <v>4</v>
      </c>
      <c r="M10" s="4"/>
      <c r="N10" s="4"/>
      <c r="O10" s="33" t="n">
        <f aca="false">O7</f>
        <v>4</v>
      </c>
      <c r="P10" s="4"/>
      <c r="Q10" s="4"/>
      <c r="R10" s="33" t="n">
        <f aca="false">R7</f>
        <v>4</v>
      </c>
      <c r="S10" s="4"/>
      <c r="T10" s="4"/>
      <c r="U10" s="33" t="n">
        <f aca="false">U7</f>
        <v>4</v>
      </c>
      <c r="V10" s="34" t="n">
        <f aca="false">IFERROR(ROUND(((IFERROR(IF(D10="O",10,IF(D10="A+",9,IF(D10="A",8,IF(D10="B+",7,IF(D10="B",6,IF(D10="C",5,IF(D10="P",4,0))))))),0))*F10+(IFERROR(IF(G10="O",10,IF(G10="A+",9,IF(G10="A",8,IF(G10="B+",7,IF(G10="B",6,IF(G10="C",5,IF(G10="P",4,0))))))),0))*I10+(IFERROR(IF(J10="O",10,IF(J10="A+",9,IF(J10="A",8,IF(J10="B+",7,IF(J10="B",6,IF(J10="C",5,IF(J10="P",4,0))))))),0))*L10+(IFERROR(IF(M10="O",10,IF(M10="A+",9,IF(M10="A",8,IF(M10="B+",7,IF(M10="B",6,IF(M10="C",5,IF(M10="P",4,0))))))),0))*O10+(IFERROR(IF(P10="O",10,IF(P10="A+",9,IF(P10="A",8,IF(P10="B+",7,IF(P10="B",6,IF(P10="C",5,IF(P10="P",4,0))))))),0))*R10+(IFERROR(IF(S10="O",10,IF(S10="A+",9,IF(S10="A",8,IF(S10="B+",7,IF(S10="B",6,IF(S10="C",5,IF(S10="P",4,0))))))),0))*U10)/SUM(F10,I10,L10,O10,R10,U10),2),0)</f>
        <v>0</v>
      </c>
      <c r="W10" s="4"/>
    </row>
    <row r="11" customFormat="false" ht="18" hidden="false" customHeight="true" outlineLevel="0" collapsed="false">
      <c r="A11" s="31" t="n">
        <v>3</v>
      </c>
      <c r="B11" s="32"/>
      <c r="C11" s="32"/>
      <c r="D11" s="4"/>
      <c r="E11" s="4"/>
      <c r="F11" s="33" t="n">
        <f aca="false">F7</f>
        <v>4</v>
      </c>
      <c r="G11" s="4"/>
      <c r="H11" s="4"/>
      <c r="I11" s="33" t="n">
        <f aca="false">I7</f>
        <v>4</v>
      </c>
      <c r="J11" s="4"/>
      <c r="K11" s="4"/>
      <c r="L11" s="33" t="n">
        <f aca="false">L7</f>
        <v>4</v>
      </c>
      <c r="M11" s="4"/>
      <c r="N11" s="4"/>
      <c r="O11" s="33" t="n">
        <f aca="false">O7</f>
        <v>4</v>
      </c>
      <c r="P11" s="4"/>
      <c r="Q11" s="4"/>
      <c r="R11" s="33" t="n">
        <f aca="false">R7</f>
        <v>4</v>
      </c>
      <c r="S11" s="4"/>
      <c r="T11" s="4"/>
      <c r="U11" s="33" t="n">
        <f aca="false">U7</f>
        <v>4</v>
      </c>
      <c r="V11" s="34" t="n">
        <f aca="false">IFERROR(ROUND(((IFERROR(IF(D11="O",10,IF(D11="A+",9,IF(D11="A",8,IF(D11="B+",7,IF(D11="B",6,IF(D11="C",5,IF(D11="P",4,0))))))),0))*F11+(IFERROR(IF(G11="O",10,IF(G11="A+",9,IF(G11="A",8,IF(G11="B+",7,IF(G11="B",6,IF(G11="C",5,IF(G11="P",4,0))))))),0))*I11+(IFERROR(IF(J11="O",10,IF(J11="A+",9,IF(J11="A",8,IF(J11="B+",7,IF(J11="B",6,IF(J11="C",5,IF(J11="P",4,0))))))),0))*L11+(IFERROR(IF(M11="O",10,IF(M11="A+",9,IF(M11="A",8,IF(M11="B+",7,IF(M11="B",6,IF(M11="C",5,IF(M11="P",4,0))))))),0))*O11+(IFERROR(IF(P11="O",10,IF(P11="A+",9,IF(P11="A",8,IF(P11="B+",7,IF(P11="B",6,IF(P11="C",5,IF(P11="P",4,0))))))),0))*R11+(IFERROR(IF(S11="O",10,IF(S11="A+",9,IF(S11="A",8,IF(S11="B+",7,IF(S11="B",6,IF(S11="C",5,IF(S11="P",4,0))))))),0))*U11)/SUM(F11,I11,L11,O11,R11,U11),2),0)</f>
        <v>0</v>
      </c>
      <c r="W11" s="4"/>
    </row>
    <row r="12" customFormat="false" ht="18" hidden="false" customHeight="true" outlineLevel="0" collapsed="false">
      <c r="A12" s="35" t="n">
        <v>4</v>
      </c>
      <c r="B12" s="32"/>
      <c r="C12" s="32"/>
      <c r="D12" s="4"/>
      <c r="E12" s="4"/>
      <c r="F12" s="33" t="n">
        <f aca="false">F7</f>
        <v>4</v>
      </c>
      <c r="G12" s="4"/>
      <c r="H12" s="4"/>
      <c r="I12" s="33" t="n">
        <f aca="false">I7</f>
        <v>4</v>
      </c>
      <c r="J12" s="4"/>
      <c r="K12" s="4"/>
      <c r="L12" s="33" t="n">
        <f aca="false">L7</f>
        <v>4</v>
      </c>
      <c r="M12" s="4"/>
      <c r="N12" s="4"/>
      <c r="O12" s="33" t="n">
        <f aca="false">O7</f>
        <v>4</v>
      </c>
      <c r="P12" s="4"/>
      <c r="Q12" s="4"/>
      <c r="R12" s="33" t="n">
        <f aca="false">R7</f>
        <v>4</v>
      </c>
      <c r="S12" s="4"/>
      <c r="T12" s="4"/>
      <c r="U12" s="33" t="n">
        <f aca="false">U7</f>
        <v>4</v>
      </c>
      <c r="V12" s="34" t="n">
        <f aca="false">IFERROR(ROUND(((IFERROR(IF(D12="O",10,IF(D12="A+",9,IF(D12="A",8,IF(D12="B+",7,IF(D12="B",6,IF(D12="C",5,IF(D12="P",4,0))))))),0))*F12+(IFERROR(IF(G12="O",10,IF(G12="A+",9,IF(G12="A",8,IF(G12="B+",7,IF(G12="B",6,IF(G12="C",5,IF(G12="P",4,0))))))),0))*I12+(IFERROR(IF(J12="O",10,IF(J12="A+",9,IF(J12="A",8,IF(J12="B+",7,IF(J12="B",6,IF(J12="C",5,IF(J12="P",4,0))))))),0))*L12+(IFERROR(IF(M12="O",10,IF(M12="A+",9,IF(M12="A",8,IF(M12="B+",7,IF(M12="B",6,IF(M12="C",5,IF(M12="P",4,0))))))),0))*O12+(IFERROR(IF(P12="O",10,IF(P12="A+",9,IF(P12="A",8,IF(P12="B+",7,IF(P12="B",6,IF(P12="C",5,IF(P12="P",4,0))))))),0))*R12+(IFERROR(IF(S12="O",10,IF(S12="A+",9,IF(S12="A",8,IF(S12="B+",7,IF(S12="B",6,IF(S12="C",5,IF(S12="P",4,0))))))),0))*U12)/SUM(F12,I12,L12,O12,R12,U12),2),0)</f>
        <v>0</v>
      </c>
      <c r="W12" s="4"/>
    </row>
    <row r="13" customFormat="false" ht="18" hidden="false" customHeight="true" outlineLevel="0" collapsed="false">
      <c r="A13" s="31" t="n">
        <v>5</v>
      </c>
      <c r="B13" s="32"/>
      <c r="C13" s="32"/>
      <c r="D13" s="4"/>
      <c r="E13" s="4"/>
      <c r="F13" s="33" t="n">
        <f aca="false">F7</f>
        <v>4</v>
      </c>
      <c r="G13" s="4"/>
      <c r="H13" s="4"/>
      <c r="I13" s="33" t="n">
        <f aca="false">I7</f>
        <v>4</v>
      </c>
      <c r="J13" s="4"/>
      <c r="K13" s="4"/>
      <c r="L13" s="33" t="n">
        <f aca="false">L7</f>
        <v>4</v>
      </c>
      <c r="M13" s="4"/>
      <c r="N13" s="4"/>
      <c r="O13" s="33" t="n">
        <f aca="false">O7</f>
        <v>4</v>
      </c>
      <c r="P13" s="4"/>
      <c r="Q13" s="4"/>
      <c r="R13" s="33" t="n">
        <f aca="false">R7</f>
        <v>4</v>
      </c>
      <c r="S13" s="4"/>
      <c r="T13" s="4"/>
      <c r="U13" s="33" t="n">
        <f aca="false">U7</f>
        <v>4</v>
      </c>
      <c r="V13" s="34" t="n">
        <f aca="false">IFERROR(ROUND(((IFERROR(IF(D13="O",10,IF(D13="A+",9,IF(D13="A",8,IF(D13="B+",7,IF(D13="B",6,IF(D13="C",5,IF(D13="P",4,0))))))),0))*F13+(IFERROR(IF(G13="O",10,IF(G13="A+",9,IF(G13="A",8,IF(G13="B+",7,IF(G13="B",6,IF(G13="C",5,IF(G13="P",4,0))))))),0))*I13+(IFERROR(IF(J13="O",10,IF(J13="A+",9,IF(J13="A",8,IF(J13="B+",7,IF(J13="B",6,IF(J13="C",5,IF(J13="P",4,0))))))),0))*L13+(IFERROR(IF(M13="O",10,IF(M13="A+",9,IF(M13="A",8,IF(M13="B+",7,IF(M13="B",6,IF(M13="C",5,IF(M13="P",4,0))))))),0))*O13+(IFERROR(IF(P13="O",10,IF(P13="A+",9,IF(P13="A",8,IF(P13="B+",7,IF(P13="B",6,IF(P13="C",5,IF(P13="P",4,0))))))),0))*R13+(IFERROR(IF(S13="O",10,IF(S13="A+",9,IF(S13="A",8,IF(S13="B+",7,IF(S13="B",6,IF(S13="C",5,IF(S13="P",4,0))))))),0))*U13)/SUM(F13,I13,L13,O13,R13,U13),2),0)</f>
        <v>0</v>
      </c>
      <c r="W13" s="4"/>
    </row>
    <row r="14" customFormat="false" ht="18" hidden="false" customHeight="true" outlineLevel="0" collapsed="false">
      <c r="A14" s="35" t="n">
        <v>6</v>
      </c>
      <c r="B14" s="32"/>
      <c r="C14" s="32"/>
      <c r="D14" s="4"/>
      <c r="E14" s="4"/>
      <c r="F14" s="33" t="n">
        <f aca="false">F7</f>
        <v>4</v>
      </c>
      <c r="G14" s="4"/>
      <c r="H14" s="4"/>
      <c r="I14" s="33" t="n">
        <f aca="false">I7</f>
        <v>4</v>
      </c>
      <c r="J14" s="4"/>
      <c r="K14" s="4"/>
      <c r="L14" s="33" t="n">
        <f aca="false">L7</f>
        <v>4</v>
      </c>
      <c r="M14" s="4"/>
      <c r="N14" s="4"/>
      <c r="O14" s="33" t="n">
        <f aca="false">O7</f>
        <v>4</v>
      </c>
      <c r="P14" s="4"/>
      <c r="Q14" s="4"/>
      <c r="R14" s="33" t="n">
        <f aca="false">R7</f>
        <v>4</v>
      </c>
      <c r="S14" s="4"/>
      <c r="T14" s="4"/>
      <c r="U14" s="33" t="n">
        <f aca="false">U7</f>
        <v>4</v>
      </c>
      <c r="V14" s="34" t="n">
        <f aca="false">IFERROR(ROUND(((IFERROR(IF(D14="O",10,IF(D14="A+",9,IF(D14="A",8,IF(D14="B+",7,IF(D14="B",6,IF(D14="C",5,IF(D14="P",4,0))))))),0))*F14+(IFERROR(IF(G14="O",10,IF(G14="A+",9,IF(G14="A",8,IF(G14="B+",7,IF(G14="B",6,IF(G14="C",5,IF(G14="P",4,0))))))),0))*I14+(IFERROR(IF(J14="O",10,IF(J14="A+",9,IF(J14="A",8,IF(J14="B+",7,IF(J14="B",6,IF(J14="C",5,IF(J14="P",4,0))))))),0))*L14+(IFERROR(IF(M14="O",10,IF(M14="A+",9,IF(M14="A",8,IF(M14="B+",7,IF(M14="B",6,IF(M14="C",5,IF(M14="P",4,0))))))),0))*O14+(IFERROR(IF(P14="O",10,IF(P14="A+",9,IF(P14="A",8,IF(P14="B+",7,IF(P14="B",6,IF(P14="C",5,IF(P14="P",4,0))))))),0))*R14+(IFERROR(IF(S14="O",10,IF(S14="A+",9,IF(S14="A",8,IF(S14="B+",7,IF(S14="B",6,IF(S14="C",5,IF(S14="P",4,0))))))),0))*U14)/SUM(F14,I14,L14,O14,R14,U14),2),0)</f>
        <v>0</v>
      </c>
      <c r="W14" s="4"/>
    </row>
    <row r="15" customFormat="false" ht="18" hidden="false" customHeight="true" outlineLevel="0" collapsed="false">
      <c r="A15" s="31" t="n">
        <v>7</v>
      </c>
      <c r="B15" s="32"/>
      <c r="C15" s="32"/>
      <c r="D15" s="4"/>
      <c r="E15" s="4"/>
      <c r="F15" s="33" t="n">
        <f aca="false">F7</f>
        <v>4</v>
      </c>
      <c r="G15" s="4"/>
      <c r="H15" s="4"/>
      <c r="I15" s="33" t="n">
        <f aca="false">I7</f>
        <v>4</v>
      </c>
      <c r="J15" s="4"/>
      <c r="K15" s="4"/>
      <c r="L15" s="33" t="n">
        <f aca="false">L7</f>
        <v>4</v>
      </c>
      <c r="M15" s="4"/>
      <c r="N15" s="4"/>
      <c r="O15" s="33" t="n">
        <f aca="false">O7</f>
        <v>4</v>
      </c>
      <c r="P15" s="4"/>
      <c r="Q15" s="4"/>
      <c r="R15" s="33" t="n">
        <f aca="false">R7</f>
        <v>4</v>
      </c>
      <c r="S15" s="4"/>
      <c r="T15" s="4"/>
      <c r="U15" s="33" t="n">
        <f aca="false">U7</f>
        <v>4</v>
      </c>
      <c r="V15" s="34" t="n">
        <f aca="false">IFERROR(ROUND(((IFERROR(IF(D15="O",10,IF(D15="A+",9,IF(D15="A",8,IF(D15="B+",7,IF(D15="B",6,IF(D15="C",5,IF(D15="P",4,0))))))),0))*F15+(IFERROR(IF(G15="O",10,IF(G15="A+",9,IF(G15="A",8,IF(G15="B+",7,IF(G15="B",6,IF(G15="C",5,IF(G15="P",4,0))))))),0))*I15+(IFERROR(IF(J15="O",10,IF(J15="A+",9,IF(J15="A",8,IF(J15="B+",7,IF(J15="B",6,IF(J15="C",5,IF(J15="P",4,0))))))),0))*L15+(IFERROR(IF(M15="O",10,IF(M15="A+",9,IF(M15="A",8,IF(M15="B+",7,IF(M15="B",6,IF(M15="C",5,IF(M15="P",4,0))))))),0))*O15+(IFERROR(IF(P15="O",10,IF(P15="A+",9,IF(P15="A",8,IF(P15="B+",7,IF(P15="B",6,IF(P15="C",5,IF(P15="P",4,0))))))),0))*R15+(IFERROR(IF(S15="O",10,IF(S15="A+",9,IF(S15="A",8,IF(S15="B+",7,IF(S15="B",6,IF(S15="C",5,IF(S15="P",4,0))))))),0))*U15)/SUM(F15,I15,L15,O15,R15,U15),2),0)</f>
        <v>0</v>
      </c>
      <c r="W15" s="4"/>
    </row>
    <row r="16" customFormat="false" ht="18" hidden="false" customHeight="true" outlineLevel="0" collapsed="false">
      <c r="A16" s="35" t="n">
        <v>8</v>
      </c>
      <c r="B16" s="32"/>
      <c r="C16" s="32"/>
      <c r="D16" s="4"/>
      <c r="E16" s="4"/>
      <c r="F16" s="33" t="n">
        <f aca="false">F7</f>
        <v>4</v>
      </c>
      <c r="G16" s="4"/>
      <c r="H16" s="4"/>
      <c r="I16" s="33" t="n">
        <f aca="false">I7</f>
        <v>4</v>
      </c>
      <c r="J16" s="4"/>
      <c r="K16" s="4"/>
      <c r="L16" s="33" t="n">
        <f aca="false">L7</f>
        <v>4</v>
      </c>
      <c r="M16" s="4"/>
      <c r="N16" s="4"/>
      <c r="O16" s="33" t="n">
        <f aca="false">O7</f>
        <v>4</v>
      </c>
      <c r="P16" s="4"/>
      <c r="Q16" s="4"/>
      <c r="R16" s="33" t="n">
        <f aca="false">R7</f>
        <v>4</v>
      </c>
      <c r="S16" s="4"/>
      <c r="T16" s="4"/>
      <c r="U16" s="33" t="n">
        <f aca="false">U7</f>
        <v>4</v>
      </c>
      <c r="V16" s="34" t="n">
        <f aca="false">IFERROR(ROUND(((IFERROR(IF(D16="O",10,IF(D16="A+",9,IF(D16="A",8,IF(D16="B+",7,IF(D16="B",6,IF(D16="C",5,IF(D16="P",4,0))))))),0))*F16+(IFERROR(IF(G16="O",10,IF(G16="A+",9,IF(G16="A",8,IF(G16="B+",7,IF(G16="B",6,IF(G16="C",5,IF(G16="P",4,0))))))),0))*I16+(IFERROR(IF(J16="O",10,IF(J16="A+",9,IF(J16="A",8,IF(J16="B+",7,IF(J16="B",6,IF(J16="C",5,IF(J16="P",4,0))))))),0))*L16+(IFERROR(IF(M16="O",10,IF(M16="A+",9,IF(M16="A",8,IF(M16="B+",7,IF(M16="B",6,IF(M16="C",5,IF(M16="P",4,0))))))),0))*O16+(IFERROR(IF(P16="O",10,IF(P16="A+",9,IF(P16="A",8,IF(P16="B+",7,IF(P16="B",6,IF(P16="C",5,IF(P16="P",4,0))))))),0))*R16+(IFERROR(IF(S16="O",10,IF(S16="A+",9,IF(S16="A",8,IF(S16="B+",7,IF(S16="B",6,IF(S16="C",5,IF(S16="P",4,0))))))),0))*U16)/SUM(F16,I16,L16,O16,R16,U16),2),0)</f>
        <v>0</v>
      </c>
      <c r="W16" s="4"/>
    </row>
    <row r="17" customFormat="false" ht="18" hidden="false" customHeight="true" outlineLevel="0" collapsed="false">
      <c r="A17" s="31" t="n">
        <v>9</v>
      </c>
      <c r="B17" s="32"/>
      <c r="C17" s="32"/>
      <c r="D17" s="4"/>
      <c r="E17" s="4"/>
      <c r="F17" s="33" t="n">
        <f aca="false">F7</f>
        <v>4</v>
      </c>
      <c r="G17" s="4"/>
      <c r="H17" s="4"/>
      <c r="I17" s="33" t="n">
        <f aca="false">I7</f>
        <v>4</v>
      </c>
      <c r="J17" s="4"/>
      <c r="K17" s="4"/>
      <c r="L17" s="33" t="n">
        <f aca="false">L7</f>
        <v>4</v>
      </c>
      <c r="M17" s="4"/>
      <c r="N17" s="4"/>
      <c r="O17" s="33" t="n">
        <f aca="false">O7</f>
        <v>4</v>
      </c>
      <c r="P17" s="4"/>
      <c r="Q17" s="4"/>
      <c r="R17" s="33" t="n">
        <f aca="false">R7</f>
        <v>4</v>
      </c>
      <c r="S17" s="4"/>
      <c r="T17" s="4"/>
      <c r="U17" s="33" t="n">
        <f aca="false">U7</f>
        <v>4</v>
      </c>
      <c r="V17" s="34" t="n">
        <f aca="false">IFERROR(ROUND(((IFERROR(IF(D17="O",10,IF(D17="A+",9,IF(D17="A",8,IF(D17="B+",7,IF(D17="B",6,IF(D17="C",5,IF(D17="P",4,0))))))),0))*F17+(IFERROR(IF(G17="O",10,IF(G17="A+",9,IF(G17="A",8,IF(G17="B+",7,IF(G17="B",6,IF(G17="C",5,IF(G17="P",4,0))))))),0))*I17+(IFERROR(IF(J17="O",10,IF(J17="A+",9,IF(J17="A",8,IF(J17="B+",7,IF(J17="B",6,IF(J17="C",5,IF(J17="P",4,0))))))),0))*L17+(IFERROR(IF(M17="O",10,IF(M17="A+",9,IF(M17="A",8,IF(M17="B+",7,IF(M17="B",6,IF(M17="C",5,IF(M17="P",4,0))))))),0))*O17+(IFERROR(IF(P17="O",10,IF(P17="A+",9,IF(P17="A",8,IF(P17="B+",7,IF(P17="B",6,IF(P17="C",5,IF(P17="P",4,0))))))),0))*R17+(IFERROR(IF(S17="O",10,IF(S17="A+",9,IF(S17="A",8,IF(S17="B+",7,IF(S17="B",6,IF(S17="C",5,IF(S17="P",4,0))))))),0))*U17)/SUM(F17,I17,L17,O17,R17,U17),2),0)</f>
        <v>0</v>
      </c>
      <c r="W17" s="4"/>
    </row>
    <row r="18" customFormat="false" ht="18" hidden="false" customHeight="true" outlineLevel="0" collapsed="false">
      <c r="A18" s="35" t="n">
        <v>10</v>
      </c>
      <c r="B18" s="32"/>
      <c r="C18" s="32"/>
      <c r="D18" s="4"/>
      <c r="E18" s="4"/>
      <c r="F18" s="33" t="n">
        <f aca="false">F7</f>
        <v>4</v>
      </c>
      <c r="G18" s="4"/>
      <c r="H18" s="4"/>
      <c r="I18" s="33" t="n">
        <f aca="false">I7</f>
        <v>4</v>
      </c>
      <c r="J18" s="4"/>
      <c r="K18" s="4"/>
      <c r="L18" s="33" t="n">
        <f aca="false">L7</f>
        <v>4</v>
      </c>
      <c r="M18" s="4"/>
      <c r="N18" s="4"/>
      <c r="O18" s="33" t="n">
        <f aca="false">O7</f>
        <v>4</v>
      </c>
      <c r="P18" s="4"/>
      <c r="Q18" s="4"/>
      <c r="R18" s="33" t="n">
        <f aca="false">R7</f>
        <v>4</v>
      </c>
      <c r="S18" s="4"/>
      <c r="T18" s="4"/>
      <c r="U18" s="33" t="n">
        <f aca="false">U7</f>
        <v>4</v>
      </c>
      <c r="V18" s="34" t="n">
        <f aca="false">IFERROR(ROUND(((IFERROR(IF(D18="O",10,IF(D18="A+",9,IF(D18="A",8,IF(D18="B+",7,IF(D18="B",6,IF(D18="C",5,IF(D18="P",4,0))))))),0))*F18+(IFERROR(IF(G18="O",10,IF(G18="A+",9,IF(G18="A",8,IF(G18="B+",7,IF(G18="B",6,IF(G18="C",5,IF(G18="P",4,0))))))),0))*I18+(IFERROR(IF(J18="O",10,IF(J18="A+",9,IF(J18="A",8,IF(J18="B+",7,IF(J18="B",6,IF(J18="C",5,IF(J18="P",4,0))))))),0))*L18+(IFERROR(IF(M18="O",10,IF(M18="A+",9,IF(M18="A",8,IF(M18="B+",7,IF(M18="B",6,IF(M18="C",5,IF(M18="P",4,0))))))),0))*O18+(IFERROR(IF(P18="O",10,IF(P18="A+",9,IF(P18="A",8,IF(P18="B+",7,IF(P18="B",6,IF(P18="C",5,IF(P18="P",4,0))))))),0))*R18+(IFERROR(IF(S18="O",10,IF(S18="A+",9,IF(S18="A",8,IF(S18="B+",7,IF(S18="B",6,IF(S18="C",5,IF(S18="P",4,0))))))),0))*U18)/SUM(F18,I18,L18,O18,R18,U18),2),0)</f>
        <v>0</v>
      </c>
      <c r="W18" s="4"/>
    </row>
    <row r="19" customFormat="false" ht="18" hidden="false" customHeight="true" outlineLevel="0" collapsed="false">
      <c r="A19" s="31" t="n">
        <v>11</v>
      </c>
      <c r="B19" s="32"/>
      <c r="C19" s="32"/>
      <c r="D19" s="4"/>
      <c r="E19" s="4"/>
      <c r="F19" s="33" t="n">
        <f aca="false">F7</f>
        <v>4</v>
      </c>
      <c r="G19" s="4"/>
      <c r="H19" s="4"/>
      <c r="I19" s="33" t="n">
        <f aca="false">I7</f>
        <v>4</v>
      </c>
      <c r="J19" s="4"/>
      <c r="K19" s="4"/>
      <c r="L19" s="33" t="n">
        <f aca="false">L7</f>
        <v>4</v>
      </c>
      <c r="M19" s="4"/>
      <c r="N19" s="4"/>
      <c r="O19" s="33" t="n">
        <f aca="false">O7</f>
        <v>4</v>
      </c>
      <c r="P19" s="4"/>
      <c r="Q19" s="4"/>
      <c r="R19" s="33" t="n">
        <f aca="false">R7</f>
        <v>4</v>
      </c>
      <c r="S19" s="4"/>
      <c r="T19" s="4"/>
      <c r="U19" s="33" t="n">
        <f aca="false">U7</f>
        <v>4</v>
      </c>
      <c r="V19" s="34" t="n">
        <f aca="false">IFERROR(ROUND(((IFERROR(IF(D19="O",10,IF(D19="A+",9,IF(D19="A",8,IF(D19="B+",7,IF(D19="B",6,IF(D19="C",5,IF(D19="P",4,0))))))),0))*F19+(IFERROR(IF(G19="O",10,IF(G19="A+",9,IF(G19="A",8,IF(G19="B+",7,IF(G19="B",6,IF(G19="C",5,IF(G19="P",4,0))))))),0))*I19+(IFERROR(IF(J19="O",10,IF(J19="A+",9,IF(J19="A",8,IF(J19="B+",7,IF(J19="B",6,IF(J19="C",5,IF(J19="P",4,0))))))),0))*L19+(IFERROR(IF(M19="O",10,IF(M19="A+",9,IF(M19="A",8,IF(M19="B+",7,IF(M19="B",6,IF(M19="C",5,IF(M19="P",4,0))))))),0))*O19+(IFERROR(IF(P19="O",10,IF(P19="A+",9,IF(P19="A",8,IF(P19="B+",7,IF(P19="B",6,IF(P19="C",5,IF(P19="P",4,0))))))),0))*R19+(IFERROR(IF(S19="O",10,IF(S19="A+",9,IF(S19="A",8,IF(S19="B+",7,IF(S19="B",6,IF(S19="C",5,IF(S19="P",4,0))))))),0))*U19)/SUM(F19,I19,L19,O19,R19,U19),2),0)</f>
        <v>0</v>
      </c>
      <c r="W19" s="4"/>
    </row>
    <row r="20" customFormat="false" ht="18" hidden="false" customHeight="true" outlineLevel="0" collapsed="false">
      <c r="A20" s="35" t="n">
        <v>12</v>
      </c>
      <c r="B20" s="32"/>
      <c r="C20" s="32"/>
      <c r="D20" s="4"/>
      <c r="E20" s="4"/>
      <c r="F20" s="33" t="n">
        <f aca="false">F7</f>
        <v>4</v>
      </c>
      <c r="G20" s="4"/>
      <c r="H20" s="4"/>
      <c r="I20" s="33" t="n">
        <f aca="false">I7</f>
        <v>4</v>
      </c>
      <c r="J20" s="4"/>
      <c r="K20" s="4"/>
      <c r="L20" s="33" t="n">
        <f aca="false">L7</f>
        <v>4</v>
      </c>
      <c r="M20" s="4"/>
      <c r="N20" s="4"/>
      <c r="O20" s="33" t="n">
        <f aca="false">O7</f>
        <v>4</v>
      </c>
      <c r="P20" s="4"/>
      <c r="Q20" s="4"/>
      <c r="R20" s="33" t="n">
        <f aca="false">R7</f>
        <v>4</v>
      </c>
      <c r="S20" s="4"/>
      <c r="T20" s="4"/>
      <c r="U20" s="33" t="n">
        <f aca="false">U7</f>
        <v>4</v>
      </c>
      <c r="V20" s="34" t="n">
        <f aca="false">IFERROR(ROUND(((IFERROR(IF(D20="O",10,IF(D20="A+",9,IF(D20="A",8,IF(D20="B+",7,IF(D20="B",6,IF(D20="C",5,IF(D20="P",4,0))))))),0))*F20+(IFERROR(IF(G20="O",10,IF(G20="A+",9,IF(G20="A",8,IF(G20="B+",7,IF(G20="B",6,IF(G20="C",5,IF(G20="P",4,0))))))),0))*I20+(IFERROR(IF(J20="O",10,IF(J20="A+",9,IF(J20="A",8,IF(J20="B+",7,IF(J20="B",6,IF(J20="C",5,IF(J20="P",4,0))))))),0))*L20+(IFERROR(IF(M20="O",10,IF(M20="A+",9,IF(M20="A",8,IF(M20="B+",7,IF(M20="B",6,IF(M20="C",5,IF(M20="P",4,0))))))),0))*O20+(IFERROR(IF(P20="O",10,IF(P20="A+",9,IF(P20="A",8,IF(P20="B+",7,IF(P20="B",6,IF(P20="C",5,IF(P20="P",4,0))))))),0))*R20+(IFERROR(IF(S20="O",10,IF(S20="A+",9,IF(S20="A",8,IF(S20="B+",7,IF(S20="B",6,IF(S20="C",5,IF(S20="P",4,0))))))),0))*U20)/SUM(F20,I20,L20,O20,R20,U20),2),0)</f>
        <v>0</v>
      </c>
      <c r="W20" s="4"/>
    </row>
    <row r="21" customFormat="false" ht="18" hidden="false" customHeight="true" outlineLevel="0" collapsed="false">
      <c r="A21" s="31" t="n">
        <v>13</v>
      </c>
      <c r="B21" s="32"/>
      <c r="C21" s="32"/>
      <c r="D21" s="4"/>
      <c r="E21" s="4"/>
      <c r="F21" s="33" t="n">
        <f aca="false">F7</f>
        <v>4</v>
      </c>
      <c r="G21" s="4"/>
      <c r="H21" s="4"/>
      <c r="I21" s="33" t="n">
        <f aca="false">I7</f>
        <v>4</v>
      </c>
      <c r="J21" s="4"/>
      <c r="K21" s="4"/>
      <c r="L21" s="33" t="n">
        <f aca="false">L7</f>
        <v>4</v>
      </c>
      <c r="M21" s="4"/>
      <c r="N21" s="4"/>
      <c r="O21" s="33" t="n">
        <f aca="false">O7</f>
        <v>4</v>
      </c>
      <c r="P21" s="4"/>
      <c r="Q21" s="4"/>
      <c r="R21" s="33" t="n">
        <f aca="false">R7</f>
        <v>4</v>
      </c>
      <c r="S21" s="4"/>
      <c r="T21" s="4"/>
      <c r="U21" s="33" t="n">
        <f aca="false">U7</f>
        <v>4</v>
      </c>
      <c r="V21" s="34" t="n">
        <f aca="false">IFERROR(ROUND(((IFERROR(IF(D21="O",10,IF(D21="A+",9,IF(D21="A",8,IF(D21="B+",7,IF(D21="B",6,IF(D21="C",5,IF(D21="P",4,0))))))),0))*F21+(IFERROR(IF(G21="O",10,IF(G21="A+",9,IF(G21="A",8,IF(G21="B+",7,IF(G21="B",6,IF(G21="C",5,IF(G21="P",4,0))))))),0))*I21+(IFERROR(IF(J21="O",10,IF(J21="A+",9,IF(J21="A",8,IF(J21="B+",7,IF(J21="B",6,IF(J21="C",5,IF(J21="P",4,0))))))),0))*L21+(IFERROR(IF(M21="O",10,IF(M21="A+",9,IF(M21="A",8,IF(M21="B+",7,IF(M21="B",6,IF(M21="C",5,IF(M21="P",4,0))))))),0))*O21+(IFERROR(IF(P21="O",10,IF(P21="A+",9,IF(P21="A",8,IF(P21="B+",7,IF(P21="B",6,IF(P21="C",5,IF(P21="P",4,0))))))),0))*R21+(IFERROR(IF(S21="O",10,IF(S21="A+",9,IF(S21="A",8,IF(S21="B+",7,IF(S21="B",6,IF(S21="C",5,IF(S21="P",4,0))))))),0))*U21)/SUM(F21,I21,L21,O21,R21,U21),2),0)</f>
        <v>0</v>
      </c>
      <c r="W21" s="4"/>
    </row>
    <row r="22" customFormat="false" ht="18" hidden="false" customHeight="true" outlineLevel="0" collapsed="false">
      <c r="A22" s="35" t="n">
        <v>14</v>
      </c>
      <c r="B22" s="32"/>
      <c r="C22" s="32"/>
      <c r="D22" s="4"/>
      <c r="E22" s="4"/>
      <c r="F22" s="33" t="n">
        <f aca="false">F7</f>
        <v>4</v>
      </c>
      <c r="G22" s="4"/>
      <c r="H22" s="4"/>
      <c r="I22" s="33" t="n">
        <f aca="false">I7</f>
        <v>4</v>
      </c>
      <c r="J22" s="4"/>
      <c r="K22" s="4"/>
      <c r="L22" s="33" t="n">
        <f aca="false">L7</f>
        <v>4</v>
      </c>
      <c r="M22" s="4"/>
      <c r="N22" s="4"/>
      <c r="O22" s="33" t="n">
        <f aca="false">O7</f>
        <v>4</v>
      </c>
      <c r="P22" s="4"/>
      <c r="Q22" s="4"/>
      <c r="R22" s="33" t="n">
        <f aca="false">R7</f>
        <v>4</v>
      </c>
      <c r="S22" s="4"/>
      <c r="T22" s="4"/>
      <c r="U22" s="33" t="n">
        <f aca="false">U7</f>
        <v>4</v>
      </c>
      <c r="V22" s="34" t="n">
        <f aca="false">IFERROR(ROUND(((IFERROR(IF(D22="O",10,IF(D22="A+",9,IF(D22="A",8,IF(D22="B+",7,IF(D22="B",6,IF(D22="C",5,IF(D22="P",4,0))))))),0))*F22+(IFERROR(IF(G22="O",10,IF(G22="A+",9,IF(G22="A",8,IF(G22="B+",7,IF(G22="B",6,IF(G22="C",5,IF(G22="P",4,0))))))),0))*I22+(IFERROR(IF(J22="O",10,IF(J22="A+",9,IF(J22="A",8,IF(J22="B+",7,IF(J22="B",6,IF(J22="C",5,IF(J22="P",4,0))))))),0))*L22+(IFERROR(IF(M22="O",10,IF(M22="A+",9,IF(M22="A",8,IF(M22="B+",7,IF(M22="B",6,IF(M22="C",5,IF(M22="P",4,0))))))),0))*O22+(IFERROR(IF(P22="O",10,IF(P22="A+",9,IF(P22="A",8,IF(P22="B+",7,IF(P22="B",6,IF(P22="C",5,IF(P22="P",4,0))))))),0))*R22+(IFERROR(IF(S22="O",10,IF(S22="A+",9,IF(S22="A",8,IF(S22="B+",7,IF(S22="B",6,IF(S22="C",5,IF(S22="P",4,0))))))),0))*U22)/SUM(F22,I22,L22,O22,R22,U22),2),0)</f>
        <v>0</v>
      </c>
      <c r="W22" s="4"/>
    </row>
    <row r="23" customFormat="false" ht="18" hidden="false" customHeight="true" outlineLevel="0" collapsed="false">
      <c r="A23" s="31" t="n">
        <v>15</v>
      </c>
      <c r="B23" s="32"/>
      <c r="C23" s="32"/>
      <c r="D23" s="4"/>
      <c r="E23" s="4"/>
      <c r="F23" s="33" t="n">
        <f aca="false">F7</f>
        <v>4</v>
      </c>
      <c r="G23" s="4"/>
      <c r="H23" s="4"/>
      <c r="I23" s="33" t="n">
        <f aca="false">I7</f>
        <v>4</v>
      </c>
      <c r="J23" s="4"/>
      <c r="K23" s="4"/>
      <c r="L23" s="33" t="n">
        <f aca="false">L7</f>
        <v>4</v>
      </c>
      <c r="M23" s="4"/>
      <c r="N23" s="4"/>
      <c r="O23" s="33" t="n">
        <f aca="false">O7</f>
        <v>4</v>
      </c>
      <c r="P23" s="4"/>
      <c r="Q23" s="4"/>
      <c r="R23" s="33" t="n">
        <f aca="false">R7</f>
        <v>4</v>
      </c>
      <c r="S23" s="4"/>
      <c r="T23" s="4"/>
      <c r="U23" s="33" t="n">
        <f aca="false">U7</f>
        <v>4</v>
      </c>
      <c r="V23" s="34" t="n">
        <f aca="false">IFERROR(ROUND(((IFERROR(IF(D23="O",10,IF(D23="A+",9,IF(D23="A",8,IF(D23="B+",7,IF(D23="B",6,IF(D23="C",5,IF(D23="P",4,0))))))),0))*F23+(IFERROR(IF(G23="O",10,IF(G23="A+",9,IF(G23="A",8,IF(G23="B+",7,IF(G23="B",6,IF(G23="C",5,IF(G23="P",4,0))))))),0))*I23+(IFERROR(IF(J23="O",10,IF(J23="A+",9,IF(J23="A",8,IF(J23="B+",7,IF(J23="B",6,IF(J23="C",5,IF(J23="P",4,0))))))),0))*L23+(IFERROR(IF(M23="O",10,IF(M23="A+",9,IF(M23="A",8,IF(M23="B+",7,IF(M23="B",6,IF(M23="C",5,IF(M23="P",4,0))))))),0))*O23+(IFERROR(IF(P23="O",10,IF(P23="A+",9,IF(P23="A",8,IF(P23="B+",7,IF(P23="B",6,IF(P23="C",5,IF(P23="P",4,0))))))),0))*R23+(IFERROR(IF(S23="O",10,IF(S23="A+",9,IF(S23="A",8,IF(S23="B+",7,IF(S23="B",6,IF(S23="C",5,IF(S23="P",4,0))))))),0))*U23)/SUM(F23,I23,L23,O23,R23,U23),2),0)</f>
        <v>0</v>
      </c>
      <c r="W23" s="4"/>
    </row>
    <row r="24" customFormat="false" ht="18" hidden="false" customHeight="true" outlineLevel="0" collapsed="false">
      <c r="A24" s="35" t="n">
        <v>16</v>
      </c>
      <c r="B24" s="32"/>
      <c r="C24" s="32"/>
      <c r="D24" s="4"/>
      <c r="E24" s="4"/>
      <c r="F24" s="33" t="n">
        <f aca="false">F7</f>
        <v>4</v>
      </c>
      <c r="G24" s="4"/>
      <c r="H24" s="4"/>
      <c r="I24" s="33" t="n">
        <f aca="false">I7</f>
        <v>4</v>
      </c>
      <c r="J24" s="4"/>
      <c r="K24" s="4"/>
      <c r="L24" s="33" t="n">
        <f aca="false">L7</f>
        <v>4</v>
      </c>
      <c r="M24" s="4"/>
      <c r="N24" s="4"/>
      <c r="O24" s="33" t="n">
        <f aca="false">O7</f>
        <v>4</v>
      </c>
      <c r="P24" s="4"/>
      <c r="Q24" s="4"/>
      <c r="R24" s="33" t="n">
        <f aca="false">R7</f>
        <v>4</v>
      </c>
      <c r="S24" s="4"/>
      <c r="T24" s="4"/>
      <c r="U24" s="33" t="n">
        <f aca="false">U7</f>
        <v>4</v>
      </c>
      <c r="V24" s="34" t="n">
        <f aca="false">IFERROR(ROUND(((IFERROR(IF(D24="O",10,IF(D24="A+",9,IF(D24="A",8,IF(D24="B+",7,IF(D24="B",6,IF(D24="C",5,IF(D24="P",4,0))))))),0))*F24+(IFERROR(IF(G24="O",10,IF(G24="A+",9,IF(G24="A",8,IF(G24="B+",7,IF(G24="B",6,IF(G24="C",5,IF(G24="P",4,0))))))),0))*I24+(IFERROR(IF(J24="O",10,IF(J24="A+",9,IF(J24="A",8,IF(J24="B+",7,IF(J24="B",6,IF(J24="C",5,IF(J24="P",4,0))))))),0))*L24+(IFERROR(IF(M24="O",10,IF(M24="A+",9,IF(M24="A",8,IF(M24="B+",7,IF(M24="B",6,IF(M24="C",5,IF(M24="P",4,0))))))),0))*O24+(IFERROR(IF(P24="O",10,IF(P24="A+",9,IF(P24="A",8,IF(P24="B+",7,IF(P24="B",6,IF(P24="C",5,IF(P24="P",4,0))))))),0))*R24+(IFERROR(IF(S24="O",10,IF(S24="A+",9,IF(S24="A",8,IF(S24="B+",7,IF(S24="B",6,IF(S24="C",5,IF(S24="P",4,0))))))),0))*U24)/SUM(F24,I24,L24,O24,R24,U24),2),0)</f>
        <v>0</v>
      </c>
      <c r="W24" s="4"/>
    </row>
    <row r="25" customFormat="false" ht="18" hidden="false" customHeight="true" outlineLevel="0" collapsed="false">
      <c r="A25" s="31" t="n">
        <v>17</v>
      </c>
      <c r="B25" s="32"/>
      <c r="C25" s="32"/>
      <c r="D25" s="4"/>
      <c r="E25" s="4"/>
      <c r="F25" s="33" t="n">
        <f aca="false">F7</f>
        <v>4</v>
      </c>
      <c r="G25" s="4"/>
      <c r="H25" s="4"/>
      <c r="I25" s="33" t="n">
        <f aca="false">I7</f>
        <v>4</v>
      </c>
      <c r="J25" s="4"/>
      <c r="K25" s="4"/>
      <c r="L25" s="33" t="n">
        <f aca="false">L7</f>
        <v>4</v>
      </c>
      <c r="M25" s="4"/>
      <c r="N25" s="4"/>
      <c r="O25" s="33" t="n">
        <f aca="false">O7</f>
        <v>4</v>
      </c>
      <c r="P25" s="4"/>
      <c r="Q25" s="4"/>
      <c r="R25" s="33" t="n">
        <f aca="false">R7</f>
        <v>4</v>
      </c>
      <c r="S25" s="4"/>
      <c r="T25" s="4"/>
      <c r="U25" s="33" t="n">
        <f aca="false">U7</f>
        <v>4</v>
      </c>
      <c r="V25" s="34" t="n">
        <f aca="false">IFERROR(ROUND(((IFERROR(IF(D25="O",10,IF(D25="A+",9,IF(D25="A",8,IF(D25="B+",7,IF(D25="B",6,IF(D25="C",5,IF(D25="P",4,0))))))),0))*F25+(IFERROR(IF(G25="O",10,IF(G25="A+",9,IF(G25="A",8,IF(G25="B+",7,IF(G25="B",6,IF(G25="C",5,IF(G25="P",4,0))))))),0))*I25+(IFERROR(IF(J25="O",10,IF(J25="A+",9,IF(J25="A",8,IF(J25="B+",7,IF(J25="B",6,IF(J25="C",5,IF(J25="P",4,0))))))),0))*L25+(IFERROR(IF(M25="O",10,IF(M25="A+",9,IF(M25="A",8,IF(M25="B+",7,IF(M25="B",6,IF(M25="C",5,IF(M25="P",4,0))))))),0))*O25+(IFERROR(IF(P25="O",10,IF(P25="A+",9,IF(P25="A",8,IF(P25="B+",7,IF(P25="B",6,IF(P25="C",5,IF(P25="P",4,0))))))),0))*R25+(IFERROR(IF(S25="O",10,IF(S25="A+",9,IF(S25="A",8,IF(S25="B+",7,IF(S25="B",6,IF(S25="C",5,IF(S25="P",4,0))))))),0))*U25)/SUM(F25,I25,L25,O25,R25,U25),2),0)</f>
        <v>0</v>
      </c>
      <c r="W25" s="4"/>
    </row>
    <row r="26" customFormat="false" ht="18" hidden="false" customHeight="true" outlineLevel="0" collapsed="false">
      <c r="A26" s="35" t="n">
        <v>18</v>
      </c>
      <c r="B26" s="32"/>
      <c r="C26" s="32"/>
      <c r="D26" s="4"/>
      <c r="E26" s="4"/>
      <c r="F26" s="33" t="n">
        <f aca="false">F7</f>
        <v>4</v>
      </c>
      <c r="G26" s="4"/>
      <c r="H26" s="4"/>
      <c r="I26" s="33" t="n">
        <f aca="false">I7</f>
        <v>4</v>
      </c>
      <c r="J26" s="4"/>
      <c r="K26" s="4"/>
      <c r="L26" s="33" t="n">
        <f aca="false">L7</f>
        <v>4</v>
      </c>
      <c r="M26" s="4"/>
      <c r="N26" s="4"/>
      <c r="O26" s="33" t="n">
        <f aca="false">O7</f>
        <v>4</v>
      </c>
      <c r="P26" s="4"/>
      <c r="Q26" s="4"/>
      <c r="R26" s="33" t="n">
        <f aca="false">R7</f>
        <v>4</v>
      </c>
      <c r="S26" s="4"/>
      <c r="T26" s="4"/>
      <c r="U26" s="33" t="n">
        <f aca="false">U7</f>
        <v>4</v>
      </c>
      <c r="V26" s="34" t="n">
        <f aca="false">IFERROR(ROUND(((IFERROR(IF(D26="O",10,IF(D26="A+",9,IF(D26="A",8,IF(D26="B+",7,IF(D26="B",6,IF(D26="C",5,IF(D26="P",4,0))))))),0))*F26+(IFERROR(IF(G26="O",10,IF(G26="A+",9,IF(G26="A",8,IF(G26="B+",7,IF(G26="B",6,IF(G26="C",5,IF(G26="P",4,0))))))),0))*I26+(IFERROR(IF(J26="O",10,IF(J26="A+",9,IF(J26="A",8,IF(J26="B+",7,IF(J26="B",6,IF(J26="C",5,IF(J26="P",4,0))))))),0))*L26+(IFERROR(IF(M26="O",10,IF(M26="A+",9,IF(M26="A",8,IF(M26="B+",7,IF(M26="B",6,IF(M26="C",5,IF(M26="P",4,0))))))),0))*O26+(IFERROR(IF(P26="O",10,IF(P26="A+",9,IF(P26="A",8,IF(P26="B+",7,IF(P26="B",6,IF(P26="C",5,IF(P26="P",4,0))))))),0))*R26+(IFERROR(IF(S26="O",10,IF(S26="A+",9,IF(S26="A",8,IF(S26="B+",7,IF(S26="B",6,IF(S26="C",5,IF(S26="P",4,0))))))),0))*U26)/SUM(F26,I26,L26,O26,R26,U26),2),0)</f>
        <v>0</v>
      </c>
      <c r="W26" s="4"/>
    </row>
    <row r="27" customFormat="false" ht="18" hidden="false" customHeight="true" outlineLevel="0" collapsed="false">
      <c r="A27" s="31" t="n">
        <v>19</v>
      </c>
      <c r="B27" s="32"/>
      <c r="C27" s="32"/>
      <c r="D27" s="4"/>
      <c r="E27" s="4"/>
      <c r="F27" s="33" t="n">
        <f aca="false">F7</f>
        <v>4</v>
      </c>
      <c r="G27" s="4"/>
      <c r="H27" s="4"/>
      <c r="I27" s="33" t="n">
        <f aca="false">I7</f>
        <v>4</v>
      </c>
      <c r="J27" s="4"/>
      <c r="K27" s="4"/>
      <c r="L27" s="33" t="n">
        <f aca="false">L7</f>
        <v>4</v>
      </c>
      <c r="M27" s="4"/>
      <c r="N27" s="4"/>
      <c r="O27" s="33" t="n">
        <f aca="false">O7</f>
        <v>4</v>
      </c>
      <c r="P27" s="4"/>
      <c r="Q27" s="4"/>
      <c r="R27" s="33" t="n">
        <f aca="false">R7</f>
        <v>4</v>
      </c>
      <c r="S27" s="4"/>
      <c r="T27" s="4"/>
      <c r="U27" s="33" t="n">
        <f aca="false">U7</f>
        <v>4</v>
      </c>
      <c r="V27" s="34" t="n">
        <f aca="false">IFERROR(ROUND(((IFERROR(IF(D27="O",10,IF(D27="A+",9,IF(D27="A",8,IF(D27="B+",7,IF(D27="B",6,IF(D27="C",5,IF(D27="P",4,0))))))),0))*F27+(IFERROR(IF(G27="O",10,IF(G27="A+",9,IF(G27="A",8,IF(G27="B+",7,IF(G27="B",6,IF(G27="C",5,IF(G27="P",4,0))))))),0))*I27+(IFERROR(IF(J27="O",10,IF(J27="A+",9,IF(J27="A",8,IF(J27="B+",7,IF(J27="B",6,IF(J27="C",5,IF(J27="P",4,0))))))),0))*L27+(IFERROR(IF(M27="O",10,IF(M27="A+",9,IF(M27="A",8,IF(M27="B+",7,IF(M27="B",6,IF(M27="C",5,IF(M27="P",4,0))))))),0))*O27+(IFERROR(IF(P27="O",10,IF(P27="A+",9,IF(P27="A",8,IF(P27="B+",7,IF(P27="B",6,IF(P27="C",5,IF(P27="P",4,0))))))),0))*R27+(IFERROR(IF(S27="O",10,IF(S27="A+",9,IF(S27="A",8,IF(S27="B+",7,IF(S27="B",6,IF(S27="C",5,IF(S27="P",4,0))))))),0))*U27)/SUM(F27,I27,L27,O27,R27,U27),2),0)</f>
        <v>0</v>
      </c>
      <c r="W27" s="4"/>
    </row>
    <row r="28" customFormat="false" ht="18" hidden="false" customHeight="true" outlineLevel="0" collapsed="false">
      <c r="A28" s="35" t="n">
        <v>20</v>
      </c>
      <c r="B28" s="32"/>
      <c r="C28" s="32"/>
      <c r="D28" s="4"/>
      <c r="E28" s="4"/>
      <c r="F28" s="33" t="n">
        <f aca="false">F7</f>
        <v>4</v>
      </c>
      <c r="G28" s="4"/>
      <c r="H28" s="4"/>
      <c r="I28" s="33" t="n">
        <f aca="false">I7</f>
        <v>4</v>
      </c>
      <c r="J28" s="4"/>
      <c r="K28" s="4"/>
      <c r="L28" s="33" t="n">
        <f aca="false">L7</f>
        <v>4</v>
      </c>
      <c r="M28" s="4"/>
      <c r="N28" s="4"/>
      <c r="O28" s="33" t="n">
        <f aca="false">O7</f>
        <v>4</v>
      </c>
      <c r="P28" s="4"/>
      <c r="Q28" s="4"/>
      <c r="R28" s="33" t="n">
        <f aca="false">R7</f>
        <v>4</v>
      </c>
      <c r="S28" s="4"/>
      <c r="T28" s="4"/>
      <c r="U28" s="33" t="n">
        <f aca="false">U7</f>
        <v>4</v>
      </c>
      <c r="V28" s="34" t="n">
        <f aca="false">IFERROR(ROUND(((IFERROR(IF(D28="O",10,IF(D28="A+",9,IF(D28="A",8,IF(D28="B+",7,IF(D28="B",6,IF(D28="C",5,IF(D28="P",4,0))))))),0))*F28+(IFERROR(IF(G28="O",10,IF(G28="A+",9,IF(G28="A",8,IF(G28="B+",7,IF(G28="B",6,IF(G28="C",5,IF(G28="P",4,0))))))),0))*I28+(IFERROR(IF(J28="O",10,IF(J28="A+",9,IF(J28="A",8,IF(J28="B+",7,IF(J28="B",6,IF(J28="C",5,IF(J28="P",4,0))))))),0))*L28+(IFERROR(IF(M28="O",10,IF(M28="A+",9,IF(M28="A",8,IF(M28="B+",7,IF(M28="B",6,IF(M28="C",5,IF(M28="P",4,0))))))),0))*O28+(IFERROR(IF(P28="O",10,IF(P28="A+",9,IF(P28="A",8,IF(P28="B+",7,IF(P28="B",6,IF(P28="C",5,IF(P28="P",4,0))))))),0))*R28+(IFERROR(IF(S28="O",10,IF(S28="A+",9,IF(S28="A",8,IF(S28="B+",7,IF(S28="B",6,IF(S28="C",5,IF(S28="P",4,0))))))),0))*U28)/SUM(F28,I28,L28,O28,R28,U28),2),0)</f>
        <v>0</v>
      </c>
      <c r="W28" s="4"/>
    </row>
    <row r="29" customFormat="false" ht="18" hidden="false" customHeight="true" outlineLevel="0" collapsed="false">
      <c r="A29" s="31" t="n">
        <v>21</v>
      </c>
      <c r="B29" s="32"/>
      <c r="C29" s="32"/>
      <c r="D29" s="4"/>
      <c r="E29" s="4"/>
      <c r="F29" s="33" t="n">
        <f aca="false">F7</f>
        <v>4</v>
      </c>
      <c r="G29" s="4"/>
      <c r="H29" s="4"/>
      <c r="I29" s="33" t="n">
        <f aca="false">I7</f>
        <v>4</v>
      </c>
      <c r="J29" s="4"/>
      <c r="K29" s="4"/>
      <c r="L29" s="33" t="n">
        <f aca="false">L7</f>
        <v>4</v>
      </c>
      <c r="M29" s="4"/>
      <c r="N29" s="4"/>
      <c r="O29" s="33" t="n">
        <f aca="false">O7</f>
        <v>4</v>
      </c>
      <c r="P29" s="4"/>
      <c r="Q29" s="4"/>
      <c r="R29" s="33" t="n">
        <f aca="false">R7</f>
        <v>4</v>
      </c>
      <c r="S29" s="4"/>
      <c r="T29" s="4"/>
      <c r="U29" s="33" t="n">
        <f aca="false">U7</f>
        <v>4</v>
      </c>
      <c r="V29" s="34" t="n">
        <f aca="false">IFERROR(ROUND(((IFERROR(IF(D29="O",10,IF(D29="A+",9,IF(D29="A",8,IF(D29="B+",7,IF(D29="B",6,IF(D29="C",5,IF(D29="P",4,0))))))),0))*F29+(IFERROR(IF(G29="O",10,IF(G29="A+",9,IF(G29="A",8,IF(G29="B+",7,IF(G29="B",6,IF(G29="C",5,IF(G29="P",4,0))))))),0))*I29+(IFERROR(IF(J29="O",10,IF(J29="A+",9,IF(J29="A",8,IF(J29="B+",7,IF(J29="B",6,IF(J29="C",5,IF(J29="P",4,0))))))),0))*L29+(IFERROR(IF(M29="O",10,IF(M29="A+",9,IF(M29="A",8,IF(M29="B+",7,IF(M29="B",6,IF(M29="C",5,IF(M29="P",4,0))))))),0))*O29+(IFERROR(IF(P29="O",10,IF(P29="A+",9,IF(P29="A",8,IF(P29="B+",7,IF(P29="B",6,IF(P29="C",5,IF(P29="P",4,0))))))),0))*R29+(IFERROR(IF(S29="O",10,IF(S29="A+",9,IF(S29="A",8,IF(S29="B+",7,IF(S29="B",6,IF(S29="C",5,IF(S29="P",4,0))))))),0))*U29)/SUM(F29,I29,L29,O29,R29,U29),2),0)</f>
        <v>0</v>
      </c>
      <c r="W29" s="4"/>
    </row>
    <row r="30" customFormat="false" ht="18" hidden="false" customHeight="true" outlineLevel="0" collapsed="false">
      <c r="A30" s="35" t="n">
        <v>22</v>
      </c>
      <c r="B30" s="32"/>
      <c r="C30" s="32"/>
      <c r="D30" s="4"/>
      <c r="E30" s="4"/>
      <c r="F30" s="33" t="n">
        <f aca="false">F7</f>
        <v>4</v>
      </c>
      <c r="G30" s="4"/>
      <c r="H30" s="4"/>
      <c r="I30" s="33" t="n">
        <f aca="false">I7</f>
        <v>4</v>
      </c>
      <c r="J30" s="4"/>
      <c r="K30" s="4"/>
      <c r="L30" s="33" t="n">
        <f aca="false">L7</f>
        <v>4</v>
      </c>
      <c r="M30" s="4"/>
      <c r="N30" s="4"/>
      <c r="O30" s="33" t="n">
        <f aca="false">O7</f>
        <v>4</v>
      </c>
      <c r="P30" s="4"/>
      <c r="Q30" s="4"/>
      <c r="R30" s="33" t="n">
        <f aca="false">R7</f>
        <v>4</v>
      </c>
      <c r="S30" s="4"/>
      <c r="T30" s="4"/>
      <c r="U30" s="33" t="n">
        <f aca="false">U7</f>
        <v>4</v>
      </c>
      <c r="V30" s="34" t="n">
        <f aca="false">IFERROR(ROUND(((IFERROR(IF(D30="O",10,IF(D30="A+",9,IF(D30="A",8,IF(D30="B+",7,IF(D30="B",6,IF(D30="C",5,IF(D30="P",4,0))))))),0))*F30+(IFERROR(IF(G30="O",10,IF(G30="A+",9,IF(G30="A",8,IF(G30="B+",7,IF(G30="B",6,IF(G30="C",5,IF(G30="P",4,0))))))),0))*I30+(IFERROR(IF(J30="O",10,IF(J30="A+",9,IF(J30="A",8,IF(J30="B+",7,IF(J30="B",6,IF(J30="C",5,IF(J30="P",4,0))))))),0))*L30+(IFERROR(IF(M30="O",10,IF(M30="A+",9,IF(M30="A",8,IF(M30="B+",7,IF(M30="B",6,IF(M30="C",5,IF(M30="P",4,0))))))),0))*O30+(IFERROR(IF(P30="O",10,IF(P30="A+",9,IF(P30="A",8,IF(P30="B+",7,IF(P30="B",6,IF(P30="C",5,IF(P30="P",4,0))))))),0))*R30+(IFERROR(IF(S30="O",10,IF(S30="A+",9,IF(S30="A",8,IF(S30="B+",7,IF(S30="B",6,IF(S30="C",5,IF(S30="P",4,0))))))),0))*U30)/SUM(F30,I30,L30,O30,R30,U30),2),0)</f>
        <v>0</v>
      </c>
      <c r="W30" s="4"/>
    </row>
    <row r="31" customFormat="false" ht="18" hidden="false" customHeight="true" outlineLevel="0" collapsed="false">
      <c r="A31" s="31" t="n">
        <v>23</v>
      </c>
      <c r="B31" s="32"/>
      <c r="C31" s="32"/>
      <c r="D31" s="4"/>
      <c r="E31" s="4"/>
      <c r="F31" s="33" t="n">
        <f aca="false">F7</f>
        <v>4</v>
      </c>
      <c r="G31" s="4"/>
      <c r="H31" s="4"/>
      <c r="I31" s="33" t="n">
        <f aca="false">I7</f>
        <v>4</v>
      </c>
      <c r="J31" s="4"/>
      <c r="K31" s="4"/>
      <c r="L31" s="33" t="n">
        <f aca="false">L7</f>
        <v>4</v>
      </c>
      <c r="M31" s="4"/>
      <c r="N31" s="4"/>
      <c r="O31" s="33" t="n">
        <f aca="false">O7</f>
        <v>4</v>
      </c>
      <c r="P31" s="4"/>
      <c r="Q31" s="4"/>
      <c r="R31" s="33" t="n">
        <f aca="false">R7</f>
        <v>4</v>
      </c>
      <c r="S31" s="4"/>
      <c r="T31" s="4"/>
      <c r="U31" s="33" t="n">
        <f aca="false">U7</f>
        <v>4</v>
      </c>
      <c r="V31" s="34" t="n">
        <f aca="false">IFERROR(ROUND(((IFERROR(IF(D31="O",10,IF(D31="A+",9,IF(D31="A",8,IF(D31="B+",7,IF(D31="B",6,IF(D31="C",5,IF(D31="P",4,0))))))),0))*F31+(IFERROR(IF(G31="O",10,IF(G31="A+",9,IF(G31="A",8,IF(G31="B+",7,IF(G31="B",6,IF(G31="C",5,IF(G31="P",4,0))))))),0))*I31+(IFERROR(IF(J31="O",10,IF(J31="A+",9,IF(J31="A",8,IF(J31="B+",7,IF(J31="B",6,IF(J31="C",5,IF(J31="P",4,0))))))),0))*L31+(IFERROR(IF(M31="O",10,IF(M31="A+",9,IF(M31="A",8,IF(M31="B+",7,IF(M31="B",6,IF(M31="C",5,IF(M31="P",4,0))))))),0))*O31+(IFERROR(IF(P31="O",10,IF(P31="A+",9,IF(P31="A",8,IF(P31="B+",7,IF(P31="B",6,IF(P31="C",5,IF(P31="P",4,0))))))),0))*R31+(IFERROR(IF(S31="O",10,IF(S31="A+",9,IF(S31="A",8,IF(S31="B+",7,IF(S31="B",6,IF(S31="C",5,IF(S31="P",4,0))))))),0))*U31)/SUM(F31,I31,L31,O31,R31,U31),2),0)</f>
        <v>0</v>
      </c>
      <c r="W31" s="4"/>
    </row>
    <row r="32" customFormat="false" ht="18" hidden="false" customHeight="true" outlineLevel="0" collapsed="false">
      <c r="A32" s="35" t="n">
        <v>24</v>
      </c>
      <c r="B32" s="32"/>
      <c r="C32" s="32"/>
      <c r="D32" s="4"/>
      <c r="E32" s="4"/>
      <c r="F32" s="33" t="n">
        <f aca="false">F7</f>
        <v>4</v>
      </c>
      <c r="G32" s="4"/>
      <c r="H32" s="4"/>
      <c r="I32" s="33" t="n">
        <f aca="false">I7</f>
        <v>4</v>
      </c>
      <c r="J32" s="4"/>
      <c r="K32" s="4"/>
      <c r="L32" s="33" t="n">
        <f aca="false">L7</f>
        <v>4</v>
      </c>
      <c r="M32" s="4"/>
      <c r="N32" s="4"/>
      <c r="O32" s="33" t="n">
        <f aca="false">O7</f>
        <v>4</v>
      </c>
      <c r="P32" s="4"/>
      <c r="Q32" s="4"/>
      <c r="R32" s="33" t="n">
        <f aca="false">R7</f>
        <v>4</v>
      </c>
      <c r="S32" s="4"/>
      <c r="T32" s="4"/>
      <c r="U32" s="33" t="n">
        <f aca="false">U7</f>
        <v>4</v>
      </c>
      <c r="V32" s="34" t="n">
        <f aca="false">IFERROR(ROUND(((IFERROR(IF(D32="O",10,IF(D32="A+",9,IF(D32="A",8,IF(D32="B+",7,IF(D32="B",6,IF(D32="C",5,IF(D32="P",4,0))))))),0))*F32+(IFERROR(IF(G32="O",10,IF(G32="A+",9,IF(G32="A",8,IF(G32="B+",7,IF(G32="B",6,IF(G32="C",5,IF(G32="P",4,0))))))),0))*I32+(IFERROR(IF(J32="O",10,IF(J32="A+",9,IF(J32="A",8,IF(J32="B+",7,IF(J32="B",6,IF(J32="C",5,IF(J32="P",4,0))))))),0))*L32+(IFERROR(IF(M32="O",10,IF(M32="A+",9,IF(M32="A",8,IF(M32="B+",7,IF(M32="B",6,IF(M32="C",5,IF(M32="P",4,0))))))),0))*O32+(IFERROR(IF(P32="O",10,IF(P32="A+",9,IF(P32="A",8,IF(P32="B+",7,IF(P32="B",6,IF(P32="C",5,IF(P32="P",4,0))))))),0))*R32+(IFERROR(IF(S32="O",10,IF(S32="A+",9,IF(S32="A",8,IF(S32="B+",7,IF(S32="B",6,IF(S32="C",5,IF(S32="P",4,0))))))),0))*U32)/SUM(F32,I32,L32,O32,R32,U32),2),0)</f>
        <v>0</v>
      </c>
      <c r="W32" s="4"/>
    </row>
    <row r="33" customFormat="false" ht="18" hidden="false" customHeight="true" outlineLevel="0" collapsed="false">
      <c r="A33" s="31" t="n">
        <v>25</v>
      </c>
      <c r="B33" s="32"/>
      <c r="C33" s="32"/>
      <c r="D33" s="4"/>
      <c r="E33" s="4"/>
      <c r="F33" s="33" t="n">
        <f aca="false">F7</f>
        <v>4</v>
      </c>
      <c r="G33" s="4"/>
      <c r="H33" s="4"/>
      <c r="I33" s="33" t="n">
        <f aca="false">I7</f>
        <v>4</v>
      </c>
      <c r="J33" s="4"/>
      <c r="K33" s="4"/>
      <c r="L33" s="33" t="n">
        <f aca="false">L7</f>
        <v>4</v>
      </c>
      <c r="M33" s="4"/>
      <c r="N33" s="4"/>
      <c r="O33" s="33" t="n">
        <f aca="false">O7</f>
        <v>4</v>
      </c>
      <c r="P33" s="4"/>
      <c r="Q33" s="4"/>
      <c r="R33" s="33" t="n">
        <f aca="false">R7</f>
        <v>4</v>
      </c>
      <c r="S33" s="4"/>
      <c r="T33" s="4"/>
      <c r="U33" s="33" t="n">
        <f aca="false">U7</f>
        <v>4</v>
      </c>
      <c r="V33" s="34" t="n">
        <f aca="false">IFERROR(ROUND(((IFERROR(IF(D33="O",10,IF(D33="A+",9,IF(D33="A",8,IF(D33="B+",7,IF(D33="B",6,IF(D33="C",5,IF(D33="P",4,0))))))),0))*F33+(IFERROR(IF(G33="O",10,IF(G33="A+",9,IF(G33="A",8,IF(G33="B+",7,IF(G33="B",6,IF(G33="C",5,IF(G33="P",4,0))))))),0))*I33+(IFERROR(IF(J33="O",10,IF(J33="A+",9,IF(J33="A",8,IF(J33="B+",7,IF(J33="B",6,IF(J33="C",5,IF(J33="P",4,0))))))),0))*L33+(IFERROR(IF(M33="O",10,IF(M33="A+",9,IF(M33="A",8,IF(M33="B+",7,IF(M33="B",6,IF(M33="C",5,IF(M33="P",4,0))))))),0))*O33+(IFERROR(IF(P33="O",10,IF(P33="A+",9,IF(P33="A",8,IF(P33="B+",7,IF(P33="B",6,IF(P33="C",5,IF(P33="P",4,0))))))),0))*R33+(IFERROR(IF(S33="O",10,IF(S33="A+",9,IF(S33="A",8,IF(S33="B+",7,IF(S33="B",6,IF(S33="C",5,IF(S33="P",4,0))))))),0))*U33)/SUM(F33,I33,L33,O33,R33,U33),2),0)</f>
        <v>0</v>
      </c>
      <c r="W33" s="4"/>
    </row>
    <row r="34" customFormat="false" ht="18" hidden="false" customHeight="true" outlineLevel="0" collapsed="false">
      <c r="A34" s="35" t="n">
        <v>26</v>
      </c>
      <c r="B34" s="32"/>
      <c r="C34" s="32"/>
      <c r="D34" s="4"/>
      <c r="E34" s="4"/>
      <c r="F34" s="33" t="n">
        <f aca="false">F7</f>
        <v>4</v>
      </c>
      <c r="G34" s="4"/>
      <c r="H34" s="4"/>
      <c r="I34" s="33" t="n">
        <f aca="false">I7</f>
        <v>4</v>
      </c>
      <c r="J34" s="4"/>
      <c r="K34" s="4"/>
      <c r="L34" s="33" t="n">
        <f aca="false">L7</f>
        <v>4</v>
      </c>
      <c r="M34" s="4"/>
      <c r="N34" s="4"/>
      <c r="O34" s="33" t="n">
        <f aca="false">O7</f>
        <v>4</v>
      </c>
      <c r="P34" s="4"/>
      <c r="Q34" s="4"/>
      <c r="R34" s="33" t="n">
        <f aca="false">R7</f>
        <v>4</v>
      </c>
      <c r="S34" s="4"/>
      <c r="T34" s="4"/>
      <c r="U34" s="33" t="n">
        <f aca="false">U7</f>
        <v>4</v>
      </c>
      <c r="V34" s="34" t="n">
        <f aca="false">IFERROR(ROUND(((IFERROR(IF(D34="O",10,IF(D34="A+",9,IF(D34="A",8,IF(D34="B+",7,IF(D34="B",6,IF(D34="C",5,IF(D34="P",4,0))))))),0))*F34+(IFERROR(IF(G34="O",10,IF(G34="A+",9,IF(G34="A",8,IF(G34="B+",7,IF(G34="B",6,IF(G34="C",5,IF(G34="P",4,0))))))),0))*I34+(IFERROR(IF(J34="O",10,IF(J34="A+",9,IF(J34="A",8,IF(J34="B+",7,IF(J34="B",6,IF(J34="C",5,IF(J34="P",4,0))))))),0))*L34+(IFERROR(IF(M34="O",10,IF(M34="A+",9,IF(M34="A",8,IF(M34="B+",7,IF(M34="B",6,IF(M34="C",5,IF(M34="P",4,0))))))),0))*O34+(IFERROR(IF(P34="O",10,IF(P34="A+",9,IF(P34="A",8,IF(P34="B+",7,IF(P34="B",6,IF(P34="C",5,IF(P34="P",4,0))))))),0))*R34+(IFERROR(IF(S34="O",10,IF(S34="A+",9,IF(S34="A",8,IF(S34="B+",7,IF(S34="B",6,IF(S34="C",5,IF(S34="P",4,0))))))),0))*U34)/SUM(F34,I34,L34,O34,R34,U34),2),0)</f>
        <v>0</v>
      </c>
      <c r="W34" s="4"/>
    </row>
    <row r="35" customFormat="false" ht="18" hidden="false" customHeight="true" outlineLevel="0" collapsed="false">
      <c r="A35" s="31" t="n">
        <v>27</v>
      </c>
      <c r="B35" s="32"/>
      <c r="C35" s="32"/>
      <c r="D35" s="4"/>
      <c r="E35" s="4"/>
      <c r="F35" s="33" t="n">
        <f aca="false">F7</f>
        <v>4</v>
      </c>
      <c r="G35" s="4"/>
      <c r="H35" s="4"/>
      <c r="I35" s="33" t="n">
        <f aca="false">I7</f>
        <v>4</v>
      </c>
      <c r="J35" s="4"/>
      <c r="K35" s="4"/>
      <c r="L35" s="33" t="n">
        <f aca="false">L7</f>
        <v>4</v>
      </c>
      <c r="M35" s="4"/>
      <c r="N35" s="4"/>
      <c r="O35" s="33" t="n">
        <f aca="false">O7</f>
        <v>4</v>
      </c>
      <c r="P35" s="4"/>
      <c r="Q35" s="4"/>
      <c r="R35" s="33" t="n">
        <f aca="false">R7</f>
        <v>4</v>
      </c>
      <c r="S35" s="4"/>
      <c r="T35" s="4"/>
      <c r="U35" s="33" t="n">
        <f aca="false">U7</f>
        <v>4</v>
      </c>
      <c r="V35" s="34" t="n">
        <f aca="false">IFERROR(ROUND(((IFERROR(IF(D35="O",10,IF(D35="A+",9,IF(D35="A",8,IF(D35="B+",7,IF(D35="B",6,IF(D35="C",5,IF(D35="P",4,0))))))),0))*F35+(IFERROR(IF(G35="O",10,IF(G35="A+",9,IF(G35="A",8,IF(G35="B+",7,IF(G35="B",6,IF(G35="C",5,IF(G35="P",4,0))))))),0))*I35+(IFERROR(IF(J35="O",10,IF(J35="A+",9,IF(J35="A",8,IF(J35="B+",7,IF(J35="B",6,IF(J35="C",5,IF(J35="P",4,0))))))),0))*L35+(IFERROR(IF(M35="O",10,IF(M35="A+",9,IF(M35="A",8,IF(M35="B+",7,IF(M35="B",6,IF(M35="C",5,IF(M35="P",4,0))))))),0))*O35+(IFERROR(IF(P35="O",10,IF(P35="A+",9,IF(P35="A",8,IF(P35="B+",7,IF(P35="B",6,IF(P35="C",5,IF(P35="P",4,0))))))),0))*R35+(IFERROR(IF(S35="O",10,IF(S35="A+",9,IF(S35="A",8,IF(S35="B+",7,IF(S35="B",6,IF(S35="C",5,IF(S35="P",4,0))))))),0))*U35)/SUM(F35,I35,L35,O35,R35,U35),2),0)</f>
        <v>0</v>
      </c>
      <c r="W35" s="4"/>
    </row>
    <row r="36" customFormat="false" ht="18" hidden="false" customHeight="true" outlineLevel="0" collapsed="false">
      <c r="A36" s="35" t="n">
        <v>28</v>
      </c>
      <c r="B36" s="32"/>
      <c r="C36" s="32"/>
      <c r="D36" s="4"/>
      <c r="E36" s="4"/>
      <c r="F36" s="33" t="n">
        <f aca="false">F7</f>
        <v>4</v>
      </c>
      <c r="G36" s="4"/>
      <c r="H36" s="4"/>
      <c r="I36" s="33" t="n">
        <f aca="false">I7</f>
        <v>4</v>
      </c>
      <c r="J36" s="4"/>
      <c r="K36" s="4"/>
      <c r="L36" s="33" t="n">
        <f aca="false">L7</f>
        <v>4</v>
      </c>
      <c r="M36" s="4"/>
      <c r="N36" s="4"/>
      <c r="O36" s="33" t="n">
        <f aca="false">O7</f>
        <v>4</v>
      </c>
      <c r="P36" s="4"/>
      <c r="Q36" s="4"/>
      <c r="R36" s="33" t="n">
        <f aca="false">R7</f>
        <v>4</v>
      </c>
      <c r="S36" s="4"/>
      <c r="T36" s="4"/>
      <c r="U36" s="33" t="n">
        <f aca="false">U7</f>
        <v>4</v>
      </c>
      <c r="V36" s="34" t="n">
        <f aca="false">IFERROR(ROUND(((IFERROR(IF(D36="O",10,IF(D36="A+",9,IF(D36="A",8,IF(D36="B+",7,IF(D36="B",6,IF(D36="C",5,IF(D36="P",4,0))))))),0))*F36+(IFERROR(IF(G36="O",10,IF(G36="A+",9,IF(G36="A",8,IF(G36="B+",7,IF(G36="B",6,IF(G36="C",5,IF(G36="P",4,0))))))),0))*I36+(IFERROR(IF(J36="O",10,IF(J36="A+",9,IF(J36="A",8,IF(J36="B+",7,IF(J36="B",6,IF(J36="C",5,IF(J36="P",4,0))))))),0))*L36+(IFERROR(IF(M36="O",10,IF(M36="A+",9,IF(M36="A",8,IF(M36="B+",7,IF(M36="B",6,IF(M36="C",5,IF(M36="P",4,0))))))),0))*O36+(IFERROR(IF(P36="O",10,IF(P36="A+",9,IF(P36="A",8,IF(P36="B+",7,IF(P36="B",6,IF(P36="C",5,IF(P36="P",4,0))))))),0))*R36+(IFERROR(IF(S36="O",10,IF(S36="A+",9,IF(S36="A",8,IF(S36="B+",7,IF(S36="B",6,IF(S36="C",5,IF(S36="P",4,0))))))),0))*U36)/SUM(F36,I36,L36,O36,R36,U36),2),0)</f>
        <v>0</v>
      </c>
      <c r="W36" s="4"/>
    </row>
    <row r="37" customFormat="false" ht="18" hidden="false" customHeight="true" outlineLevel="0" collapsed="false">
      <c r="A37" s="31" t="n">
        <v>29</v>
      </c>
      <c r="B37" s="32"/>
      <c r="C37" s="32"/>
      <c r="D37" s="4"/>
      <c r="E37" s="4"/>
      <c r="F37" s="33" t="n">
        <f aca="false">F7</f>
        <v>4</v>
      </c>
      <c r="G37" s="4"/>
      <c r="H37" s="4"/>
      <c r="I37" s="33" t="n">
        <f aca="false">I7</f>
        <v>4</v>
      </c>
      <c r="J37" s="4"/>
      <c r="K37" s="4"/>
      <c r="L37" s="33" t="n">
        <f aca="false">L7</f>
        <v>4</v>
      </c>
      <c r="M37" s="4"/>
      <c r="N37" s="4"/>
      <c r="O37" s="33" t="n">
        <f aca="false">O7</f>
        <v>4</v>
      </c>
      <c r="P37" s="4"/>
      <c r="Q37" s="4"/>
      <c r="R37" s="33" t="n">
        <f aca="false">R7</f>
        <v>4</v>
      </c>
      <c r="S37" s="4"/>
      <c r="T37" s="4"/>
      <c r="U37" s="33" t="n">
        <f aca="false">U7</f>
        <v>4</v>
      </c>
      <c r="V37" s="34" t="n">
        <f aca="false">IFERROR(ROUND(((IFERROR(IF(D37="O",10,IF(D37="A+",9,IF(D37="A",8,IF(D37="B+",7,IF(D37="B",6,IF(D37="C",5,IF(D37="P",4,0))))))),0))*F37+(IFERROR(IF(G37="O",10,IF(G37="A+",9,IF(G37="A",8,IF(G37="B+",7,IF(G37="B",6,IF(G37="C",5,IF(G37="P",4,0))))))),0))*I37+(IFERROR(IF(J37="O",10,IF(J37="A+",9,IF(J37="A",8,IF(J37="B+",7,IF(J37="B",6,IF(J37="C",5,IF(J37="P",4,0))))))),0))*L37+(IFERROR(IF(M37="O",10,IF(M37="A+",9,IF(M37="A",8,IF(M37="B+",7,IF(M37="B",6,IF(M37="C",5,IF(M37="P",4,0))))))),0))*O37+(IFERROR(IF(P37="O",10,IF(P37="A+",9,IF(P37="A",8,IF(P37="B+",7,IF(P37="B",6,IF(P37="C",5,IF(P37="P",4,0))))))),0))*R37+(IFERROR(IF(S37="O",10,IF(S37="A+",9,IF(S37="A",8,IF(S37="B+",7,IF(S37="B",6,IF(S37="C",5,IF(S37="P",4,0))))))),0))*U37)/SUM(F37,I37,L37,O37,R37,U37),2),0)</f>
        <v>0</v>
      </c>
      <c r="W37" s="4"/>
    </row>
    <row r="38" customFormat="false" ht="18" hidden="false" customHeight="true" outlineLevel="0" collapsed="false">
      <c r="A38" s="35" t="n">
        <v>30</v>
      </c>
      <c r="B38" s="32"/>
      <c r="C38" s="32"/>
      <c r="D38" s="4"/>
      <c r="E38" s="4"/>
      <c r="F38" s="33" t="n">
        <f aca="false">F7</f>
        <v>4</v>
      </c>
      <c r="G38" s="4"/>
      <c r="H38" s="4"/>
      <c r="I38" s="33" t="n">
        <f aca="false">I7</f>
        <v>4</v>
      </c>
      <c r="J38" s="4"/>
      <c r="K38" s="4"/>
      <c r="L38" s="33" t="n">
        <f aca="false">L7</f>
        <v>4</v>
      </c>
      <c r="M38" s="4"/>
      <c r="N38" s="4"/>
      <c r="O38" s="33" t="n">
        <f aca="false">O7</f>
        <v>4</v>
      </c>
      <c r="P38" s="4"/>
      <c r="Q38" s="4"/>
      <c r="R38" s="33" t="n">
        <f aca="false">R7</f>
        <v>4</v>
      </c>
      <c r="S38" s="4"/>
      <c r="T38" s="4"/>
      <c r="U38" s="33" t="n">
        <f aca="false">U7</f>
        <v>4</v>
      </c>
      <c r="V38" s="34" t="n">
        <f aca="false">IFERROR(ROUND(((IFERROR(IF(D38="O",10,IF(D38="A+",9,IF(D38="A",8,IF(D38="B+",7,IF(D38="B",6,IF(D38="C",5,IF(D38="P",4,0))))))),0))*F38+(IFERROR(IF(G38="O",10,IF(G38="A+",9,IF(G38="A",8,IF(G38="B+",7,IF(G38="B",6,IF(G38="C",5,IF(G38="P",4,0))))))),0))*I38+(IFERROR(IF(J38="O",10,IF(J38="A+",9,IF(J38="A",8,IF(J38="B+",7,IF(J38="B",6,IF(J38="C",5,IF(J38="P",4,0))))))),0))*L38+(IFERROR(IF(M38="O",10,IF(M38="A+",9,IF(M38="A",8,IF(M38="B+",7,IF(M38="B",6,IF(M38="C",5,IF(M38="P",4,0))))))),0))*O38+(IFERROR(IF(P38="O",10,IF(P38="A+",9,IF(P38="A",8,IF(P38="B+",7,IF(P38="B",6,IF(P38="C",5,IF(P38="P",4,0))))))),0))*R38+(IFERROR(IF(S38="O",10,IF(S38="A+",9,IF(S38="A",8,IF(S38="B+",7,IF(S38="B",6,IF(S38="C",5,IF(S38="P",4,0))))))),0))*U38)/SUM(F38,I38,L38,O38,R38,U38),2),0)</f>
        <v>0</v>
      </c>
      <c r="W38" s="4"/>
    </row>
    <row r="39" customFormat="false" ht="18" hidden="false" customHeight="true" outlineLevel="0" collapsed="false">
      <c r="A39" s="31" t="n">
        <v>31</v>
      </c>
      <c r="B39" s="32"/>
      <c r="C39" s="32"/>
      <c r="D39" s="4"/>
      <c r="E39" s="4"/>
      <c r="F39" s="33" t="n">
        <f aca="false">F7</f>
        <v>4</v>
      </c>
      <c r="G39" s="4"/>
      <c r="H39" s="4"/>
      <c r="I39" s="33" t="n">
        <f aca="false">I7</f>
        <v>4</v>
      </c>
      <c r="J39" s="4"/>
      <c r="K39" s="4"/>
      <c r="L39" s="33" t="n">
        <f aca="false">L7</f>
        <v>4</v>
      </c>
      <c r="M39" s="4"/>
      <c r="N39" s="4"/>
      <c r="O39" s="33" t="n">
        <f aca="false">O7</f>
        <v>4</v>
      </c>
      <c r="P39" s="4"/>
      <c r="Q39" s="4"/>
      <c r="R39" s="33" t="n">
        <f aca="false">R7</f>
        <v>4</v>
      </c>
      <c r="S39" s="4"/>
      <c r="T39" s="4"/>
      <c r="U39" s="33" t="n">
        <f aca="false">U7</f>
        <v>4</v>
      </c>
      <c r="V39" s="34" t="n">
        <f aca="false">IFERROR(ROUND(((IFERROR(IF(D39="O",10,IF(D39="A+",9,IF(D39="A",8,IF(D39="B+",7,IF(D39="B",6,IF(D39="C",5,IF(D39="P",4,0))))))),0))*F39+(IFERROR(IF(G39="O",10,IF(G39="A+",9,IF(G39="A",8,IF(G39="B+",7,IF(G39="B",6,IF(G39="C",5,IF(G39="P",4,0))))))),0))*I39+(IFERROR(IF(J39="O",10,IF(J39="A+",9,IF(J39="A",8,IF(J39="B+",7,IF(J39="B",6,IF(J39="C",5,IF(J39="P",4,0))))))),0))*L39+(IFERROR(IF(M39="O",10,IF(M39="A+",9,IF(M39="A",8,IF(M39="B+",7,IF(M39="B",6,IF(M39="C",5,IF(M39="P",4,0))))))),0))*O39+(IFERROR(IF(P39="O",10,IF(P39="A+",9,IF(P39="A",8,IF(P39="B+",7,IF(P39="B",6,IF(P39="C",5,IF(P39="P",4,0))))))),0))*R39+(IFERROR(IF(S39="O",10,IF(S39="A+",9,IF(S39="A",8,IF(S39="B+",7,IF(S39="B",6,IF(S39="C",5,IF(S39="P",4,0))))))),0))*U39)/SUM(F39,I39,L39,O39,R39,U39),2),0)</f>
        <v>0</v>
      </c>
      <c r="W39" s="4"/>
    </row>
    <row r="40" customFormat="false" ht="18" hidden="false" customHeight="true" outlineLevel="0" collapsed="false">
      <c r="A40" s="35" t="n">
        <v>32</v>
      </c>
      <c r="B40" s="32"/>
      <c r="C40" s="32"/>
      <c r="D40" s="4"/>
      <c r="E40" s="4"/>
      <c r="F40" s="33" t="n">
        <f aca="false">F7</f>
        <v>4</v>
      </c>
      <c r="G40" s="4"/>
      <c r="H40" s="4"/>
      <c r="I40" s="33" t="n">
        <f aca="false">I7</f>
        <v>4</v>
      </c>
      <c r="J40" s="4"/>
      <c r="K40" s="4"/>
      <c r="L40" s="33" t="n">
        <f aca="false">L7</f>
        <v>4</v>
      </c>
      <c r="M40" s="4"/>
      <c r="N40" s="4"/>
      <c r="O40" s="33" t="n">
        <f aca="false">O7</f>
        <v>4</v>
      </c>
      <c r="P40" s="4"/>
      <c r="Q40" s="4"/>
      <c r="R40" s="33" t="n">
        <f aca="false">R7</f>
        <v>4</v>
      </c>
      <c r="S40" s="4"/>
      <c r="T40" s="4"/>
      <c r="U40" s="33" t="n">
        <f aca="false">U7</f>
        <v>4</v>
      </c>
      <c r="V40" s="34" t="n">
        <f aca="false">IFERROR(ROUND(((IFERROR(IF(D40="O",10,IF(D40="A+",9,IF(D40="A",8,IF(D40="B+",7,IF(D40="B",6,IF(D40="C",5,IF(D40="P",4,0))))))),0))*F40+(IFERROR(IF(G40="O",10,IF(G40="A+",9,IF(G40="A",8,IF(G40="B+",7,IF(G40="B",6,IF(G40="C",5,IF(G40="P",4,0))))))),0))*I40+(IFERROR(IF(J40="O",10,IF(J40="A+",9,IF(J40="A",8,IF(J40="B+",7,IF(J40="B",6,IF(J40="C",5,IF(J40="P",4,0))))))),0))*L40+(IFERROR(IF(M40="O",10,IF(M40="A+",9,IF(M40="A",8,IF(M40="B+",7,IF(M40="B",6,IF(M40="C",5,IF(M40="P",4,0))))))),0))*O40+(IFERROR(IF(P40="O",10,IF(P40="A+",9,IF(P40="A",8,IF(P40="B+",7,IF(P40="B",6,IF(P40="C",5,IF(P40="P",4,0))))))),0))*R40+(IFERROR(IF(S40="O",10,IF(S40="A+",9,IF(S40="A",8,IF(S40="B+",7,IF(S40="B",6,IF(S40="C",5,IF(S40="P",4,0))))))),0))*U40)/SUM(F40,I40,L40,O40,R40,U40),2),0)</f>
        <v>0</v>
      </c>
      <c r="W40" s="4"/>
    </row>
    <row r="41" customFormat="false" ht="18" hidden="false" customHeight="true" outlineLevel="0" collapsed="false">
      <c r="A41" s="31" t="n">
        <v>33</v>
      </c>
      <c r="B41" s="32"/>
      <c r="C41" s="32"/>
      <c r="D41" s="4"/>
      <c r="E41" s="4"/>
      <c r="F41" s="33" t="n">
        <f aca="false">F7</f>
        <v>4</v>
      </c>
      <c r="G41" s="4"/>
      <c r="H41" s="4"/>
      <c r="I41" s="33" t="n">
        <f aca="false">I7</f>
        <v>4</v>
      </c>
      <c r="J41" s="4"/>
      <c r="K41" s="4"/>
      <c r="L41" s="33" t="n">
        <f aca="false">L7</f>
        <v>4</v>
      </c>
      <c r="M41" s="4"/>
      <c r="N41" s="4"/>
      <c r="O41" s="33" t="n">
        <f aca="false">O7</f>
        <v>4</v>
      </c>
      <c r="P41" s="4"/>
      <c r="Q41" s="4"/>
      <c r="R41" s="33" t="n">
        <f aca="false">R7</f>
        <v>4</v>
      </c>
      <c r="S41" s="4"/>
      <c r="T41" s="4"/>
      <c r="U41" s="33" t="n">
        <f aca="false">U7</f>
        <v>4</v>
      </c>
      <c r="V41" s="34" t="n">
        <f aca="false">IFERROR(ROUND(((IFERROR(IF(D41="O",10,IF(D41="A+",9,IF(D41="A",8,IF(D41="B+",7,IF(D41="B",6,IF(D41="C",5,IF(D41="P",4,0))))))),0))*F41+(IFERROR(IF(G41="O",10,IF(G41="A+",9,IF(G41="A",8,IF(G41="B+",7,IF(G41="B",6,IF(G41="C",5,IF(G41="P",4,0))))))),0))*I41+(IFERROR(IF(J41="O",10,IF(J41="A+",9,IF(J41="A",8,IF(J41="B+",7,IF(J41="B",6,IF(J41="C",5,IF(J41="P",4,0))))))),0))*L41+(IFERROR(IF(M41="O",10,IF(M41="A+",9,IF(M41="A",8,IF(M41="B+",7,IF(M41="B",6,IF(M41="C",5,IF(M41="P",4,0))))))),0))*O41+(IFERROR(IF(P41="O",10,IF(P41="A+",9,IF(P41="A",8,IF(P41="B+",7,IF(P41="B",6,IF(P41="C",5,IF(P41="P",4,0))))))),0))*R41+(IFERROR(IF(S41="O",10,IF(S41="A+",9,IF(S41="A",8,IF(S41="B+",7,IF(S41="B",6,IF(S41="C",5,IF(S41="P",4,0))))))),0))*U41)/SUM(F41,I41,L41,O41,R41,U41),2),0)</f>
        <v>0</v>
      </c>
      <c r="W41" s="4"/>
    </row>
    <row r="42" customFormat="false" ht="18" hidden="false" customHeight="true" outlineLevel="0" collapsed="false">
      <c r="A42" s="35" t="n">
        <v>34</v>
      </c>
      <c r="B42" s="32"/>
      <c r="C42" s="32"/>
      <c r="D42" s="4"/>
      <c r="E42" s="4"/>
      <c r="F42" s="33" t="n">
        <f aca="false">F7</f>
        <v>4</v>
      </c>
      <c r="G42" s="4"/>
      <c r="H42" s="4"/>
      <c r="I42" s="33" t="n">
        <f aca="false">I7</f>
        <v>4</v>
      </c>
      <c r="J42" s="4"/>
      <c r="K42" s="4"/>
      <c r="L42" s="33" t="n">
        <f aca="false">L7</f>
        <v>4</v>
      </c>
      <c r="M42" s="4"/>
      <c r="N42" s="4"/>
      <c r="O42" s="33" t="n">
        <f aca="false">O7</f>
        <v>4</v>
      </c>
      <c r="P42" s="4"/>
      <c r="Q42" s="4"/>
      <c r="R42" s="33" t="n">
        <f aca="false">R7</f>
        <v>4</v>
      </c>
      <c r="S42" s="4"/>
      <c r="T42" s="4"/>
      <c r="U42" s="33" t="n">
        <f aca="false">U7</f>
        <v>4</v>
      </c>
      <c r="V42" s="34" t="n">
        <f aca="false">IFERROR(ROUND(((IFERROR(IF(D42="O",10,IF(D42="A+",9,IF(D42="A",8,IF(D42="B+",7,IF(D42="B",6,IF(D42="C",5,IF(D42="P",4,0))))))),0))*F42+(IFERROR(IF(G42="O",10,IF(G42="A+",9,IF(G42="A",8,IF(G42="B+",7,IF(G42="B",6,IF(G42="C",5,IF(G42="P",4,0))))))),0))*I42+(IFERROR(IF(J42="O",10,IF(J42="A+",9,IF(J42="A",8,IF(J42="B+",7,IF(J42="B",6,IF(J42="C",5,IF(J42="P",4,0))))))),0))*L42+(IFERROR(IF(M42="O",10,IF(M42="A+",9,IF(M42="A",8,IF(M42="B+",7,IF(M42="B",6,IF(M42="C",5,IF(M42="P",4,0))))))),0))*O42+(IFERROR(IF(P42="O",10,IF(P42="A+",9,IF(P42="A",8,IF(P42="B+",7,IF(P42="B",6,IF(P42="C",5,IF(P42="P",4,0))))))),0))*R42+(IFERROR(IF(S42="O",10,IF(S42="A+",9,IF(S42="A",8,IF(S42="B+",7,IF(S42="B",6,IF(S42="C",5,IF(S42="P",4,0))))))),0))*U42)/SUM(F42,I42,L42,O42,R42,U42),2),0)</f>
        <v>0</v>
      </c>
      <c r="W42" s="4"/>
    </row>
    <row r="43" customFormat="false" ht="18" hidden="false" customHeight="true" outlineLevel="0" collapsed="false">
      <c r="A43" s="31" t="n">
        <v>35</v>
      </c>
      <c r="B43" s="32"/>
      <c r="C43" s="32"/>
      <c r="D43" s="4"/>
      <c r="E43" s="4"/>
      <c r="F43" s="33" t="n">
        <f aca="false">F7</f>
        <v>4</v>
      </c>
      <c r="G43" s="4"/>
      <c r="H43" s="4"/>
      <c r="I43" s="33" t="n">
        <f aca="false">I7</f>
        <v>4</v>
      </c>
      <c r="J43" s="4"/>
      <c r="K43" s="4"/>
      <c r="L43" s="33" t="n">
        <f aca="false">L7</f>
        <v>4</v>
      </c>
      <c r="M43" s="4"/>
      <c r="N43" s="4"/>
      <c r="O43" s="33" t="n">
        <f aca="false">O7</f>
        <v>4</v>
      </c>
      <c r="P43" s="4"/>
      <c r="Q43" s="4"/>
      <c r="R43" s="33" t="n">
        <f aca="false">R7</f>
        <v>4</v>
      </c>
      <c r="S43" s="4"/>
      <c r="T43" s="4"/>
      <c r="U43" s="33" t="n">
        <f aca="false">U7</f>
        <v>4</v>
      </c>
      <c r="V43" s="34" t="n">
        <f aca="false">IFERROR(ROUND(((IFERROR(IF(D43="O",10,IF(D43="A+",9,IF(D43="A",8,IF(D43="B+",7,IF(D43="B",6,IF(D43="C",5,IF(D43="P",4,0))))))),0))*F43+(IFERROR(IF(G43="O",10,IF(G43="A+",9,IF(G43="A",8,IF(G43="B+",7,IF(G43="B",6,IF(G43="C",5,IF(G43="P",4,0))))))),0))*I43+(IFERROR(IF(J43="O",10,IF(J43="A+",9,IF(J43="A",8,IF(J43="B+",7,IF(J43="B",6,IF(J43="C",5,IF(J43="P",4,0))))))),0))*L43+(IFERROR(IF(M43="O",10,IF(M43="A+",9,IF(M43="A",8,IF(M43="B+",7,IF(M43="B",6,IF(M43="C",5,IF(M43="P",4,0))))))),0))*O43+(IFERROR(IF(P43="O",10,IF(P43="A+",9,IF(P43="A",8,IF(P43="B+",7,IF(P43="B",6,IF(P43="C",5,IF(P43="P",4,0))))))),0))*R43+(IFERROR(IF(S43="O",10,IF(S43="A+",9,IF(S43="A",8,IF(S43="B+",7,IF(S43="B",6,IF(S43="C",5,IF(S43="P",4,0))))))),0))*U43)/SUM(F43,I43,L43,O43,R43,U43),2),0)</f>
        <v>0</v>
      </c>
      <c r="W43" s="4"/>
    </row>
    <row r="44" customFormat="false" ht="18" hidden="false" customHeight="true" outlineLevel="0" collapsed="false">
      <c r="A44" s="35" t="n">
        <v>36</v>
      </c>
      <c r="B44" s="32"/>
      <c r="C44" s="32"/>
      <c r="D44" s="4"/>
      <c r="E44" s="4"/>
      <c r="F44" s="33" t="n">
        <f aca="false">F7</f>
        <v>4</v>
      </c>
      <c r="G44" s="4"/>
      <c r="H44" s="4"/>
      <c r="I44" s="33" t="n">
        <f aca="false">I7</f>
        <v>4</v>
      </c>
      <c r="J44" s="4"/>
      <c r="K44" s="4"/>
      <c r="L44" s="33" t="n">
        <f aca="false">L7</f>
        <v>4</v>
      </c>
      <c r="M44" s="4"/>
      <c r="N44" s="4"/>
      <c r="O44" s="33" t="n">
        <f aca="false">O7</f>
        <v>4</v>
      </c>
      <c r="P44" s="4"/>
      <c r="Q44" s="4"/>
      <c r="R44" s="33" t="n">
        <f aca="false">R7</f>
        <v>4</v>
      </c>
      <c r="S44" s="4"/>
      <c r="T44" s="4"/>
      <c r="U44" s="33" t="n">
        <f aca="false">U7</f>
        <v>4</v>
      </c>
      <c r="V44" s="34" t="n">
        <f aca="false">IFERROR(ROUND(((IFERROR(IF(D44="O",10,IF(D44="A+",9,IF(D44="A",8,IF(D44="B+",7,IF(D44="B",6,IF(D44="C",5,IF(D44="P",4,0))))))),0))*F44+(IFERROR(IF(G44="O",10,IF(G44="A+",9,IF(G44="A",8,IF(G44="B+",7,IF(G44="B",6,IF(G44="C",5,IF(G44="P",4,0))))))),0))*I44+(IFERROR(IF(J44="O",10,IF(J44="A+",9,IF(J44="A",8,IF(J44="B+",7,IF(J44="B",6,IF(J44="C",5,IF(J44="P",4,0))))))),0))*L44+(IFERROR(IF(M44="O",10,IF(M44="A+",9,IF(M44="A",8,IF(M44="B+",7,IF(M44="B",6,IF(M44="C",5,IF(M44="P",4,0))))))),0))*O44+(IFERROR(IF(P44="O",10,IF(P44="A+",9,IF(P44="A",8,IF(P44="B+",7,IF(P44="B",6,IF(P44="C",5,IF(P44="P",4,0))))))),0))*R44+(IFERROR(IF(S44="O",10,IF(S44="A+",9,IF(S44="A",8,IF(S44="B+",7,IF(S44="B",6,IF(S44="C",5,IF(S44="P",4,0))))))),0))*U44)/SUM(F44,I44,L44,O44,R44,U44),2),0)</f>
        <v>0</v>
      </c>
      <c r="W44" s="4"/>
    </row>
    <row r="45" customFormat="false" ht="18" hidden="false" customHeight="true" outlineLevel="0" collapsed="false">
      <c r="A45" s="31" t="n">
        <v>37</v>
      </c>
      <c r="B45" s="32"/>
      <c r="C45" s="32"/>
      <c r="D45" s="4"/>
      <c r="E45" s="4"/>
      <c r="F45" s="33" t="n">
        <f aca="false">F7</f>
        <v>4</v>
      </c>
      <c r="G45" s="4"/>
      <c r="H45" s="4"/>
      <c r="I45" s="33" t="n">
        <f aca="false">I7</f>
        <v>4</v>
      </c>
      <c r="J45" s="4"/>
      <c r="K45" s="4"/>
      <c r="L45" s="33" t="n">
        <f aca="false">L7</f>
        <v>4</v>
      </c>
      <c r="M45" s="4"/>
      <c r="N45" s="4"/>
      <c r="O45" s="33" t="n">
        <f aca="false">O7</f>
        <v>4</v>
      </c>
      <c r="P45" s="4"/>
      <c r="Q45" s="4"/>
      <c r="R45" s="33" t="n">
        <f aca="false">R7</f>
        <v>4</v>
      </c>
      <c r="S45" s="4"/>
      <c r="T45" s="4"/>
      <c r="U45" s="33" t="n">
        <f aca="false">U7</f>
        <v>4</v>
      </c>
      <c r="V45" s="34" t="n">
        <f aca="false">IFERROR(ROUND(((IFERROR(IF(D45="O",10,IF(D45="A+",9,IF(D45="A",8,IF(D45="B+",7,IF(D45="B",6,IF(D45="C",5,IF(D45="P",4,0))))))),0))*F45+(IFERROR(IF(G45="O",10,IF(G45="A+",9,IF(G45="A",8,IF(G45="B+",7,IF(G45="B",6,IF(G45="C",5,IF(G45="P",4,0))))))),0))*I45+(IFERROR(IF(J45="O",10,IF(J45="A+",9,IF(J45="A",8,IF(J45="B+",7,IF(J45="B",6,IF(J45="C",5,IF(J45="P",4,0))))))),0))*L45+(IFERROR(IF(M45="O",10,IF(M45="A+",9,IF(M45="A",8,IF(M45="B+",7,IF(M45="B",6,IF(M45="C",5,IF(M45="P",4,0))))))),0))*O45+(IFERROR(IF(P45="O",10,IF(P45="A+",9,IF(P45="A",8,IF(P45="B+",7,IF(P45="B",6,IF(P45="C",5,IF(P45="P",4,0))))))),0))*R45+(IFERROR(IF(S45="O",10,IF(S45="A+",9,IF(S45="A",8,IF(S45="B+",7,IF(S45="B",6,IF(S45="C",5,IF(S45="P",4,0))))))),0))*U45)/SUM(F45,I45,L45,O45,R45,U45),2),0)</f>
        <v>0</v>
      </c>
      <c r="W45" s="4"/>
    </row>
    <row r="46" customFormat="false" ht="18" hidden="false" customHeight="true" outlineLevel="0" collapsed="false">
      <c r="A46" s="35" t="n">
        <v>38</v>
      </c>
      <c r="B46" s="32"/>
      <c r="C46" s="32"/>
      <c r="D46" s="4"/>
      <c r="E46" s="4"/>
      <c r="F46" s="33" t="n">
        <f aca="false">F7</f>
        <v>4</v>
      </c>
      <c r="G46" s="4"/>
      <c r="H46" s="4"/>
      <c r="I46" s="33" t="n">
        <f aca="false">I7</f>
        <v>4</v>
      </c>
      <c r="J46" s="4"/>
      <c r="K46" s="4"/>
      <c r="L46" s="33" t="n">
        <f aca="false">L7</f>
        <v>4</v>
      </c>
      <c r="M46" s="4"/>
      <c r="N46" s="4"/>
      <c r="O46" s="33" t="n">
        <f aca="false">O7</f>
        <v>4</v>
      </c>
      <c r="P46" s="4"/>
      <c r="Q46" s="4"/>
      <c r="R46" s="33" t="n">
        <f aca="false">R7</f>
        <v>4</v>
      </c>
      <c r="S46" s="4"/>
      <c r="T46" s="4"/>
      <c r="U46" s="33" t="n">
        <f aca="false">U7</f>
        <v>4</v>
      </c>
      <c r="V46" s="34" t="n">
        <f aca="false">IFERROR(ROUND(((IFERROR(IF(D46="O",10,IF(D46="A+",9,IF(D46="A",8,IF(D46="B+",7,IF(D46="B",6,IF(D46="C",5,IF(D46="P",4,0))))))),0))*F46+(IFERROR(IF(G46="O",10,IF(G46="A+",9,IF(G46="A",8,IF(G46="B+",7,IF(G46="B",6,IF(G46="C",5,IF(G46="P",4,0))))))),0))*I46+(IFERROR(IF(J46="O",10,IF(J46="A+",9,IF(J46="A",8,IF(J46="B+",7,IF(J46="B",6,IF(J46="C",5,IF(J46="P",4,0))))))),0))*L46+(IFERROR(IF(M46="O",10,IF(M46="A+",9,IF(M46="A",8,IF(M46="B+",7,IF(M46="B",6,IF(M46="C",5,IF(M46="P",4,0))))))),0))*O46+(IFERROR(IF(P46="O",10,IF(P46="A+",9,IF(P46="A",8,IF(P46="B+",7,IF(P46="B",6,IF(P46="C",5,IF(P46="P",4,0))))))),0))*R46+(IFERROR(IF(S46="O",10,IF(S46="A+",9,IF(S46="A",8,IF(S46="B+",7,IF(S46="B",6,IF(S46="C",5,IF(S46="P",4,0))))))),0))*U46)/SUM(F46,I46,L46,O46,R46,U46),2),0)</f>
        <v>0</v>
      </c>
      <c r="W46" s="4"/>
    </row>
    <row r="47" customFormat="false" ht="18" hidden="false" customHeight="true" outlineLevel="0" collapsed="false">
      <c r="A47" s="31" t="n">
        <v>39</v>
      </c>
      <c r="B47" s="32"/>
      <c r="C47" s="32"/>
      <c r="D47" s="4"/>
      <c r="E47" s="4"/>
      <c r="F47" s="33" t="n">
        <f aca="false">F7</f>
        <v>4</v>
      </c>
      <c r="G47" s="4"/>
      <c r="H47" s="4"/>
      <c r="I47" s="33" t="n">
        <f aca="false">I7</f>
        <v>4</v>
      </c>
      <c r="J47" s="4"/>
      <c r="K47" s="4"/>
      <c r="L47" s="33" t="n">
        <f aca="false">L7</f>
        <v>4</v>
      </c>
      <c r="M47" s="4"/>
      <c r="N47" s="4"/>
      <c r="O47" s="33" t="n">
        <f aca="false">O7</f>
        <v>4</v>
      </c>
      <c r="P47" s="4"/>
      <c r="Q47" s="4"/>
      <c r="R47" s="33" t="n">
        <f aca="false">R7</f>
        <v>4</v>
      </c>
      <c r="S47" s="4"/>
      <c r="T47" s="4"/>
      <c r="U47" s="33" t="n">
        <f aca="false">U7</f>
        <v>4</v>
      </c>
      <c r="V47" s="34" t="n">
        <f aca="false">IFERROR(ROUND(((IFERROR(IF(D47="O",10,IF(D47="A+",9,IF(D47="A",8,IF(D47="B+",7,IF(D47="B",6,IF(D47="C",5,IF(D47="P",4,0))))))),0))*F47+(IFERROR(IF(G47="O",10,IF(G47="A+",9,IF(G47="A",8,IF(G47="B+",7,IF(G47="B",6,IF(G47="C",5,IF(G47="P",4,0))))))),0))*I47+(IFERROR(IF(J47="O",10,IF(J47="A+",9,IF(J47="A",8,IF(J47="B+",7,IF(J47="B",6,IF(J47="C",5,IF(J47="P",4,0))))))),0))*L47+(IFERROR(IF(M47="O",10,IF(M47="A+",9,IF(M47="A",8,IF(M47="B+",7,IF(M47="B",6,IF(M47="C",5,IF(M47="P",4,0))))))),0))*O47+(IFERROR(IF(P47="O",10,IF(P47="A+",9,IF(P47="A",8,IF(P47="B+",7,IF(P47="B",6,IF(P47="C",5,IF(P47="P",4,0))))))),0))*R47+(IFERROR(IF(S47="O",10,IF(S47="A+",9,IF(S47="A",8,IF(S47="B+",7,IF(S47="B",6,IF(S47="C",5,IF(S47="P",4,0))))))),0))*U47)/SUM(F47,I47,L47,O47,R47,U47),2),0)</f>
        <v>0</v>
      </c>
      <c r="W47" s="4"/>
    </row>
    <row r="48" customFormat="false" ht="18" hidden="false" customHeight="true" outlineLevel="0" collapsed="false">
      <c r="A48" s="35" t="n">
        <v>40</v>
      </c>
      <c r="B48" s="32"/>
      <c r="C48" s="32"/>
      <c r="D48" s="4"/>
      <c r="E48" s="4"/>
      <c r="F48" s="33" t="n">
        <f aca="false">F7</f>
        <v>4</v>
      </c>
      <c r="G48" s="4"/>
      <c r="H48" s="4"/>
      <c r="I48" s="33" t="n">
        <f aca="false">I7</f>
        <v>4</v>
      </c>
      <c r="J48" s="4"/>
      <c r="K48" s="4"/>
      <c r="L48" s="33" t="n">
        <f aca="false">L7</f>
        <v>4</v>
      </c>
      <c r="M48" s="4"/>
      <c r="N48" s="4"/>
      <c r="O48" s="33" t="n">
        <f aca="false">O7</f>
        <v>4</v>
      </c>
      <c r="P48" s="4"/>
      <c r="Q48" s="4"/>
      <c r="R48" s="33" t="n">
        <f aca="false">R7</f>
        <v>4</v>
      </c>
      <c r="S48" s="4"/>
      <c r="T48" s="4"/>
      <c r="U48" s="33" t="n">
        <f aca="false">U7</f>
        <v>4</v>
      </c>
      <c r="V48" s="34" t="n">
        <f aca="false">IFERROR(ROUND(((IFERROR(IF(D48="O",10,IF(D48="A+",9,IF(D48="A",8,IF(D48="B+",7,IF(D48="B",6,IF(D48="C",5,IF(D48="P",4,0))))))),0))*F48+(IFERROR(IF(G48="O",10,IF(G48="A+",9,IF(G48="A",8,IF(G48="B+",7,IF(G48="B",6,IF(G48="C",5,IF(G48="P",4,0))))))),0))*I48+(IFERROR(IF(J48="O",10,IF(J48="A+",9,IF(J48="A",8,IF(J48="B+",7,IF(J48="B",6,IF(J48="C",5,IF(J48="P",4,0))))))),0))*L48+(IFERROR(IF(M48="O",10,IF(M48="A+",9,IF(M48="A",8,IF(M48="B+",7,IF(M48="B",6,IF(M48="C",5,IF(M48="P",4,0))))))),0))*O48+(IFERROR(IF(P48="O",10,IF(P48="A+",9,IF(P48="A",8,IF(P48="B+",7,IF(P48="B",6,IF(P48="C",5,IF(P48="P",4,0))))))),0))*R48+(IFERROR(IF(S48="O",10,IF(S48="A+",9,IF(S48="A",8,IF(S48="B+",7,IF(S48="B",6,IF(S48="C",5,IF(S48="P",4,0))))))),0))*U48)/SUM(F48,I48,L48,O48,R48,U48),2),0)</f>
        <v>0</v>
      </c>
      <c r="W48" s="4"/>
    </row>
    <row r="49" customFormat="false" ht="18" hidden="false" customHeight="true" outlineLevel="0" collapsed="false">
      <c r="A49" s="31" t="n">
        <v>41</v>
      </c>
      <c r="B49" s="32"/>
      <c r="C49" s="32"/>
      <c r="D49" s="4"/>
      <c r="E49" s="4"/>
      <c r="F49" s="33" t="n">
        <f aca="false">F7</f>
        <v>4</v>
      </c>
      <c r="G49" s="4"/>
      <c r="H49" s="4"/>
      <c r="I49" s="33" t="n">
        <f aca="false">I7</f>
        <v>4</v>
      </c>
      <c r="J49" s="4"/>
      <c r="K49" s="4"/>
      <c r="L49" s="33" t="n">
        <f aca="false">L7</f>
        <v>4</v>
      </c>
      <c r="M49" s="4"/>
      <c r="N49" s="4"/>
      <c r="O49" s="33" t="n">
        <f aca="false">O7</f>
        <v>4</v>
      </c>
      <c r="P49" s="4"/>
      <c r="Q49" s="4"/>
      <c r="R49" s="33" t="n">
        <f aca="false">R7</f>
        <v>4</v>
      </c>
      <c r="S49" s="4"/>
      <c r="T49" s="4"/>
      <c r="U49" s="33" t="n">
        <f aca="false">U7</f>
        <v>4</v>
      </c>
      <c r="V49" s="34" t="n">
        <f aca="false">IFERROR(ROUND(((IFERROR(IF(D49="O",10,IF(D49="A+",9,IF(D49="A",8,IF(D49="B+",7,IF(D49="B",6,IF(D49="C",5,IF(D49="P",4,0))))))),0))*F49+(IFERROR(IF(G49="O",10,IF(G49="A+",9,IF(G49="A",8,IF(G49="B+",7,IF(G49="B",6,IF(G49="C",5,IF(G49="P",4,0))))))),0))*I49+(IFERROR(IF(J49="O",10,IF(J49="A+",9,IF(J49="A",8,IF(J49="B+",7,IF(J49="B",6,IF(J49="C",5,IF(J49="P",4,0))))))),0))*L49+(IFERROR(IF(M49="O",10,IF(M49="A+",9,IF(M49="A",8,IF(M49="B+",7,IF(M49="B",6,IF(M49="C",5,IF(M49="P",4,0))))))),0))*O49+(IFERROR(IF(P49="O",10,IF(P49="A+",9,IF(P49="A",8,IF(P49="B+",7,IF(P49="B",6,IF(P49="C",5,IF(P49="P",4,0))))))),0))*R49+(IFERROR(IF(S49="O",10,IF(S49="A+",9,IF(S49="A",8,IF(S49="B+",7,IF(S49="B",6,IF(S49="C",5,IF(S49="P",4,0))))))),0))*U49)/SUM(F49,I49,L49,O49,R49,U49),2),0)</f>
        <v>0</v>
      </c>
      <c r="W49" s="4"/>
    </row>
    <row r="50" customFormat="false" ht="18" hidden="false" customHeight="true" outlineLevel="0" collapsed="false">
      <c r="A50" s="35" t="n">
        <v>42</v>
      </c>
      <c r="B50" s="32"/>
      <c r="C50" s="32"/>
      <c r="D50" s="4"/>
      <c r="E50" s="4"/>
      <c r="F50" s="33" t="n">
        <f aca="false">F7</f>
        <v>4</v>
      </c>
      <c r="G50" s="4"/>
      <c r="H50" s="4"/>
      <c r="I50" s="33" t="n">
        <f aca="false">I7</f>
        <v>4</v>
      </c>
      <c r="J50" s="4"/>
      <c r="K50" s="4"/>
      <c r="L50" s="33" t="n">
        <f aca="false">L7</f>
        <v>4</v>
      </c>
      <c r="M50" s="4"/>
      <c r="N50" s="4"/>
      <c r="O50" s="33" t="n">
        <f aca="false">O7</f>
        <v>4</v>
      </c>
      <c r="P50" s="4"/>
      <c r="Q50" s="4"/>
      <c r="R50" s="33" t="n">
        <f aca="false">R7</f>
        <v>4</v>
      </c>
      <c r="S50" s="4"/>
      <c r="T50" s="4"/>
      <c r="U50" s="33" t="n">
        <f aca="false">U7</f>
        <v>4</v>
      </c>
      <c r="V50" s="34" t="n">
        <f aca="false">IFERROR(ROUND(((IFERROR(IF(D50="O",10,IF(D50="A+",9,IF(D50="A",8,IF(D50="B+",7,IF(D50="B",6,IF(D50="C",5,IF(D50="P",4,0))))))),0))*F50+(IFERROR(IF(G50="O",10,IF(G50="A+",9,IF(G50="A",8,IF(G50="B+",7,IF(G50="B",6,IF(G50="C",5,IF(G50="P",4,0))))))),0))*I50+(IFERROR(IF(J50="O",10,IF(J50="A+",9,IF(J50="A",8,IF(J50="B+",7,IF(J50="B",6,IF(J50="C",5,IF(J50="P",4,0))))))),0))*L50+(IFERROR(IF(M50="O",10,IF(M50="A+",9,IF(M50="A",8,IF(M50="B+",7,IF(M50="B",6,IF(M50="C",5,IF(M50="P",4,0))))))),0))*O50+(IFERROR(IF(P50="O",10,IF(P50="A+",9,IF(P50="A",8,IF(P50="B+",7,IF(P50="B",6,IF(P50="C",5,IF(P50="P",4,0))))))),0))*R50+(IFERROR(IF(S50="O",10,IF(S50="A+",9,IF(S50="A",8,IF(S50="B+",7,IF(S50="B",6,IF(S50="C",5,IF(S50="P",4,0))))))),0))*U50)/SUM(F50,I50,L50,O50,R50,U50),2),0)</f>
        <v>0</v>
      </c>
      <c r="W50" s="4"/>
    </row>
    <row r="51" customFormat="false" ht="18" hidden="false" customHeight="true" outlineLevel="0" collapsed="false">
      <c r="A51" s="31" t="n">
        <v>43</v>
      </c>
      <c r="B51" s="32"/>
      <c r="C51" s="32"/>
      <c r="D51" s="4"/>
      <c r="E51" s="4"/>
      <c r="F51" s="33" t="n">
        <f aca="false">F7</f>
        <v>4</v>
      </c>
      <c r="G51" s="4"/>
      <c r="H51" s="4"/>
      <c r="I51" s="33" t="n">
        <f aca="false">I7</f>
        <v>4</v>
      </c>
      <c r="J51" s="4"/>
      <c r="K51" s="4"/>
      <c r="L51" s="33" t="n">
        <f aca="false">L7</f>
        <v>4</v>
      </c>
      <c r="M51" s="4"/>
      <c r="N51" s="4"/>
      <c r="O51" s="33" t="n">
        <f aca="false">O7</f>
        <v>4</v>
      </c>
      <c r="P51" s="4"/>
      <c r="Q51" s="4"/>
      <c r="R51" s="33" t="n">
        <f aca="false">R7</f>
        <v>4</v>
      </c>
      <c r="S51" s="4"/>
      <c r="T51" s="4"/>
      <c r="U51" s="33" t="n">
        <f aca="false">U7</f>
        <v>4</v>
      </c>
      <c r="V51" s="34" t="n">
        <f aca="false">IFERROR(ROUND(((IFERROR(IF(D51="O",10,IF(D51="A+",9,IF(D51="A",8,IF(D51="B+",7,IF(D51="B",6,IF(D51="C",5,IF(D51="P",4,0))))))),0))*F51+(IFERROR(IF(G51="O",10,IF(G51="A+",9,IF(G51="A",8,IF(G51="B+",7,IF(G51="B",6,IF(G51="C",5,IF(G51="P",4,0))))))),0))*I51+(IFERROR(IF(J51="O",10,IF(J51="A+",9,IF(J51="A",8,IF(J51="B+",7,IF(J51="B",6,IF(J51="C",5,IF(J51="P",4,0))))))),0))*L51+(IFERROR(IF(M51="O",10,IF(M51="A+",9,IF(M51="A",8,IF(M51="B+",7,IF(M51="B",6,IF(M51="C",5,IF(M51="P",4,0))))))),0))*O51+(IFERROR(IF(P51="O",10,IF(P51="A+",9,IF(P51="A",8,IF(P51="B+",7,IF(P51="B",6,IF(P51="C",5,IF(P51="P",4,0))))))),0))*R51+(IFERROR(IF(S51="O",10,IF(S51="A+",9,IF(S51="A",8,IF(S51="B+",7,IF(S51="B",6,IF(S51="C",5,IF(S51="P",4,0))))))),0))*U51)/SUM(F51,I51,L51,O51,R51,U51),2),0)</f>
        <v>0</v>
      </c>
      <c r="W51" s="4"/>
    </row>
    <row r="52" customFormat="false" ht="18" hidden="false" customHeight="true" outlineLevel="0" collapsed="false">
      <c r="A52" s="35" t="n">
        <v>44</v>
      </c>
      <c r="B52" s="32"/>
      <c r="C52" s="32"/>
      <c r="D52" s="4"/>
      <c r="E52" s="4"/>
      <c r="F52" s="33" t="n">
        <f aca="false">F7</f>
        <v>4</v>
      </c>
      <c r="G52" s="4"/>
      <c r="H52" s="4"/>
      <c r="I52" s="33" t="n">
        <f aca="false">I7</f>
        <v>4</v>
      </c>
      <c r="J52" s="4"/>
      <c r="K52" s="4"/>
      <c r="L52" s="33" t="n">
        <f aca="false">L7</f>
        <v>4</v>
      </c>
      <c r="M52" s="4"/>
      <c r="N52" s="4"/>
      <c r="O52" s="33" t="n">
        <f aca="false">O7</f>
        <v>4</v>
      </c>
      <c r="P52" s="4"/>
      <c r="Q52" s="4"/>
      <c r="R52" s="33" t="n">
        <f aca="false">R7</f>
        <v>4</v>
      </c>
      <c r="S52" s="4"/>
      <c r="T52" s="4"/>
      <c r="U52" s="33" t="n">
        <f aca="false">U7</f>
        <v>4</v>
      </c>
      <c r="V52" s="34" t="n">
        <f aca="false">IFERROR(ROUND(((IFERROR(IF(D52="O",10,IF(D52="A+",9,IF(D52="A",8,IF(D52="B+",7,IF(D52="B",6,IF(D52="C",5,IF(D52="P",4,0))))))),0))*F52+(IFERROR(IF(G52="O",10,IF(G52="A+",9,IF(G52="A",8,IF(G52="B+",7,IF(G52="B",6,IF(G52="C",5,IF(G52="P",4,0))))))),0))*I52+(IFERROR(IF(J52="O",10,IF(J52="A+",9,IF(J52="A",8,IF(J52="B+",7,IF(J52="B",6,IF(J52="C",5,IF(J52="P",4,0))))))),0))*L52+(IFERROR(IF(M52="O",10,IF(M52="A+",9,IF(M52="A",8,IF(M52="B+",7,IF(M52="B",6,IF(M52="C",5,IF(M52="P",4,0))))))),0))*O52+(IFERROR(IF(P52="O",10,IF(P52="A+",9,IF(P52="A",8,IF(P52="B+",7,IF(P52="B",6,IF(P52="C",5,IF(P52="P",4,0))))))),0))*R52+(IFERROR(IF(S52="O",10,IF(S52="A+",9,IF(S52="A",8,IF(S52="B+",7,IF(S52="B",6,IF(S52="C",5,IF(S52="P",4,0))))))),0))*U52)/SUM(F52,I52,L52,O52,R52,U52),2),0)</f>
        <v>0</v>
      </c>
      <c r="W52" s="4"/>
    </row>
    <row r="53" customFormat="false" ht="18" hidden="false" customHeight="true" outlineLevel="0" collapsed="false">
      <c r="A53" s="31" t="n">
        <v>45</v>
      </c>
      <c r="B53" s="32"/>
      <c r="C53" s="32"/>
      <c r="D53" s="4"/>
      <c r="E53" s="4"/>
      <c r="F53" s="33" t="n">
        <f aca="false">F7</f>
        <v>4</v>
      </c>
      <c r="G53" s="4"/>
      <c r="H53" s="4"/>
      <c r="I53" s="33" t="n">
        <f aca="false">I7</f>
        <v>4</v>
      </c>
      <c r="J53" s="4"/>
      <c r="K53" s="4"/>
      <c r="L53" s="33" t="n">
        <f aca="false">L7</f>
        <v>4</v>
      </c>
      <c r="M53" s="4"/>
      <c r="N53" s="4"/>
      <c r="O53" s="33" t="n">
        <f aca="false">O7</f>
        <v>4</v>
      </c>
      <c r="P53" s="4"/>
      <c r="Q53" s="4"/>
      <c r="R53" s="33" t="n">
        <f aca="false">R7</f>
        <v>4</v>
      </c>
      <c r="S53" s="4"/>
      <c r="T53" s="4"/>
      <c r="U53" s="33" t="n">
        <f aca="false">U7</f>
        <v>4</v>
      </c>
      <c r="V53" s="34" t="n">
        <f aca="false">IFERROR(ROUND(((IFERROR(IF(D53="O",10,IF(D53="A+",9,IF(D53="A",8,IF(D53="B+",7,IF(D53="B",6,IF(D53="C",5,IF(D53="P",4,0))))))),0))*F53+(IFERROR(IF(G53="O",10,IF(G53="A+",9,IF(G53="A",8,IF(G53="B+",7,IF(G53="B",6,IF(G53="C",5,IF(G53="P",4,0))))))),0))*I53+(IFERROR(IF(J53="O",10,IF(J53="A+",9,IF(J53="A",8,IF(J53="B+",7,IF(J53="B",6,IF(J53="C",5,IF(J53="P",4,0))))))),0))*L53+(IFERROR(IF(M53="O",10,IF(M53="A+",9,IF(M53="A",8,IF(M53="B+",7,IF(M53="B",6,IF(M53="C",5,IF(M53="P",4,0))))))),0))*O53+(IFERROR(IF(P53="O",10,IF(P53="A+",9,IF(P53="A",8,IF(P53="B+",7,IF(P53="B",6,IF(P53="C",5,IF(P53="P",4,0))))))),0))*R53+(IFERROR(IF(S53="O",10,IF(S53="A+",9,IF(S53="A",8,IF(S53="B+",7,IF(S53="B",6,IF(S53="C",5,IF(S53="P",4,0))))))),0))*U53)/SUM(F53,I53,L53,O53,R53,U53),2),0)</f>
        <v>0</v>
      </c>
      <c r="W53" s="4"/>
    </row>
    <row r="54" customFormat="false" ht="18" hidden="false" customHeight="true" outlineLevel="0" collapsed="false">
      <c r="A54" s="35" t="n">
        <v>46</v>
      </c>
      <c r="B54" s="32"/>
      <c r="C54" s="32"/>
      <c r="D54" s="4"/>
      <c r="E54" s="4"/>
      <c r="F54" s="33" t="n">
        <f aca="false">F7</f>
        <v>4</v>
      </c>
      <c r="G54" s="4"/>
      <c r="H54" s="4"/>
      <c r="I54" s="33" t="n">
        <f aca="false">I7</f>
        <v>4</v>
      </c>
      <c r="J54" s="4"/>
      <c r="K54" s="4"/>
      <c r="L54" s="33" t="n">
        <f aca="false">L7</f>
        <v>4</v>
      </c>
      <c r="M54" s="4"/>
      <c r="N54" s="4"/>
      <c r="O54" s="33" t="n">
        <f aca="false">O7</f>
        <v>4</v>
      </c>
      <c r="P54" s="4"/>
      <c r="Q54" s="4"/>
      <c r="R54" s="33" t="n">
        <f aca="false">R7</f>
        <v>4</v>
      </c>
      <c r="S54" s="4"/>
      <c r="T54" s="4"/>
      <c r="U54" s="33" t="n">
        <f aca="false">U7</f>
        <v>4</v>
      </c>
      <c r="V54" s="34" t="n">
        <f aca="false">IFERROR(ROUND(((IFERROR(IF(D54="O",10,IF(D54="A+",9,IF(D54="A",8,IF(D54="B+",7,IF(D54="B",6,IF(D54="C",5,IF(D54="P",4,0))))))),0))*F54+(IFERROR(IF(G54="O",10,IF(G54="A+",9,IF(G54="A",8,IF(G54="B+",7,IF(G54="B",6,IF(G54="C",5,IF(G54="P",4,0))))))),0))*I54+(IFERROR(IF(J54="O",10,IF(J54="A+",9,IF(J54="A",8,IF(J54="B+",7,IF(J54="B",6,IF(J54="C",5,IF(J54="P",4,0))))))),0))*L54+(IFERROR(IF(M54="O",10,IF(M54="A+",9,IF(M54="A",8,IF(M54="B+",7,IF(M54="B",6,IF(M54="C",5,IF(M54="P",4,0))))))),0))*O54+(IFERROR(IF(P54="O",10,IF(P54="A+",9,IF(P54="A",8,IF(P54="B+",7,IF(P54="B",6,IF(P54="C",5,IF(P54="P",4,0))))))),0))*R54+(IFERROR(IF(S54="O",10,IF(S54="A+",9,IF(S54="A",8,IF(S54="B+",7,IF(S54="B",6,IF(S54="C",5,IF(S54="P",4,0))))))),0))*U54)/SUM(F54,I54,L54,O54,R54,U54),2),0)</f>
        <v>0</v>
      </c>
      <c r="W54" s="4"/>
    </row>
    <row r="55" customFormat="false" ht="18" hidden="false" customHeight="true" outlineLevel="0" collapsed="false">
      <c r="A55" s="31" t="n">
        <v>47</v>
      </c>
      <c r="B55" s="32"/>
      <c r="C55" s="32"/>
      <c r="D55" s="4"/>
      <c r="E55" s="4"/>
      <c r="F55" s="33" t="n">
        <f aca="false">F7</f>
        <v>4</v>
      </c>
      <c r="G55" s="4"/>
      <c r="H55" s="4"/>
      <c r="I55" s="33" t="n">
        <f aca="false">I7</f>
        <v>4</v>
      </c>
      <c r="J55" s="4"/>
      <c r="K55" s="4"/>
      <c r="L55" s="33" t="n">
        <f aca="false">L7</f>
        <v>4</v>
      </c>
      <c r="M55" s="4"/>
      <c r="N55" s="4"/>
      <c r="O55" s="33" t="n">
        <f aca="false">O7</f>
        <v>4</v>
      </c>
      <c r="P55" s="4"/>
      <c r="Q55" s="4"/>
      <c r="R55" s="33" t="n">
        <f aca="false">R7</f>
        <v>4</v>
      </c>
      <c r="S55" s="4"/>
      <c r="T55" s="4"/>
      <c r="U55" s="33" t="n">
        <f aca="false">U7</f>
        <v>4</v>
      </c>
      <c r="V55" s="34" t="n">
        <f aca="false">IFERROR(ROUND(((IFERROR(IF(D55="O",10,IF(D55="A+",9,IF(D55="A",8,IF(D55="B+",7,IF(D55="B",6,IF(D55="C",5,IF(D55="P",4,0))))))),0))*F55+(IFERROR(IF(G55="O",10,IF(G55="A+",9,IF(G55="A",8,IF(G55="B+",7,IF(G55="B",6,IF(G55="C",5,IF(G55="P",4,0))))))),0))*I55+(IFERROR(IF(J55="O",10,IF(J55="A+",9,IF(J55="A",8,IF(J55="B+",7,IF(J55="B",6,IF(J55="C",5,IF(J55="P",4,0))))))),0))*L55+(IFERROR(IF(M55="O",10,IF(M55="A+",9,IF(M55="A",8,IF(M55="B+",7,IF(M55="B",6,IF(M55="C",5,IF(M55="P",4,0))))))),0))*O55+(IFERROR(IF(P55="O",10,IF(P55="A+",9,IF(P55="A",8,IF(P55="B+",7,IF(P55="B",6,IF(P55="C",5,IF(P55="P",4,0))))))),0))*R55+(IFERROR(IF(S55="O",10,IF(S55="A+",9,IF(S55="A",8,IF(S55="B+",7,IF(S55="B",6,IF(S55="C",5,IF(S55="P",4,0))))))),0))*U55)/SUM(F55,I55,L55,O55,R55,U55),2),0)</f>
        <v>0</v>
      </c>
      <c r="W55" s="4"/>
    </row>
    <row r="56" customFormat="false" ht="18" hidden="false" customHeight="true" outlineLevel="0" collapsed="false">
      <c r="A56" s="35" t="n">
        <v>48</v>
      </c>
      <c r="B56" s="32"/>
      <c r="C56" s="32"/>
      <c r="D56" s="4"/>
      <c r="E56" s="4"/>
      <c r="F56" s="33" t="n">
        <f aca="false">F7</f>
        <v>4</v>
      </c>
      <c r="G56" s="4"/>
      <c r="H56" s="4"/>
      <c r="I56" s="33" t="n">
        <f aca="false">I7</f>
        <v>4</v>
      </c>
      <c r="J56" s="4"/>
      <c r="K56" s="4"/>
      <c r="L56" s="33" t="n">
        <f aca="false">L7</f>
        <v>4</v>
      </c>
      <c r="M56" s="4"/>
      <c r="N56" s="4"/>
      <c r="O56" s="33" t="n">
        <f aca="false">O7</f>
        <v>4</v>
      </c>
      <c r="P56" s="4"/>
      <c r="Q56" s="4"/>
      <c r="R56" s="33" t="n">
        <f aca="false">R7</f>
        <v>4</v>
      </c>
      <c r="S56" s="4"/>
      <c r="T56" s="4"/>
      <c r="U56" s="33" t="n">
        <f aca="false">U7</f>
        <v>4</v>
      </c>
      <c r="V56" s="34" t="n">
        <f aca="false">IFERROR(ROUND(((IFERROR(IF(D56="O",10,IF(D56="A+",9,IF(D56="A",8,IF(D56="B+",7,IF(D56="B",6,IF(D56="C",5,IF(D56="P",4,0))))))),0))*F56+(IFERROR(IF(G56="O",10,IF(G56="A+",9,IF(G56="A",8,IF(G56="B+",7,IF(G56="B",6,IF(G56="C",5,IF(G56="P",4,0))))))),0))*I56+(IFERROR(IF(J56="O",10,IF(J56="A+",9,IF(J56="A",8,IF(J56="B+",7,IF(J56="B",6,IF(J56="C",5,IF(J56="P",4,0))))))),0))*L56+(IFERROR(IF(M56="O",10,IF(M56="A+",9,IF(M56="A",8,IF(M56="B+",7,IF(M56="B",6,IF(M56="C",5,IF(M56="P",4,0))))))),0))*O56+(IFERROR(IF(P56="O",10,IF(P56="A+",9,IF(P56="A",8,IF(P56="B+",7,IF(P56="B",6,IF(P56="C",5,IF(P56="P",4,0))))))),0))*R56+(IFERROR(IF(S56="O",10,IF(S56="A+",9,IF(S56="A",8,IF(S56="B+",7,IF(S56="B",6,IF(S56="C",5,IF(S56="P",4,0))))))),0))*U56)/SUM(F56,I56,L56,O56,R56,U56),2),0)</f>
        <v>0</v>
      </c>
      <c r="W56" s="4"/>
    </row>
    <row r="57" customFormat="false" ht="18" hidden="false" customHeight="true" outlineLevel="0" collapsed="false">
      <c r="A57" s="31" t="n">
        <v>49</v>
      </c>
      <c r="B57" s="32"/>
      <c r="C57" s="32"/>
      <c r="D57" s="4"/>
      <c r="E57" s="4"/>
      <c r="F57" s="33" t="n">
        <f aca="false">F7</f>
        <v>4</v>
      </c>
      <c r="G57" s="4"/>
      <c r="H57" s="4"/>
      <c r="I57" s="33" t="n">
        <f aca="false">I7</f>
        <v>4</v>
      </c>
      <c r="J57" s="4"/>
      <c r="K57" s="4"/>
      <c r="L57" s="33" t="n">
        <f aca="false">L7</f>
        <v>4</v>
      </c>
      <c r="M57" s="4"/>
      <c r="N57" s="4"/>
      <c r="O57" s="33" t="n">
        <f aca="false">O7</f>
        <v>4</v>
      </c>
      <c r="P57" s="4"/>
      <c r="Q57" s="4"/>
      <c r="R57" s="33" t="n">
        <f aca="false">R7</f>
        <v>4</v>
      </c>
      <c r="S57" s="4"/>
      <c r="T57" s="4"/>
      <c r="U57" s="33" t="n">
        <f aca="false">U7</f>
        <v>4</v>
      </c>
      <c r="V57" s="34" t="n">
        <f aca="false">IFERROR(ROUND(((IFERROR(IF(D57="O",10,IF(D57="A+",9,IF(D57="A",8,IF(D57="B+",7,IF(D57="B",6,IF(D57="C",5,IF(D57="P",4,0))))))),0))*F57+(IFERROR(IF(G57="O",10,IF(G57="A+",9,IF(G57="A",8,IF(G57="B+",7,IF(G57="B",6,IF(G57="C",5,IF(G57="P",4,0))))))),0))*I57+(IFERROR(IF(J57="O",10,IF(J57="A+",9,IF(J57="A",8,IF(J57="B+",7,IF(J57="B",6,IF(J57="C",5,IF(J57="P",4,0))))))),0))*L57+(IFERROR(IF(M57="O",10,IF(M57="A+",9,IF(M57="A",8,IF(M57="B+",7,IF(M57="B",6,IF(M57="C",5,IF(M57="P",4,0))))))),0))*O57+(IFERROR(IF(P57="O",10,IF(P57="A+",9,IF(P57="A",8,IF(P57="B+",7,IF(P57="B",6,IF(P57="C",5,IF(P57="P",4,0))))))),0))*R57+(IFERROR(IF(S57="O",10,IF(S57="A+",9,IF(S57="A",8,IF(S57="B+",7,IF(S57="B",6,IF(S57="C",5,IF(S57="P",4,0))))))),0))*U57)/SUM(F57,I57,L57,O57,R57,U57),2),0)</f>
        <v>0</v>
      </c>
      <c r="W57" s="4"/>
    </row>
    <row r="58" customFormat="false" ht="18" hidden="false" customHeight="true" outlineLevel="0" collapsed="false">
      <c r="A58" s="35" t="n">
        <v>50</v>
      </c>
      <c r="B58" s="32"/>
      <c r="C58" s="32"/>
      <c r="D58" s="4"/>
      <c r="E58" s="4"/>
      <c r="F58" s="33" t="n">
        <f aca="false">F7</f>
        <v>4</v>
      </c>
      <c r="G58" s="4"/>
      <c r="H58" s="4"/>
      <c r="I58" s="33" t="n">
        <f aca="false">I7</f>
        <v>4</v>
      </c>
      <c r="J58" s="4"/>
      <c r="K58" s="4"/>
      <c r="L58" s="33" t="n">
        <f aca="false">L7</f>
        <v>4</v>
      </c>
      <c r="M58" s="4"/>
      <c r="N58" s="4"/>
      <c r="O58" s="33" t="n">
        <f aca="false">O7</f>
        <v>4</v>
      </c>
      <c r="P58" s="4"/>
      <c r="Q58" s="4"/>
      <c r="R58" s="33" t="n">
        <f aca="false">R7</f>
        <v>4</v>
      </c>
      <c r="S58" s="4"/>
      <c r="T58" s="4"/>
      <c r="U58" s="33" t="n">
        <f aca="false">U7</f>
        <v>4</v>
      </c>
      <c r="V58" s="34" t="n">
        <f aca="false">IFERROR(ROUND(((IFERROR(IF(D58="O",10,IF(D58="A+",9,IF(D58="A",8,IF(D58="B+",7,IF(D58="B",6,IF(D58="C",5,IF(D58="P",4,0))))))),0))*F58+(IFERROR(IF(G58="O",10,IF(G58="A+",9,IF(G58="A",8,IF(G58="B+",7,IF(G58="B",6,IF(G58="C",5,IF(G58="P",4,0))))))),0))*I58+(IFERROR(IF(J58="O",10,IF(J58="A+",9,IF(J58="A",8,IF(J58="B+",7,IF(J58="B",6,IF(J58="C",5,IF(J58="P",4,0))))))),0))*L58+(IFERROR(IF(M58="O",10,IF(M58="A+",9,IF(M58="A",8,IF(M58="B+",7,IF(M58="B",6,IF(M58="C",5,IF(M58="P",4,0))))))),0))*O58+(IFERROR(IF(P58="O",10,IF(P58="A+",9,IF(P58="A",8,IF(P58="B+",7,IF(P58="B",6,IF(P58="C",5,IF(P58="P",4,0))))))),0))*R58+(IFERROR(IF(S58="O",10,IF(S58="A+",9,IF(S58="A",8,IF(S58="B+",7,IF(S58="B",6,IF(S58="C",5,IF(S58="P",4,0))))))),0))*U58)/SUM(F58,I58,L58,O58,R58,U58),2),0)</f>
        <v>0</v>
      </c>
      <c r="W58" s="4"/>
    </row>
    <row r="59" customFormat="false" ht="18" hidden="false" customHeight="true" outlineLevel="0" collapsed="false">
      <c r="A59" s="31" t="n">
        <v>51</v>
      </c>
      <c r="B59" s="32"/>
      <c r="C59" s="32"/>
      <c r="D59" s="4"/>
      <c r="E59" s="4"/>
      <c r="F59" s="33" t="n">
        <f aca="false">F7</f>
        <v>4</v>
      </c>
      <c r="G59" s="4"/>
      <c r="H59" s="4"/>
      <c r="I59" s="33" t="n">
        <f aca="false">I7</f>
        <v>4</v>
      </c>
      <c r="J59" s="4"/>
      <c r="K59" s="4"/>
      <c r="L59" s="33" t="n">
        <f aca="false">L7</f>
        <v>4</v>
      </c>
      <c r="M59" s="4"/>
      <c r="N59" s="4"/>
      <c r="O59" s="33" t="n">
        <f aca="false">O7</f>
        <v>4</v>
      </c>
      <c r="P59" s="4"/>
      <c r="Q59" s="4"/>
      <c r="R59" s="33" t="n">
        <f aca="false">R7</f>
        <v>4</v>
      </c>
      <c r="S59" s="4"/>
      <c r="T59" s="4"/>
      <c r="U59" s="33" t="n">
        <f aca="false">U7</f>
        <v>4</v>
      </c>
      <c r="V59" s="34" t="n">
        <f aca="false">IFERROR(ROUND(((IFERROR(IF(D59="O",10,IF(D59="A+",9,IF(D59="A",8,IF(D59="B+",7,IF(D59="B",6,IF(D59="C",5,IF(D59="P",4,0))))))),0))*F59+(IFERROR(IF(G59="O",10,IF(G59="A+",9,IF(G59="A",8,IF(G59="B+",7,IF(G59="B",6,IF(G59="C",5,IF(G59="P",4,0))))))),0))*I59+(IFERROR(IF(J59="O",10,IF(J59="A+",9,IF(J59="A",8,IF(J59="B+",7,IF(J59="B",6,IF(J59="C",5,IF(J59="P",4,0))))))),0))*L59+(IFERROR(IF(M59="O",10,IF(M59="A+",9,IF(M59="A",8,IF(M59="B+",7,IF(M59="B",6,IF(M59="C",5,IF(M59="P",4,0))))))),0))*O59+(IFERROR(IF(P59="O",10,IF(P59="A+",9,IF(P59="A",8,IF(P59="B+",7,IF(P59="B",6,IF(P59="C",5,IF(P59="P",4,0))))))),0))*R59+(IFERROR(IF(S59="O",10,IF(S59="A+",9,IF(S59="A",8,IF(S59="B+",7,IF(S59="B",6,IF(S59="C",5,IF(S59="P",4,0))))))),0))*U59)/SUM(F59,I59,L59,O59,R59,U59),2),0)</f>
        <v>0</v>
      </c>
      <c r="W59" s="4"/>
    </row>
    <row r="60" customFormat="false" ht="18" hidden="false" customHeight="true" outlineLevel="0" collapsed="false">
      <c r="A60" s="35" t="n">
        <v>52</v>
      </c>
      <c r="B60" s="32"/>
      <c r="C60" s="32"/>
      <c r="D60" s="4"/>
      <c r="E60" s="4"/>
      <c r="F60" s="33" t="n">
        <f aca="false">F7</f>
        <v>4</v>
      </c>
      <c r="G60" s="4"/>
      <c r="H60" s="4"/>
      <c r="I60" s="33" t="n">
        <f aca="false">I7</f>
        <v>4</v>
      </c>
      <c r="J60" s="4"/>
      <c r="K60" s="4"/>
      <c r="L60" s="33" t="n">
        <f aca="false">L7</f>
        <v>4</v>
      </c>
      <c r="M60" s="4"/>
      <c r="N60" s="4"/>
      <c r="O60" s="33" t="n">
        <f aca="false">O7</f>
        <v>4</v>
      </c>
      <c r="P60" s="4"/>
      <c r="Q60" s="4"/>
      <c r="R60" s="33" t="n">
        <f aca="false">R7</f>
        <v>4</v>
      </c>
      <c r="S60" s="4"/>
      <c r="T60" s="4"/>
      <c r="U60" s="33" t="n">
        <f aca="false">U7</f>
        <v>4</v>
      </c>
      <c r="V60" s="34" t="n">
        <f aca="false">IFERROR(ROUND(((IFERROR(IF(D60="O",10,IF(D60="A+",9,IF(D60="A",8,IF(D60="B+",7,IF(D60="B",6,IF(D60="C",5,IF(D60="P",4,0))))))),0))*F60+(IFERROR(IF(G60="O",10,IF(G60="A+",9,IF(G60="A",8,IF(G60="B+",7,IF(G60="B",6,IF(G60="C",5,IF(G60="P",4,0))))))),0))*I60+(IFERROR(IF(J60="O",10,IF(J60="A+",9,IF(J60="A",8,IF(J60="B+",7,IF(J60="B",6,IF(J60="C",5,IF(J60="P",4,0))))))),0))*L60+(IFERROR(IF(M60="O",10,IF(M60="A+",9,IF(M60="A",8,IF(M60="B+",7,IF(M60="B",6,IF(M60="C",5,IF(M60="P",4,0))))))),0))*O60+(IFERROR(IF(P60="O",10,IF(P60="A+",9,IF(P60="A",8,IF(P60="B+",7,IF(P60="B",6,IF(P60="C",5,IF(P60="P",4,0))))))),0))*R60+(IFERROR(IF(S60="O",10,IF(S60="A+",9,IF(S60="A",8,IF(S60="B+",7,IF(S60="B",6,IF(S60="C",5,IF(S60="P",4,0))))))),0))*U60)/SUM(F60,I60,L60,O60,R60,U60),2),0)</f>
        <v>0</v>
      </c>
      <c r="W60" s="4"/>
    </row>
    <row r="61" customFormat="false" ht="18" hidden="false" customHeight="true" outlineLevel="0" collapsed="false">
      <c r="A61" s="31" t="n">
        <v>53</v>
      </c>
      <c r="B61" s="32"/>
      <c r="C61" s="32"/>
      <c r="D61" s="4"/>
      <c r="E61" s="4"/>
      <c r="F61" s="33" t="n">
        <f aca="false">F7</f>
        <v>4</v>
      </c>
      <c r="G61" s="4"/>
      <c r="H61" s="4"/>
      <c r="I61" s="33" t="n">
        <f aca="false">I7</f>
        <v>4</v>
      </c>
      <c r="J61" s="4"/>
      <c r="K61" s="4"/>
      <c r="L61" s="33" t="n">
        <f aca="false">L7</f>
        <v>4</v>
      </c>
      <c r="M61" s="4"/>
      <c r="N61" s="4"/>
      <c r="O61" s="33" t="n">
        <f aca="false">O7</f>
        <v>4</v>
      </c>
      <c r="P61" s="4"/>
      <c r="Q61" s="4"/>
      <c r="R61" s="33" t="n">
        <f aca="false">R7</f>
        <v>4</v>
      </c>
      <c r="S61" s="4"/>
      <c r="T61" s="4"/>
      <c r="U61" s="33" t="n">
        <f aca="false">U7</f>
        <v>4</v>
      </c>
      <c r="V61" s="34" t="n">
        <f aca="false">IFERROR(ROUND(((IFERROR(IF(D61="O",10,IF(D61="A+",9,IF(D61="A",8,IF(D61="B+",7,IF(D61="B",6,IF(D61="C",5,IF(D61="P",4,0))))))),0))*F61+(IFERROR(IF(G61="O",10,IF(G61="A+",9,IF(G61="A",8,IF(G61="B+",7,IF(G61="B",6,IF(G61="C",5,IF(G61="P",4,0))))))),0))*I61+(IFERROR(IF(J61="O",10,IF(J61="A+",9,IF(J61="A",8,IF(J61="B+",7,IF(J61="B",6,IF(J61="C",5,IF(J61="P",4,0))))))),0))*L61+(IFERROR(IF(M61="O",10,IF(M61="A+",9,IF(M61="A",8,IF(M61="B+",7,IF(M61="B",6,IF(M61="C",5,IF(M61="P",4,0))))))),0))*O61+(IFERROR(IF(P61="O",10,IF(P61="A+",9,IF(P61="A",8,IF(P61="B+",7,IF(P61="B",6,IF(P61="C",5,IF(P61="P",4,0))))))),0))*R61+(IFERROR(IF(S61="O",10,IF(S61="A+",9,IF(S61="A",8,IF(S61="B+",7,IF(S61="B",6,IF(S61="C",5,IF(S61="P",4,0))))))),0))*U61)/SUM(F61,I61,L61,O61,R61,U61),2),0)</f>
        <v>0</v>
      </c>
      <c r="W61" s="4"/>
    </row>
    <row r="62" customFormat="false" ht="18" hidden="false" customHeight="true" outlineLevel="0" collapsed="false">
      <c r="A62" s="35" t="n">
        <v>54</v>
      </c>
      <c r="B62" s="32"/>
      <c r="C62" s="32"/>
      <c r="D62" s="4"/>
      <c r="E62" s="4"/>
      <c r="F62" s="33" t="n">
        <f aca="false">F7</f>
        <v>4</v>
      </c>
      <c r="G62" s="4"/>
      <c r="H62" s="4"/>
      <c r="I62" s="33" t="n">
        <f aca="false">I7</f>
        <v>4</v>
      </c>
      <c r="J62" s="4"/>
      <c r="K62" s="4"/>
      <c r="L62" s="33" t="n">
        <f aca="false">L7</f>
        <v>4</v>
      </c>
      <c r="M62" s="4"/>
      <c r="N62" s="4"/>
      <c r="O62" s="33" t="n">
        <f aca="false">O7</f>
        <v>4</v>
      </c>
      <c r="P62" s="4"/>
      <c r="Q62" s="4"/>
      <c r="R62" s="33" t="n">
        <f aca="false">R7</f>
        <v>4</v>
      </c>
      <c r="S62" s="4"/>
      <c r="T62" s="4"/>
      <c r="U62" s="33" t="n">
        <f aca="false">U7</f>
        <v>4</v>
      </c>
      <c r="V62" s="34" t="n">
        <f aca="false">IFERROR(ROUND(((IFERROR(IF(D62="O",10,IF(D62="A+",9,IF(D62="A",8,IF(D62="B+",7,IF(D62="B",6,IF(D62="C",5,IF(D62="P",4,0))))))),0))*F62+(IFERROR(IF(G62="O",10,IF(G62="A+",9,IF(G62="A",8,IF(G62="B+",7,IF(G62="B",6,IF(G62="C",5,IF(G62="P",4,0))))))),0))*I62+(IFERROR(IF(J62="O",10,IF(J62="A+",9,IF(J62="A",8,IF(J62="B+",7,IF(J62="B",6,IF(J62="C",5,IF(J62="P",4,0))))))),0))*L62+(IFERROR(IF(M62="O",10,IF(M62="A+",9,IF(M62="A",8,IF(M62="B+",7,IF(M62="B",6,IF(M62="C",5,IF(M62="P",4,0))))))),0))*O62+(IFERROR(IF(P62="O",10,IF(P62="A+",9,IF(P62="A",8,IF(P62="B+",7,IF(P62="B",6,IF(P62="C",5,IF(P62="P",4,0))))))),0))*R62+(IFERROR(IF(S62="O",10,IF(S62="A+",9,IF(S62="A",8,IF(S62="B+",7,IF(S62="B",6,IF(S62="C",5,IF(S62="P",4,0))))))),0))*U62)/SUM(F62,I62,L62,O62,R62,U62),2),0)</f>
        <v>0</v>
      </c>
      <c r="W62" s="4"/>
    </row>
    <row r="63" customFormat="false" ht="18" hidden="false" customHeight="true" outlineLevel="0" collapsed="false">
      <c r="A63" s="31" t="n">
        <v>55</v>
      </c>
      <c r="B63" s="32"/>
      <c r="C63" s="32"/>
      <c r="D63" s="4"/>
      <c r="E63" s="4"/>
      <c r="F63" s="33" t="n">
        <f aca="false">F7</f>
        <v>4</v>
      </c>
      <c r="G63" s="4"/>
      <c r="H63" s="4"/>
      <c r="I63" s="33" t="n">
        <f aca="false">I7</f>
        <v>4</v>
      </c>
      <c r="J63" s="4"/>
      <c r="K63" s="4"/>
      <c r="L63" s="33" t="n">
        <f aca="false">L7</f>
        <v>4</v>
      </c>
      <c r="M63" s="4"/>
      <c r="N63" s="4"/>
      <c r="O63" s="33" t="n">
        <f aca="false">O7</f>
        <v>4</v>
      </c>
      <c r="P63" s="4"/>
      <c r="Q63" s="4"/>
      <c r="R63" s="33" t="n">
        <f aca="false">R7</f>
        <v>4</v>
      </c>
      <c r="S63" s="4"/>
      <c r="T63" s="4"/>
      <c r="U63" s="33" t="n">
        <f aca="false">U7</f>
        <v>4</v>
      </c>
      <c r="V63" s="34" t="n">
        <f aca="false">IFERROR(ROUND(((IFERROR(IF(D63="O",10,IF(D63="A+",9,IF(D63="A",8,IF(D63="B+",7,IF(D63="B",6,IF(D63="C",5,IF(D63="P",4,0))))))),0))*F63+(IFERROR(IF(G63="O",10,IF(G63="A+",9,IF(G63="A",8,IF(G63="B+",7,IF(G63="B",6,IF(G63="C",5,IF(G63="P",4,0))))))),0))*I63+(IFERROR(IF(J63="O",10,IF(J63="A+",9,IF(J63="A",8,IF(J63="B+",7,IF(J63="B",6,IF(J63="C",5,IF(J63="P",4,0))))))),0))*L63+(IFERROR(IF(M63="O",10,IF(M63="A+",9,IF(M63="A",8,IF(M63="B+",7,IF(M63="B",6,IF(M63="C",5,IF(M63="P",4,0))))))),0))*O63+(IFERROR(IF(P63="O",10,IF(P63="A+",9,IF(P63="A",8,IF(P63="B+",7,IF(P63="B",6,IF(P63="C",5,IF(P63="P",4,0))))))),0))*R63+(IFERROR(IF(S63="O",10,IF(S63="A+",9,IF(S63="A",8,IF(S63="B+",7,IF(S63="B",6,IF(S63="C",5,IF(S63="P",4,0))))))),0))*U63)/SUM(F63,I63,L63,O63,R63,U63),2),0)</f>
        <v>0</v>
      </c>
      <c r="W63" s="4"/>
    </row>
    <row r="64" customFormat="false" ht="18" hidden="false" customHeight="true" outlineLevel="0" collapsed="false">
      <c r="A64" s="35" t="n">
        <v>56</v>
      </c>
      <c r="B64" s="32"/>
      <c r="C64" s="32"/>
      <c r="D64" s="4"/>
      <c r="E64" s="4"/>
      <c r="F64" s="33" t="n">
        <f aca="false">F7</f>
        <v>4</v>
      </c>
      <c r="G64" s="4"/>
      <c r="H64" s="4"/>
      <c r="I64" s="33" t="n">
        <f aca="false">I7</f>
        <v>4</v>
      </c>
      <c r="J64" s="4"/>
      <c r="K64" s="4"/>
      <c r="L64" s="33" t="n">
        <f aca="false">L7</f>
        <v>4</v>
      </c>
      <c r="M64" s="4"/>
      <c r="N64" s="4"/>
      <c r="O64" s="33" t="n">
        <f aca="false">O7</f>
        <v>4</v>
      </c>
      <c r="P64" s="4"/>
      <c r="Q64" s="4"/>
      <c r="R64" s="33" t="n">
        <f aca="false">R7</f>
        <v>4</v>
      </c>
      <c r="S64" s="4"/>
      <c r="T64" s="4"/>
      <c r="U64" s="33" t="n">
        <f aca="false">U7</f>
        <v>4</v>
      </c>
      <c r="V64" s="34" t="n">
        <f aca="false">IFERROR(ROUND(((IFERROR(IF(D64="O",10,IF(D64="A+",9,IF(D64="A",8,IF(D64="B+",7,IF(D64="B",6,IF(D64="C",5,IF(D64="P",4,0))))))),0))*F64+(IFERROR(IF(G64="O",10,IF(G64="A+",9,IF(G64="A",8,IF(G64="B+",7,IF(G64="B",6,IF(G64="C",5,IF(G64="P",4,0))))))),0))*I64+(IFERROR(IF(J64="O",10,IF(J64="A+",9,IF(J64="A",8,IF(J64="B+",7,IF(J64="B",6,IF(J64="C",5,IF(J64="P",4,0))))))),0))*L64+(IFERROR(IF(M64="O",10,IF(M64="A+",9,IF(M64="A",8,IF(M64="B+",7,IF(M64="B",6,IF(M64="C",5,IF(M64="P",4,0))))))),0))*O64+(IFERROR(IF(P64="O",10,IF(P64="A+",9,IF(P64="A",8,IF(P64="B+",7,IF(P64="B",6,IF(P64="C",5,IF(P64="P",4,0))))))),0))*R64+(IFERROR(IF(S64="O",10,IF(S64="A+",9,IF(S64="A",8,IF(S64="B+",7,IF(S64="B",6,IF(S64="C",5,IF(S64="P",4,0))))))),0))*U64)/SUM(F64,I64,L64,O64,R64,U64),2),0)</f>
        <v>0</v>
      </c>
      <c r="W64" s="4"/>
    </row>
    <row r="65" customFormat="false" ht="18" hidden="false" customHeight="true" outlineLevel="0" collapsed="false">
      <c r="A65" s="31" t="n">
        <v>57</v>
      </c>
      <c r="B65" s="32"/>
      <c r="C65" s="32"/>
      <c r="D65" s="4"/>
      <c r="E65" s="4"/>
      <c r="F65" s="33" t="n">
        <f aca="false">F7</f>
        <v>4</v>
      </c>
      <c r="G65" s="4"/>
      <c r="H65" s="4"/>
      <c r="I65" s="33" t="n">
        <f aca="false">I7</f>
        <v>4</v>
      </c>
      <c r="J65" s="4"/>
      <c r="K65" s="4"/>
      <c r="L65" s="33" t="n">
        <f aca="false">L7</f>
        <v>4</v>
      </c>
      <c r="M65" s="4"/>
      <c r="N65" s="4"/>
      <c r="O65" s="33" t="n">
        <f aca="false">O7</f>
        <v>4</v>
      </c>
      <c r="P65" s="4"/>
      <c r="Q65" s="4"/>
      <c r="R65" s="33" t="n">
        <f aca="false">R7</f>
        <v>4</v>
      </c>
      <c r="S65" s="4"/>
      <c r="T65" s="4"/>
      <c r="U65" s="33" t="n">
        <f aca="false">U7</f>
        <v>4</v>
      </c>
      <c r="V65" s="34" t="n">
        <f aca="false">IFERROR(ROUND(((IFERROR(IF(D65="O",10,IF(D65="A+",9,IF(D65="A",8,IF(D65="B+",7,IF(D65="B",6,IF(D65="C",5,IF(D65="P",4,0))))))),0))*F65+(IFERROR(IF(G65="O",10,IF(G65="A+",9,IF(G65="A",8,IF(G65="B+",7,IF(G65="B",6,IF(G65="C",5,IF(G65="P",4,0))))))),0))*I65+(IFERROR(IF(J65="O",10,IF(J65="A+",9,IF(J65="A",8,IF(J65="B+",7,IF(J65="B",6,IF(J65="C",5,IF(J65="P",4,0))))))),0))*L65+(IFERROR(IF(M65="O",10,IF(M65="A+",9,IF(M65="A",8,IF(M65="B+",7,IF(M65="B",6,IF(M65="C",5,IF(M65="P",4,0))))))),0))*O65+(IFERROR(IF(P65="O",10,IF(P65="A+",9,IF(P65="A",8,IF(P65="B+",7,IF(P65="B",6,IF(P65="C",5,IF(P65="P",4,0))))))),0))*R65+(IFERROR(IF(S65="O",10,IF(S65="A+",9,IF(S65="A",8,IF(S65="B+",7,IF(S65="B",6,IF(S65="C",5,IF(S65="P",4,0))))))),0))*U65)/SUM(F65,I65,L65,O65,R65,U65),2),0)</f>
        <v>0</v>
      </c>
      <c r="W65" s="4"/>
    </row>
    <row r="66" customFormat="false" ht="18" hidden="false" customHeight="true" outlineLevel="0" collapsed="false">
      <c r="A66" s="35" t="n">
        <v>58</v>
      </c>
      <c r="B66" s="32"/>
      <c r="C66" s="32"/>
      <c r="D66" s="4"/>
      <c r="E66" s="4"/>
      <c r="F66" s="33" t="n">
        <f aca="false">F7</f>
        <v>4</v>
      </c>
      <c r="G66" s="4"/>
      <c r="H66" s="4"/>
      <c r="I66" s="33" t="n">
        <f aca="false">I7</f>
        <v>4</v>
      </c>
      <c r="J66" s="4"/>
      <c r="K66" s="4"/>
      <c r="L66" s="33" t="n">
        <f aca="false">L7</f>
        <v>4</v>
      </c>
      <c r="M66" s="4"/>
      <c r="N66" s="4"/>
      <c r="O66" s="33" t="n">
        <f aca="false">O7</f>
        <v>4</v>
      </c>
      <c r="P66" s="4"/>
      <c r="Q66" s="4"/>
      <c r="R66" s="33" t="n">
        <f aca="false">R7</f>
        <v>4</v>
      </c>
      <c r="S66" s="4"/>
      <c r="T66" s="4"/>
      <c r="U66" s="33" t="n">
        <f aca="false">U7</f>
        <v>4</v>
      </c>
      <c r="V66" s="34" t="n">
        <f aca="false">IFERROR(ROUND(((IFERROR(IF(D66="O",10,IF(D66="A+",9,IF(D66="A",8,IF(D66="B+",7,IF(D66="B",6,IF(D66="C",5,IF(D66="P",4,0))))))),0))*F66+(IFERROR(IF(G66="O",10,IF(G66="A+",9,IF(G66="A",8,IF(G66="B+",7,IF(G66="B",6,IF(G66="C",5,IF(G66="P",4,0))))))),0))*I66+(IFERROR(IF(J66="O",10,IF(J66="A+",9,IF(J66="A",8,IF(J66="B+",7,IF(J66="B",6,IF(J66="C",5,IF(J66="P",4,0))))))),0))*L66+(IFERROR(IF(M66="O",10,IF(M66="A+",9,IF(M66="A",8,IF(M66="B+",7,IF(M66="B",6,IF(M66="C",5,IF(M66="P",4,0))))))),0))*O66+(IFERROR(IF(P66="O",10,IF(P66="A+",9,IF(P66="A",8,IF(P66="B+",7,IF(P66="B",6,IF(P66="C",5,IF(P66="P",4,0))))))),0))*R66+(IFERROR(IF(S66="O",10,IF(S66="A+",9,IF(S66="A",8,IF(S66="B+",7,IF(S66="B",6,IF(S66="C",5,IF(S66="P",4,0))))))),0))*U66)/SUM(F66,I66,L66,O66,R66,U66),2),0)</f>
        <v>0</v>
      </c>
      <c r="W66" s="4"/>
    </row>
    <row r="67" customFormat="false" ht="18" hidden="false" customHeight="true" outlineLevel="0" collapsed="false">
      <c r="A67" s="31" t="n">
        <v>59</v>
      </c>
      <c r="B67" s="32"/>
      <c r="C67" s="32"/>
      <c r="D67" s="4"/>
      <c r="E67" s="4"/>
      <c r="F67" s="33" t="n">
        <f aca="false">F7</f>
        <v>4</v>
      </c>
      <c r="G67" s="4"/>
      <c r="H67" s="4"/>
      <c r="I67" s="33" t="n">
        <f aca="false">I7</f>
        <v>4</v>
      </c>
      <c r="J67" s="4"/>
      <c r="K67" s="4"/>
      <c r="L67" s="33" t="n">
        <f aca="false">L7</f>
        <v>4</v>
      </c>
      <c r="M67" s="4"/>
      <c r="N67" s="4"/>
      <c r="O67" s="33" t="n">
        <f aca="false">O7</f>
        <v>4</v>
      </c>
      <c r="P67" s="4"/>
      <c r="Q67" s="4"/>
      <c r="R67" s="33" t="n">
        <f aca="false">R7</f>
        <v>4</v>
      </c>
      <c r="S67" s="4"/>
      <c r="T67" s="4"/>
      <c r="U67" s="33" t="n">
        <f aca="false">U7</f>
        <v>4</v>
      </c>
      <c r="V67" s="34" t="n">
        <f aca="false">IFERROR(ROUND(((IFERROR(IF(D67="O",10,IF(D67="A+",9,IF(D67="A",8,IF(D67="B+",7,IF(D67="B",6,IF(D67="C",5,IF(D67="P",4,0))))))),0))*F67+(IFERROR(IF(G67="O",10,IF(G67="A+",9,IF(G67="A",8,IF(G67="B+",7,IF(G67="B",6,IF(G67="C",5,IF(G67="P",4,0))))))),0))*I67+(IFERROR(IF(J67="O",10,IF(J67="A+",9,IF(J67="A",8,IF(J67="B+",7,IF(J67="B",6,IF(J67="C",5,IF(J67="P",4,0))))))),0))*L67+(IFERROR(IF(M67="O",10,IF(M67="A+",9,IF(M67="A",8,IF(M67="B+",7,IF(M67="B",6,IF(M67="C",5,IF(M67="P",4,0))))))),0))*O67+(IFERROR(IF(P67="O",10,IF(P67="A+",9,IF(P67="A",8,IF(P67="B+",7,IF(P67="B",6,IF(P67="C",5,IF(P67="P",4,0))))))),0))*R67+(IFERROR(IF(S67="O",10,IF(S67="A+",9,IF(S67="A",8,IF(S67="B+",7,IF(S67="B",6,IF(S67="C",5,IF(S67="P",4,0))))))),0))*U67)/SUM(F67,I67,L67,O67,R67,U67),2),0)</f>
        <v>0</v>
      </c>
      <c r="W67" s="4"/>
    </row>
    <row r="68" customFormat="false" ht="18" hidden="false" customHeight="true" outlineLevel="0" collapsed="false">
      <c r="A68" s="35" t="n">
        <v>60</v>
      </c>
      <c r="B68" s="32"/>
      <c r="C68" s="32"/>
      <c r="D68" s="4"/>
      <c r="E68" s="4"/>
      <c r="F68" s="33" t="n">
        <f aca="false">F7</f>
        <v>4</v>
      </c>
      <c r="G68" s="4"/>
      <c r="H68" s="4"/>
      <c r="I68" s="33" t="n">
        <f aca="false">I7</f>
        <v>4</v>
      </c>
      <c r="J68" s="4"/>
      <c r="K68" s="4"/>
      <c r="L68" s="33" t="n">
        <f aca="false">L7</f>
        <v>4</v>
      </c>
      <c r="M68" s="4"/>
      <c r="N68" s="4"/>
      <c r="O68" s="33" t="n">
        <f aca="false">O7</f>
        <v>4</v>
      </c>
      <c r="P68" s="4"/>
      <c r="Q68" s="4"/>
      <c r="R68" s="33" t="n">
        <f aca="false">R7</f>
        <v>4</v>
      </c>
      <c r="S68" s="4"/>
      <c r="T68" s="4"/>
      <c r="U68" s="33" t="n">
        <f aca="false">U7</f>
        <v>4</v>
      </c>
      <c r="V68" s="34" t="n">
        <f aca="false">IFERROR(ROUND(((IFERROR(IF(D68="O",10,IF(D68="A+",9,IF(D68="A",8,IF(D68="B+",7,IF(D68="B",6,IF(D68="C",5,IF(D68="P",4,0))))))),0))*F68+(IFERROR(IF(G68="O",10,IF(G68="A+",9,IF(G68="A",8,IF(G68="B+",7,IF(G68="B",6,IF(G68="C",5,IF(G68="P",4,0))))))),0))*I68+(IFERROR(IF(J68="O",10,IF(J68="A+",9,IF(J68="A",8,IF(J68="B+",7,IF(J68="B",6,IF(J68="C",5,IF(J68="P",4,0))))))),0))*L68+(IFERROR(IF(M68="O",10,IF(M68="A+",9,IF(M68="A",8,IF(M68="B+",7,IF(M68="B",6,IF(M68="C",5,IF(M68="P",4,0))))))),0))*O68+(IFERROR(IF(P68="O",10,IF(P68="A+",9,IF(P68="A",8,IF(P68="B+",7,IF(P68="B",6,IF(P68="C",5,IF(P68="P",4,0))))))),0))*R68+(IFERROR(IF(S68="O",10,IF(S68="A+",9,IF(S68="A",8,IF(S68="B+",7,IF(S68="B",6,IF(S68="C",5,IF(S68="P",4,0))))))),0))*U68)/SUM(F68,I68,L68,O68,R68,U68),2),0)</f>
        <v>0</v>
      </c>
      <c r="W68" s="4"/>
    </row>
    <row r="69" customFormat="false" ht="19.5" hidden="false" customHeight="true" outlineLevel="0" collapsed="false">
      <c r="A69" s="36" t="s">
        <v>34</v>
      </c>
      <c r="B69" s="36"/>
      <c r="C69" s="36"/>
      <c r="D69" s="37" t="n">
        <f aca="false">COUNTIF(D9:D68,"O")</f>
        <v>0</v>
      </c>
      <c r="E69" s="38"/>
      <c r="F69" s="38"/>
      <c r="G69" s="37" t="n">
        <f aca="false">COUNTIF(G9:G68,"O")</f>
        <v>0</v>
      </c>
      <c r="H69" s="38"/>
      <c r="I69" s="38"/>
      <c r="J69" s="37" t="n">
        <f aca="false">COUNTIF(J9:J68,"O")</f>
        <v>0</v>
      </c>
      <c r="K69" s="38"/>
      <c r="L69" s="38"/>
      <c r="M69" s="37" t="n">
        <f aca="false">COUNTIF(M9:M68,"O")</f>
        <v>0</v>
      </c>
      <c r="N69" s="38"/>
      <c r="O69" s="38"/>
      <c r="P69" s="37" t="n">
        <f aca="false">COUNTIF(P9:P68,"O")</f>
        <v>0</v>
      </c>
      <c r="Q69" s="38"/>
      <c r="R69" s="38"/>
      <c r="S69" s="37" t="n">
        <f aca="false">COUNTIF(S9:S68,"O")</f>
        <v>0</v>
      </c>
      <c r="T69" s="38"/>
      <c r="U69" s="38"/>
      <c r="V69" s="38"/>
      <c r="W69" s="38"/>
    </row>
    <row r="70" customFormat="false" ht="19.5" hidden="false" customHeight="true" outlineLevel="0" collapsed="false">
      <c r="A70" s="39" t="s">
        <v>35</v>
      </c>
      <c r="B70" s="39"/>
      <c r="C70" s="39"/>
      <c r="D70" s="40" t="n">
        <f aca="false">COUNTIF(D9:D68,"A+")</f>
        <v>0</v>
      </c>
      <c r="E70" s="41"/>
      <c r="F70" s="41"/>
      <c r="G70" s="40" t="n">
        <f aca="false">COUNTIF(G9:G68,"A+")</f>
        <v>0</v>
      </c>
      <c r="H70" s="41"/>
      <c r="I70" s="41"/>
      <c r="J70" s="40" t="n">
        <f aca="false">COUNTIF(J9:J68,"A+")</f>
        <v>0</v>
      </c>
      <c r="K70" s="41"/>
      <c r="L70" s="41"/>
      <c r="M70" s="40" t="n">
        <f aca="false">COUNTIF(M9:M68,"A+")</f>
        <v>0</v>
      </c>
      <c r="N70" s="41"/>
      <c r="O70" s="41"/>
      <c r="P70" s="40" t="n">
        <f aca="false">COUNTIF(P9:P68,"A+")</f>
        <v>0</v>
      </c>
      <c r="Q70" s="41"/>
      <c r="R70" s="41"/>
      <c r="S70" s="40" t="n">
        <f aca="false">COUNTIF(S9:S68,"A+")</f>
        <v>0</v>
      </c>
      <c r="T70" s="41"/>
      <c r="U70" s="41"/>
      <c r="V70" s="41"/>
      <c r="W70" s="41"/>
    </row>
    <row r="71" customFormat="false" ht="19.5" hidden="false" customHeight="true" outlineLevel="0" collapsed="false">
      <c r="A71" s="42" t="s">
        <v>36</v>
      </c>
      <c r="B71" s="42"/>
      <c r="C71" s="42"/>
      <c r="D71" s="43" t="n">
        <f aca="false">COUNTIF(D9:D68,"A")</f>
        <v>0</v>
      </c>
      <c r="E71" s="44"/>
      <c r="F71" s="44"/>
      <c r="G71" s="43" t="n">
        <f aca="false">COUNTIF(G9:G68,"A")</f>
        <v>0</v>
      </c>
      <c r="H71" s="44"/>
      <c r="I71" s="44"/>
      <c r="J71" s="43" t="n">
        <f aca="false">COUNTIF(J9:J68,"A")</f>
        <v>0</v>
      </c>
      <c r="K71" s="44"/>
      <c r="L71" s="44"/>
      <c r="M71" s="43" t="n">
        <f aca="false">COUNTIF(M9:M68,"A")</f>
        <v>0</v>
      </c>
      <c r="N71" s="44"/>
      <c r="O71" s="44"/>
      <c r="P71" s="43" t="n">
        <f aca="false">COUNTIF(P9:P68,"A")</f>
        <v>0</v>
      </c>
      <c r="Q71" s="44"/>
      <c r="R71" s="44"/>
      <c r="S71" s="43" t="n">
        <f aca="false">COUNTIF(S9:S68,"A")</f>
        <v>0</v>
      </c>
      <c r="T71" s="44"/>
      <c r="U71" s="44"/>
      <c r="V71" s="44"/>
      <c r="W71" s="44"/>
    </row>
    <row r="72" customFormat="false" ht="19.5" hidden="false" customHeight="true" outlineLevel="0" collapsed="false">
      <c r="A72" s="45" t="s">
        <v>37</v>
      </c>
      <c r="B72" s="45"/>
      <c r="C72" s="45"/>
      <c r="D72" s="46" t="n">
        <f aca="false">COUNTIF(D9:D68,"B+")</f>
        <v>0</v>
      </c>
      <c r="E72" s="47"/>
      <c r="F72" s="47"/>
      <c r="G72" s="46" t="n">
        <f aca="false">COUNTIF(G9:G68,"B+")</f>
        <v>0</v>
      </c>
      <c r="H72" s="47"/>
      <c r="I72" s="47"/>
      <c r="J72" s="46" t="n">
        <f aca="false">COUNTIF(J9:J68,"B+")</f>
        <v>0</v>
      </c>
      <c r="K72" s="47"/>
      <c r="L72" s="47"/>
      <c r="M72" s="46" t="n">
        <f aca="false">COUNTIF(M9:M68,"B+")</f>
        <v>0</v>
      </c>
      <c r="N72" s="47"/>
      <c r="O72" s="47"/>
      <c r="P72" s="46" t="n">
        <f aca="false">COUNTIF(P9:P68,"B+")</f>
        <v>0</v>
      </c>
      <c r="Q72" s="47"/>
      <c r="R72" s="47"/>
      <c r="S72" s="46" t="n">
        <f aca="false">COUNTIF(S9:S68,"B+")</f>
        <v>0</v>
      </c>
      <c r="T72" s="47"/>
      <c r="U72" s="47"/>
      <c r="V72" s="47"/>
      <c r="W72" s="47"/>
    </row>
    <row r="73" customFormat="false" ht="19.5" hidden="false" customHeight="true" outlineLevel="0" collapsed="false">
      <c r="A73" s="48" t="s">
        <v>38</v>
      </c>
      <c r="B73" s="48"/>
      <c r="C73" s="48"/>
      <c r="D73" s="49" t="n">
        <f aca="false">COUNTIF(D9:D68,"B")</f>
        <v>0</v>
      </c>
      <c r="E73" s="50"/>
      <c r="F73" s="50"/>
      <c r="G73" s="49" t="n">
        <f aca="false">COUNTIF(G9:G68,"B")</f>
        <v>0</v>
      </c>
      <c r="H73" s="50"/>
      <c r="I73" s="50"/>
      <c r="J73" s="49" t="n">
        <f aca="false">COUNTIF(J9:J68,"B")</f>
        <v>0</v>
      </c>
      <c r="K73" s="50"/>
      <c r="L73" s="50"/>
      <c r="M73" s="49" t="n">
        <f aca="false">COUNTIF(M9:M68,"B")</f>
        <v>0</v>
      </c>
      <c r="N73" s="50"/>
      <c r="O73" s="50"/>
      <c r="P73" s="49" t="n">
        <f aca="false">COUNTIF(P9:P68,"B")</f>
        <v>0</v>
      </c>
      <c r="Q73" s="50"/>
      <c r="R73" s="50"/>
      <c r="S73" s="49" t="n">
        <f aca="false">COUNTIF(S9:S68,"B")</f>
        <v>0</v>
      </c>
      <c r="T73" s="50"/>
      <c r="U73" s="50"/>
      <c r="V73" s="50"/>
      <c r="W73" s="50"/>
    </row>
    <row r="74" customFormat="false" ht="19.5" hidden="false" customHeight="true" outlineLevel="0" collapsed="false">
      <c r="A74" s="51" t="s">
        <v>39</v>
      </c>
      <c r="B74" s="51"/>
      <c r="C74" s="51"/>
      <c r="D74" s="52" t="n">
        <f aca="false">COUNTIF(D9:D68,"C")</f>
        <v>0</v>
      </c>
      <c r="E74" s="53"/>
      <c r="F74" s="53"/>
      <c r="G74" s="52" t="n">
        <f aca="false">COUNTIF(G9:G68,"C")</f>
        <v>0</v>
      </c>
      <c r="H74" s="53"/>
      <c r="I74" s="53"/>
      <c r="J74" s="52" t="n">
        <f aca="false">COUNTIF(J9:J68,"C")</f>
        <v>0</v>
      </c>
      <c r="K74" s="53"/>
      <c r="L74" s="53"/>
      <c r="M74" s="52" t="n">
        <f aca="false">COUNTIF(M9:M68,"C")</f>
        <v>0</v>
      </c>
      <c r="N74" s="53"/>
      <c r="O74" s="53"/>
      <c r="P74" s="52" t="n">
        <f aca="false">COUNTIF(P9:P68,"C")</f>
        <v>0</v>
      </c>
      <c r="Q74" s="53"/>
      <c r="R74" s="53"/>
      <c r="S74" s="52" t="n">
        <f aca="false">COUNTIF(S9:S68,"C")</f>
        <v>0</v>
      </c>
      <c r="T74" s="53"/>
      <c r="U74" s="53"/>
      <c r="V74" s="53"/>
      <c r="W74" s="53"/>
    </row>
    <row r="75" customFormat="false" ht="19.5" hidden="false" customHeight="true" outlineLevel="0" collapsed="false">
      <c r="A75" s="54" t="s">
        <v>40</v>
      </c>
      <c r="B75" s="54"/>
      <c r="C75" s="54"/>
      <c r="D75" s="55" t="n">
        <f aca="false">COUNTIF(D9:D68,"P")</f>
        <v>0</v>
      </c>
      <c r="E75" s="56"/>
      <c r="F75" s="56"/>
      <c r="G75" s="55" t="n">
        <f aca="false">COUNTIF(G9:G68,"P")</f>
        <v>0</v>
      </c>
      <c r="H75" s="56"/>
      <c r="I75" s="56"/>
      <c r="J75" s="55" t="n">
        <f aca="false">COUNTIF(J9:J68,"P")</f>
        <v>0</v>
      </c>
      <c r="K75" s="56"/>
      <c r="L75" s="56"/>
      <c r="M75" s="55" t="n">
        <f aca="false">COUNTIF(M9:M68,"P")</f>
        <v>0</v>
      </c>
      <c r="N75" s="56"/>
      <c r="O75" s="56"/>
      <c r="P75" s="55" t="n">
        <f aca="false">COUNTIF(P9:P68,"P")</f>
        <v>0</v>
      </c>
      <c r="Q75" s="56"/>
      <c r="R75" s="56"/>
      <c r="S75" s="55" t="n">
        <f aca="false">COUNTIF(S9:S68,"P")</f>
        <v>0</v>
      </c>
      <c r="T75" s="56"/>
      <c r="U75" s="56"/>
      <c r="V75" s="56"/>
      <c r="W75" s="56"/>
    </row>
    <row r="76" customFormat="false" ht="19.5" hidden="false" customHeight="true" outlineLevel="0" collapsed="false">
      <c r="A76" s="57" t="s">
        <v>41</v>
      </c>
      <c r="B76" s="57"/>
      <c r="C76" s="57"/>
      <c r="D76" s="58" t="n">
        <f aca="false">COUNTIF(D9:D68,"F")</f>
        <v>0</v>
      </c>
      <c r="E76" s="59"/>
      <c r="F76" s="59"/>
      <c r="G76" s="58" t="n">
        <f aca="false">COUNTIF(G9:G68,"F")</f>
        <v>0</v>
      </c>
      <c r="H76" s="59"/>
      <c r="I76" s="59"/>
      <c r="J76" s="58" t="n">
        <f aca="false">COUNTIF(J9:J68,"F")</f>
        <v>0</v>
      </c>
      <c r="K76" s="59"/>
      <c r="L76" s="59"/>
      <c r="M76" s="58" t="n">
        <f aca="false">COUNTIF(M9:M68,"F")</f>
        <v>0</v>
      </c>
      <c r="N76" s="59"/>
      <c r="O76" s="59"/>
      <c r="P76" s="58" t="n">
        <f aca="false">COUNTIF(P9:P68,"F")</f>
        <v>0</v>
      </c>
      <c r="Q76" s="59"/>
      <c r="R76" s="59"/>
      <c r="S76" s="58" t="n">
        <f aca="false">COUNTIF(S9:S68,"F")</f>
        <v>0</v>
      </c>
      <c r="T76" s="59"/>
      <c r="U76" s="59"/>
      <c r="V76" s="59"/>
      <c r="W76" s="59"/>
    </row>
    <row r="77" customFormat="false" ht="21.75" hidden="false" customHeight="true" outlineLevel="0" collapsed="false">
      <c r="A77" s="51" t="s">
        <v>42</v>
      </c>
      <c r="B77" s="51"/>
      <c r="C77" s="51"/>
      <c r="D77" s="53"/>
      <c r="E77" s="53"/>
      <c r="F77" s="53"/>
      <c r="G77" s="53"/>
      <c r="H77" s="53"/>
      <c r="I77" s="53"/>
      <c r="J77" s="53"/>
      <c r="K77" s="53"/>
      <c r="L77" s="53"/>
      <c r="M77" s="53"/>
      <c r="N77" s="53"/>
      <c r="O77" s="53"/>
      <c r="P77" s="53"/>
      <c r="Q77" s="53"/>
      <c r="R77" s="53"/>
      <c r="S77" s="53"/>
      <c r="T77" s="53"/>
      <c r="U77" s="53"/>
      <c r="V77" s="52" t="n">
        <f aca="false">COUNTIF(V9:V68,"&lt;5")</f>
        <v>60</v>
      </c>
      <c r="W77" s="53"/>
    </row>
    <row r="78" customFormat="false" ht="21.75" hidden="false" customHeight="true" outlineLevel="0" collapsed="false">
      <c r="A78" s="48" t="s">
        <v>43</v>
      </c>
      <c r="B78" s="48"/>
      <c r="C78" s="48"/>
      <c r="D78" s="50"/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49" t="n">
        <f aca="false">COUNTIF(V9:V68,"&lt;6")</f>
        <v>60</v>
      </c>
      <c r="W78" s="50"/>
    </row>
    <row r="79" customFormat="false" ht="21.75" hidden="false" customHeight="true" outlineLevel="0" collapsed="false">
      <c r="A79" s="60" t="s">
        <v>44</v>
      </c>
      <c r="B79" s="60"/>
      <c r="C79" s="60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61" t="n">
        <f aca="false">COUNTA(B9:B68)</f>
        <v>0</v>
      </c>
      <c r="W79" s="14"/>
    </row>
    <row r="80" customFormat="false" ht="21.75" hidden="false" customHeight="true" outlineLevel="0" collapsed="false">
      <c r="A80" s="42" t="s">
        <v>45</v>
      </c>
      <c r="B80" s="42"/>
      <c r="C80" s="42"/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3" t="n">
        <f aca="false">COUNTIF(V9:V68,"&gt;=4")</f>
        <v>0</v>
      </c>
      <c r="W80" s="44"/>
    </row>
    <row r="81" customFormat="false" ht="21.75" hidden="false" customHeight="true" outlineLevel="0" collapsed="false">
      <c r="A81" s="54" t="s">
        <v>46</v>
      </c>
      <c r="B81" s="54"/>
      <c r="C81" s="54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62" t="n">
        <f aca="false">IFERROR(V80/V79*100,0)</f>
        <v>0</v>
      </c>
      <c r="W81" s="56"/>
    </row>
    <row r="83" customFormat="false" ht="18" hidden="false" customHeight="true" outlineLevel="0" collapsed="false">
      <c r="A83" s="63" t="s">
        <v>47</v>
      </c>
      <c r="B83" s="63"/>
      <c r="C83" s="63"/>
      <c r="D83" s="63"/>
      <c r="E83" s="63"/>
      <c r="F83" s="63"/>
      <c r="G83" s="63"/>
      <c r="H83" s="63"/>
      <c r="I83" s="63"/>
      <c r="J83" s="63"/>
      <c r="K83" s="63"/>
      <c r="L83" s="63"/>
      <c r="M83" s="63"/>
      <c r="N83" s="63"/>
      <c r="O83" s="63"/>
      <c r="P83" s="63"/>
      <c r="Q83" s="63"/>
      <c r="R83" s="63"/>
      <c r="S83" s="63"/>
      <c r="T83" s="63"/>
      <c r="U83" s="63"/>
      <c r="V83" s="63"/>
      <c r="W83" s="63"/>
    </row>
    <row r="84" customFormat="false" ht="27.75" hidden="false" customHeight="true" outlineLevel="0" collapsed="false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</row>
    <row r="85" customFormat="false" ht="27.75" hidden="false" customHeight="true" outlineLevel="0" collapsed="false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</row>
    <row r="86" customFormat="false" ht="27.75" hidden="false" customHeight="true" outlineLevel="0" collapsed="false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</row>
    <row r="88" customFormat="false" ht="31.5" hidden="false" customHeight="true" outlineLevel="0" collapsed="false">
      <c r="A88" s="65" t="s">
        <v>48</v>
      </c>
      <c r="B88" s="65"/>
      <c r="C88" s="65"/>
      <c r="D88" s="65"/>
      <c r="E88" s="65"/>
      <c r="F88" s="65" t="s">
        <v>49</v>
      </c>
      <c r="G88" s="65"/>
      <c r="H88" s="65"/>
      <c r="I88" s="65"/>
      <c r="J88" s="65"/>
      <c r="K88" s="65"/>
      <c r="L88" s="65"/>
      <c r="M88" s="65" t="s">
        <v>50</v>
      </c>
      <c r="N88" s="65"/>
      <c r="O88" s="65"/>
      <c r="P88" s="65"/>
      <c r="Q88" s="65"/>
      <c r="R88" s="65"/>
      <c r="S88" s="65" t="s">
        <v>51</v>
      </c>
      <c r="T88" s="65"/>
      <c r="U88" s="65"/>
      <c r="V88" s="65"/>
      <c r="W88" s="65"/>
    </row>
  </sheetData>
  <mergeCells count="32">
    <mergeCell ref="A1:X1"/>
    <mergeCell ref="B3:C3"/>
    <mergeCell ref="E3:F3"/>
    <mergeCell ref="D5:F5"/>
    <mergeCell ref="G5:I5"/>
    <mergeCell ref="J5:L5"/>
    <mergeCell ref="M5:O5"/>
    <mergeCell ref="P5:R5"/>
    <mergeCell ref="S5:U5"/>
    <mergeCell ref="A7:C7"/>
    <mergeCell ref="A8:C8"/>
    <mergeCell ref="A69:C69"/>
    <mergeCell ref="A70:C70"/>
    <mergeCell ref="A71:C71"/>
    <mergeCell ref="A72:C72"/>
    <mergeCell ref="A73:C73"/>
    <mergeCell ref="A74:C74"/>
    <mergeCell ref="A75:C75"/>
    <mergeCell ref="A76:C76"/>
    <mergeCell ref="A77:C77"/>
    <mergeCell ref="A78:C78"/>
    <mergeCell ref="A79:C79"/>
    <mergeCell ref="A80:C80"/>
    <mergeCell ref="A81:C81"/>
    <mergeCell ref="A83:W83"/>
    <mergeCell ref="A84:W84"/>
    <mergeCell ref="A85:W85"/>
    <mergeCell ref="A86:W86"/>
    <mergeCell ref="A88:E88"/>
    <mergeCell ref="F88:L88"/>
    <mergeCell ref="M88:R88"/>
    <mergeCell ref="S88:W8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30"/>
    <col collapsed="false" customWidth="true" hidden="false" outlineLevel="0" max="3" min="3" style="1" width="12"/>
    <col collapsed="false" customWidth="true" hidden="false" outlineLevel="0" max="4" min="4" style="1" width="22"/>
    <col collapsed="false" customWidth="true" hidden="false" outlineLevel="0" max="5" min="5" style="1" width="10"/>
    <col collapsed="false" customWidth="true" hidden="false" outlineLevel="0" max="6" min="6" style="1" width="12"/>
    <col collapsed="false" customWidth="true" hidden="false" outlineLevel="0" max="10" min="7" style="1" width="14"/>
    <col collapsed="false" customWidth="true" hidden="false" outlineLevel="0" max="11" min="11" style="1" width="16"/>
    <col collapsed="false" customWidth="true" hidden="false" outlineLevel="0" max="12" min="12" style="1" width="20"/>
  </cols>
  <sheetData>
    <row r="1" customFormat="false" ht="36" hidden="false" customHeight="true" outlineLevel="0" collapsed="false">
      <c r="A1" s="2" t="s">
        <v>52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</row>
    <row r="2" customFormat="false" ht="21.75" hidden="false" customHeight="true" outlineLevel="0" collapsed="false">
      <c r="A2" s="3" t="s">
        <v>1</v>
      </c>
      <c r="B2" s="4"/>
      <c r="C2" s="3" t="s">
        <v>2</v>
      </c>
      <c r="D2" s="4"/>
      <c r="F2" s="3" t="s">
        <v>3</v>
      </c>
      <c r="G2" s="4"/>
    </row>
    <row r="3" customFormat="false" ht="19.5" hidden="false" customHeight="true" outlineLevel="0" collapsed="false">
      <c r="A3" s="3" t="s">
        <v>4</v>
      </c>
      <c r="B3" s="4"/>
      <c r="C3" s="3" t="s">
        <v>5</v>
      </c>
      <c r="D3" s="4"/>
      <c r="E3" s="3" t="s">
        <v>6</v>
      </c>
      <c r="F3" s="4"/>
      <c r="G3" s="3" t="s">
        <v>7</v>
      </c>
      <c r="H3" s="4"/>
    </row>
    <row r="4" customFormat="false" ht="6" hidden="false" customHeight="true" outlineLevel="0" collapsed="false"/>
    <row r="5" customFormat="false" ht="43.5" hidden="false" customHeight="true" outlineLevel="0" collapsed="false">
      <c r="A5" s="66" t="s">
        <v>53</v>
      </c>
      <c r="B5" s="67" t="s">
        <v>54</v>
      </c>
      <c r="C5" s="67" t="s">
        <v>55</v>
      </c>
      <c r="D5" s="67" t="s">
        <v>56</v>
      </c>
      <c r="E5" s="68" t="s">
        <v>57</v>
      </c>
      <c r="F5" s="69" t="s">
        <v>58</v>
      </c>
      <c r="G5" s="69" t="s">
        <v>59</v>
      </c>
      <c r="H5" s="70" t="s">
        <v>60</v>
      </c>
      <c r="I5" s="69" t="s">
        <v>61</v>
      </c>
      <c r="J5" s="71" t="s">
        <v>62</v>
      </c>
      <c r="K5" s="69" t="s">
        <v>63</v>
      </c>
      <c r="L5" s="66" t="s">
        <v>64</v>
      </c>
    </row>
    <row r="6" customFormat="false" ht="21.75" hidden="false" customHeight="true" outlineLevel="0" collapsed="false">
      <c r="A6" s="31" t="n">
        <v>1</v>
      </c>
      <c r="B6" s="32" t="s">
        <v>65</v>
      </c>
      <c r="C6" s="4" t="s">
        <v>23</v>
      </c>
      <c r="D6" s="4"/>
      <c r="E6" s="26" t="s">
        <v>66</v>
      </c>
      <c r="F6" s="4"/>
      <c r="G6" s="4"/>
      <c r="H6" s="4"/>
      <c r="I6" s="4"/>
      <c r="J6" s="72" t="n">
        <f aca="false">IFERROR(G6-H6-I6,0)</f>
        <v>0</v>
      </c>
      <c r="K6" s="73" t="n">
        <f aca="false">IFERROR(IF(G6=0,0,ROUND(I6/G6*100,1)),0)</f>
        <v>0</v>
      </c>
      <c r="L6" s="74"/>
    </row>
    <row r="7" customFormat="false" ht="21.75" hidden="false" customHeight="true" outlineLevel="0" collapsed="false">
      <c r="A7" s="35" t="n">
        <v>2</v>
      </c>
      <c r="B7" s="32" t="s">
        <v>67</v>
      </c>
      <c r="C7" s="4" t="s">
        <v>24</v>
      </c>
      <c r="D7" s="4"/>
      <c r="E7" s="75" t="s">
        <v>66</v>
      </c>
      <c r="F7" s="4"/>
      <c r="G7" s="4"/>
      <c r="H7" s="4"/>
      <c r="I7" s="4"/>
      <c r="J7" s="72" t="n">
        <f aca="false">IFERROR(G7-H7-I7,0)</f>
        <v>0</v>
      </c>
      <c r="K7" s="73" t="n">
        <f aca="false">IFERROR(IF(G7=0,0,ROUND(I7/G7*100,1)),0)</f>
        <v>0</v>
      </c>
      <c r="L7" s="74"/>
    </row>
    <row r="8" customFormat="false" ht="21.75" hidden="false" customHeight="true" outlineLevel="0" collapsed="false">
      <c r="A8" s="31" t="n">
        <v>3</v>
      </c>
      <c r="B8" s="32" t="s">
        <v>68</v>
      </c>
      <c r="C8" s="4" t="s">
        <v>25</v>
      </c>
      <c r="D8" s="4"/>
      <c r="E8" s="26" t="s">
        <v>66</v>
      </c>
      <c r="F8" s="4"/>
      <c r="G8" s="4"/>
      <c r="H8" s="4"/>
      <c r="I8" s="4"/>
      <c r="J8" s="72" t="n">
        <f aca="false">IFERROR(G8-H8-I8,0)</f>
        <v>0</v>
      </c>
      <c r="K8" s="73" t="n">
        <f aca="false">IFERROR(IF(G8=0,0,ROUND(I8/G8*100,1)),0)</f>
        <v>0</v>
      </c>
      <c r="L8" s="74"/>
    </row>
    <row r="9" customFormat="false" ht="21.75" hidden="false" customHeight="true" outlineLevel="0" collapsed="false">
      <c r="A9" s="35" t="n">
        <v>4</v>
      </c>
      <c r="B9" s="32" t="s">
        <v>69</v>
      </c>
      <c r="C9" s="4" t="s">
        <v>26</v>
      </c>
      <c r="D9" s="4"/>
      <c r="E9" s="75" t="s">
        <v>66</v>
      </c>
      <c r="F9" s="4"/>
      <c r="G9" s="4"/>
      <c r="H9" s="4"/>
      <c r="I9" s="4"/>
      <c r="J9" s="72" t="n">
        <f aca="false">IFERROR(G9-H9-I9,0)</f>
        <v>0</v>
      </c>
      <c r="K9" s="73" t="n">
        <f aca="false">IFERROR(IF(G9=0,0,ROUND(I9/G9*100,1)),0)</f>
        <v>0</v>
      </c>
      <c r="L9" s="74"/>
    </row>
    <row r="10" customFormat="false" ht="21.75" hidden="false" customHeight="true" outlineLevel="0" collapsed="false">
      <c r="A10" s="31" t="n">
        <v>5</v>
      </c>
      <c r="B10" s="32" t="s">
        <v>70</v>
      </c>
      <c r="C10" s="4" t="s">
        <v>27</v>
      </c>
      <c r="D10" s="4"/>
      <c r="E10" s="26" t="s">
        <v>66</v>
      </c>
      <c r="F10" s="4"/>
      <c r="G10" s="4"/>
      <c r="H10" s="4"/>
      <c r="I10" s="4"/>
      <c r="J10" s="72" t="n">
        <f aca="false">IFERROR(G10-H10-I10,0)</f>
        <v>0</v>
      </c>
      <c r="K10" s="73" t="n">
        <f aca="false">IFERROR(IF(G10=0,0,ROUND(I10/G10*100,1)),0)</f>
        <v>0</v>
      </c>
      <c r="L10" s="74"/>
    </row>
    <row r="11" customFormat="false" ht="21.75" hidden="false" customHeight="true" outlineLevel="0" collapsed="false">
      <c r="A11" s="35" t="n">
        <v>6</v>
      </c>
      <c r="B11" s="32" t="s">
        <v>71</v>
      </c>
      <c r="C11" s="4" t="s">
        <v>28</v>
      </c>
      <c r="D11" s="4"/>
      <c r="E11" s="75" t="s">
        <v>66</v>
      </c>
      <c r="F11" s="4"/>
      <c r="G11" s="4"/>
      <c r="H11" s="4"/>
      <c r="I11" s="4"/>
      <c r="J11" s="72" t="n">
        <f aca="false">IFERROR(G11-H11-I11,0)</f>
        <v>0</v>
      </c>
      <c r="K11" s="73" t="n">
        <f aca="false">IFERROR(IF(G11=0,0,ROUND(I11/G11*100,1)),0)</f>
        <v>0</v>
      </c>
      <c r="L11" s="74"/>
    </row>
    <row r="12" customFormat="false" ht="24" hidden="false" customHeight="true" outlineLevel="0" collapsed="false">
      <c r="A12" s="76" t="s">
        <v>72</v>
      </c>
      <c r="B12" s="76"/>
      <c r="C12" s="76"/>
      <c r="D12" s="76"/>
      <c r="E12" s="76"/>
      <c r="F12" s="61" t="n">
        <f aca="false">SUM(F6:F11)</f>
        <v>0</v>
      </c>
      <c r="G12" s="61" t="n">
        <f aca="false">SUM(G6:G11)</f>
        <v>0</v>
      </c>
      <c r="H12" s="61" t="n">
        <f aca="false">SUM(H6:H11)</f>
        <v>0</v>
      </c>
      <c r="I12" s="43" t="n">
        <f aca="false">SUM(I6:I11)</f>
        <v>0</v>
      </c>
      <c r="J12" s="77" t="n">
        <f aca="false">SUM(J6:J11)</f>
        <v>0</v>
      </c>
      <c r="K12" s="78" t="n">
        <f aca="false">IFERROR(ROUND(I12/G12*100,1),0)</f>
        <v>0</v>
      </c>
      <c r="L12" s="14"/>
    </row>
    <row r="14" customFormat="false" ht="31.5" hidden="false" customHeight="true" outlineLevel="0" collapsed="false">
      <c r="A14" s="79" t="s">
        <v>73</v>
      </c>
      <c r="B14" s="79"/>
      <c r="C14" s="79"/>
      <c r="D14" s="79" t="s">
        <v>50</v>
      </c>
      <c r="E14" s="79"/>
      <c r="F14" s="79"/>
      <c r="G14" s="79"/>
      <c r="H14" s="79"/>
      <c r="I14" s="79" t="s">
        <v>74</v>
      </c>
      <c r="J14" s="79"/>
      <c r="K14" s="79"/>
      <c r="L14" s="79"/>
    </row>
  </sheetData>
  <mergeCells count="5">
    <mergeCell ref="A1:M1"/>
    <mergeCell ref="A12:E12"/>
    <mergeCell ref="A14:C14"/>
    <mergeCell ref="D14:H14"/>
    <mergeCell ref="I14:L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6"/>
    <col collapsed="false" customWidth="true" hidden="false" outlineLevel="0" max="2" min="2" style="1" width="28"/>
    <col collapsed="false" customWidth="true" hidden="false" outlineLevel="0" max="3" min="3" style="1" width="12"/>
    <col collapsed="false" customWidth="true" hidden="false" outlineLevel="0" max="7" min="4" style="1" width="14"/>
  </cols>
  <sheetData>
    <row r="1" customFormat="false" ht="36" hidden="false" customHeight="true" outlineLevel="0" collapsed="false">
      <c r="A1" s="2" t="s">
        <v>75</v>
      </c>
      <c r="B1" s="2"/>
      <c r="C1" s="2"/>
      <c r="D1" s="2"/>
      <c r="E1" s="2"/>
      <c r="F1" s="2"/>
      <c r="G1" s="2"/>
      <c r="H1" s="2"/>
    </row>
    <row r="2" customFormat="false" ht="21.75" hidden="false" customHeight="true" outlineLevel="0" collapsed="false">
      <c r="A2" s="3" t="s">
        <v>1</v>
      </c>
      <c r="B2" s="4"/>
      <c r="C2" s="3" t="s">
        <v>2</v>
      </c>
      <c r="D2" s="4"/>
      <c r="F2" s="3" t="s">
        <v>3</v>
      </c>
      <c r="G2" s="4"/>
    </row>
    <row r="3" customFormat="false" ht="19.5" hidden="false" customHeight="true" outlineLevel="0" collapsed="false">
      <c r="A3" s="3" t="s">
        <v>4</v>
      </c>
      <c r="B3" s="4"/>
      <c r="C3" s="3" t="s">
        <v>5</v>
      </c>
      <c r="D3" s="4"/>
      <c r="E3" s="3" t="s">
        <v>6</v>
      </c>
      <c r="F3" s="4"/>
    </row>
    <row r="4" customFormat="false" ht="6" hidden="false" customHeight="true" outlineLevel="0" collapsed="false"/>
    <row r="5" customFormat="false" ht="21.75" hidden="false" customHeight="true" outlineLevel="0" collapsed="false">
      <c r="A5" s="80" t="s">
        <v>76</v>
      </c>
      <c r="B5" s="4"/>
      <c r="D5" s="81" t="s">
        <v>77</v>
      </c>
      <c r="E5" s="4"/>
      <c r="G5" s="82" t="s">
        <v>78</v>
      </c>
      <c r="H5" s="4"/>
    </row>
    <row r="6" customFormat="false" ht="7.5" hidden="false" customHeight="true" outlineLevel="0" collapsed="false"/>
    <row r="7" customFormat="false" ht="24" hidden="false" customHeight="true" outlineLevel="0" collapsed="false">
      <c r="A7" s="66" t="s">
        <v>53</v>
      </c>
      <c r="B7" s="67" t="s">
        <v>79</v>
      </c>
      <c r="C7" s="67" t="s">
        <v>55</v>
      </c>
      <c r="D7" s="69" t="s">
        <v>80</v>
      </c>
      <c r="E7" s="69" t="s">
        <v>81</v>
      </c>
      <c r="F7" s="71" t="s">
        <v>82</v>
      </c>
      <c r="G7" s="68" t="s">
        <v>83</v>
      </c>
    </row>
    <row r="8" customFormat="false" ht="21.75" hidden="false" customHeight="true" outlineLevel="0" collapsed="false">
      <c r="A8" s="31" t="n">
        <v>1</v>
      </c>
      <c r="B8" s="83" t="str">
        <f aca="false">'Subject-Wise Summary'!B6</f>
        <v>Course Name 1</v>
      </c>
      <c r="C8" s="26" t="str">
        <f aca="false">'Subject-Wise Summary'!C6</f>
        <v>SUBJ1</v>
      </c>
      <c r="D8" s="84" t="n">
        <f aca="false">'Subject-Wise Summary'!G6</f>
        <v>0</v>
      </c>
      <c r="E8" s="84" t="n">
        <f aca="false">'Subject-Wise Summary'!I6</f>
        <v>0</v>
      </c>
      <c r="F8" s="72" t="n">
        <f aca="false">'Subject-Wise Summary'!J6</f>
        <v>0</v>
      </c>
      <c r="G8" s="85" t="n">
        <f aca="false">'Subject-Wise Summary'!K6</f>
        <v>0</v>
      </c>
    </row>
    <row r="9" customFormat="false" ht="21.75" hidden="false" customHeight="true" outlineLevel="0" collapsed="false">
      <c r="A9" s="35" t="n">
        <v>2</v>
      </c>
      <c r="B9" s="86" t="str">
        <f aca="false">'Subject-Wise Summary'!B7</f>
        <v>Course Name 2</v>
      </c>
      <c r="C9" s="75" t="str">
        <f aca="false">'Subject-Wise Summary'!C7</f>
        <v>SUBJ2</v>
      </c>
      <c r="D9" s="84" t="n">
        <f aca="false">'Subject-Wise Summary'!G7</f>
        <v>0</v>
      </c>
      <c r="E9" s="84" t="n">
        <f aca="false">'Subject-Wise Summary'!I7</f>
        <v>0</v>
      </c>
      <c r="F9" s="72" t="n">
        <f aca="false">'Subject-Wise Summary'!J7</f>
        <v>0</v>
      </c>
      <c r="G9" s="85" t="n">
        <f aca="false">'Subject-Wise Summary'!K7</f>
        <v>0</v>
      </c>
    </row>
    <row r="10" customFormat="false" ht="21.75" hidden="false" customHeight="true" outlineLevel="0" collapsed="false">
      <c r="A10" s="31" t="n">
        <v>3</v>
      </c>
      <c r="B10" s="83" t="str">
        <f aca="false">'Subject-Wise Summary'!B8</f>
        <v>Course Name 3</v>
      </c>
      <c r="C10" s="26" t="str">
        <f aca="false">'Subject-Wise Summary'!C8</f>
        <v>SUBJ3</v>
      </c>
      <c r="D10" s="84" t="n">
        <f aca="false">'Subject-Wise Summary'!G8</f>
        <v>0</v>
      </c>
      <c r="E10" s="84" t="n">
        <f aca="false">'Subject-Wise Summary'!I8</f>
        <v>0</v>
      </c>
      <c r="F10" s="72" t="n">
        <f aca="false">'Subject-Wise Summary'!J8</f>
        <v>0</v>
      </c>
      <c r="G10" s="85" t="n">
        <f aca="false">'Subject-Wise Summary'!K8</f>
        <v>0</v>
      </c>
    </row>
    <row r="11" customFormat="false" ht="21.75" hidden="false" customHeight="true" outlineLevel="0" collapsed="false">
      <c r="A11" s="35" t="n">
        <v>4</v>
      </c>
      <c r="B11" s="86" t="str">
        <f aca="false">'Subject-Wise Summary'!B9</f>
        <v>Course Name 4</v>
      </c>
      <c r="C11" s="75" t="str">
        <f aca="false">'Subject-Wise Summary'!C9</f>
        <v>SUBJ4</v>
      </c>
      <c r="D11" s="84" t="n">
        <f aca="false">'Subject-Wise Summary'!G9</f>
        <v>0</v>
      </c>
      <c r="E11" s="84" t="n">
        <f aca="false">'Subject-Wise Summary'!I9</f>
        <v>0</v>
      </c>
      <c r="F11" s="72" t="n">
        <f aca="false">'Subject-Wise Summary'!J9</f>
        <v>0</v>
      </c>
      <c r="G11" s="85" t="n">
        <f aca="false">'Subject-Wise Summary'!K9</f>
        <v>0</v>
      </c>
    </row>
    <row r="12" customFormat="false" ht="21.75" hidden="false" customHeight="true" outlineLevel="0" collapsed="false">
      <c r="A12" s="31" t="n">
        <v>5</v>
      </c>
      <c r="B12" s="83" t="str">
        <f aca="false">'Subject-Wise Summary'!B10</f>
        <v>Course Name 5</v>
      </c>
      <c r="C12" s="26" t="str">
        <f aca="false">'Subject-Wise Summary'!C10</f>
        <v>SUBJ5</v>
      </c>
      <c r="D12" s="84" t="n">
        <f aca="false">'Subject-Wise Summary'!G10</f>
        <v>0</v>
      </c>
      <c r="E12" s="84" t="n">
        <f aca="false">'Subject-Wise Summary'!I10</f>
        <v>0</v>
      </c>
      <c r="F12" s="72" t="n">
        <f aca="false">'Subject-Wise Summary'!J10</f>
        <v>0</v>
      </c>
      <c r="G12" s="85" t="n">
        <f aca="false">'Subject-Wise Summary'!K10</f>
        <v>0</v>
      </c>
    </row>
    <row r="13" customFormat="false" ht="21.75" hidden="false" customHeight="true" outlineLevel="0" collapsed="false">
      <c r="A13" s="35" t="n">
        <v>6</v>
      </c>
      <c r="B13" s="86" t="str">
        <f aca="false">'Subject-Wise Summary'!B11</f>
        <v>Course Name 6</v>
      </c>
      <c r="C13" s="75" t="str">
        <f aca="false">'Subject-Wise Summary'!C11</f>
        <v>SUBJ6</v>
      </c>
      <c r="D13" s="84" t="n">
        <f aca="false">'Subject-Wise Summary'!G11</f>
        <v>0</v>
      </c>
      <c r="E13" s="84" t="n">
        <f aca="false">'Subject-Wise Summary'!I11</f>
        <v>0</v>
      </c>
      <c r="F13" s="72" t="n">
        <f aca="false">'Subject-Wise Summary'!J11</f>
        <v>0</v>
      </c>
      <c r="G13" s="85" t="n">
        <f aca="false">'Subject-Wise Summary'!K11</f>
        <v>0</v>
      </c>
    </row>
    <row r="14" customFormat="false" ht="24" hidden="false" customHeight="true" outlineLevel="0" collapsed="false">
      <c r="A14" s="87" t="s">
        <v>84</v>
      </c>
      <c r="B14" s="87"/>
      <c r="C14" s="87"/>
      <c r="D14" s="43" t="n">
        <f aca="false">SUM(D8:D13)</f>
        <v>0</v>
      </c>
      <c r="E14" s="43" t="n">
        <f aca="false">SUM(E8:E13)</f>
        <v>0</v>
      </c>
      <c r="F14" s="77" t="n">
        <f aca="false">SUM(F8:F13)</f>
        <v>0</v>
      </c>
      <c r="G14" s="62" t="n">
        <f aca="false">IFERROR(ROUND(E14/D14*100,1),0)</f>
        <v>0</v>
      </c>
    </row>
    <row r="46" customFormat="false" ht="31.5" hidden="false" customHeight="true" outlineLevel="0" collapsed="false">
      <c r="A46" s="79" t="s">
        <v>73</v>
      </c>
      <c r="B46" s="79"/>
      <c r="C46" s="79" t="s">
        <v>50</v>
      </c>
      <c r="D46" s="79"/>
      <c r="E46" s="79"/>
      <c r="F46" s="79" t="s">
        <v>74</v>
      </c>
      <c r="G46" s="79"/>
      <c r="H46" s="79"/>
    </row>
  </sheetData>
  <mergeCells count="5">
    <mergeCell ref="A1:H1"/>
    <mergeCell ref="A14:C14"/>
    <mergeCell ref="A46:B46"/>
    <mergeCell ref="C46:E46"/>
    <mergeCell ref="F46:H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18"/>
    <col collapsed="false" customWidth="true" hidden="false" outlineLevel="0" max="4" min="3" style="1" width="16"/>
    <col collapsed="false" customWidth="true" hidden="false" outlineLevel="0" max="15" min="5" style="1" width="12"/>
  </cols>
  <sheetData>
    <row r="1" customFormat="false" ht="36" hidden="false" customHeight="true" outlineLevel="0" collapsed="false">
      <c r="A1" s="2" t="s">
        <v>85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21.75" hidden="false" customHeight="true" outlineLevel="0" collapsed="false">
      <c r="A2" s="3" t="s">
        <v>1</v>
      </c>
      <c r="B2" s="4"/>
      <c r="C2" s="3" t="s">
        <v>2</v>
      </c>
      <c r="D2" s="4"/>
      <c r="F2" s="3" t="s">
        <v>3</v>
      </c>
      <c r="G2" s="4"/>
    </row>
    <row r="3" customFormat="false" ht="6" hidden="false" customHeight="true" outlineLevel="0" collapsed="false"/>
    <row r="4" customFormat="false" ht="24" hidden="false" customHeight="true" outlineLevel="0" collapsed="false">
      <c r="A4" s="88" t="s">
        <v>86</v>
      </c>
      <c r="B4" s="88"/>
      <c r="C4" s="88"/>
      <c r="D4" s="88"/>
      <c r="E4" s="88"/>
    </row>
    <row r="5" customFormat="false" ht="21.75" hidden="false" customHeight="true" outlineLevel="0" collapsed="false">
      <c r="A5" s="66" t="s">
        <v>87</v>
      </c>
      <c r="B5" s="69" t="s">
        <v>88</v>
      </c>
      <c r="C5" s="68" t="s">
        <v>89</v>
      </c>
      <c r="D5" s="70" t="s">
        <v>90</v>
      </c>
    </row>
    <row r="6" customFormat="false" ht="19.5" hidden="false" customHeight="true" outlineLevel="0" collapsed="false">
      <c r="A6" s="89" t="s">
        <v>91</v>
      </c>
      <c r="B6" s="90" t="n">
        <f aca="false">COUNTIF('Student-Wise Result'!V9:V68,"=10")</f>
        <v>0</v>
      </c>
      <c r="C6" s="91" t="n">
        <f aca="false">IFERROR(ROUND(B6/60*100,1),0)</f>
        <v>0</v>
      </c>
      <c r="D6" s="92" t="s">
        <v>92</v>
      </c>
    </row>
    <row r="7" customFormat="false" ht="19.5" hidden="false" customHeight="true" outlineLevel="0" collapsed="false">
      <c r="A7" s="93" t="s">
        <v>93</v>
      </c>
      <c r="B7" s="94" t="n">
        <f aca="false">COUNTIFS('Student-Wise Result'!V9:V68,"&gt;8.0",'Student-Wise Result'!V9:V68,"&lt;=9.99")</f>
        <v>0</v>
      </c>
      <c r="C7" s="95" t="n">
        <f aca="false">IFERROR(ROUND(B7/60*100,1),0)</f>
        <v>0</v>
      </c>
      <c r="D7" s="96" t="s">
        <v>94</v>
      </c>
    </row>
    <row r="8" customFormat="false" ht="19.5" hidden="false" customHeight="true" outlineLevel="0" collapsed="false">
      <c r="A8" s="97" t="s">
        <v>95</v>
      </c>
      <c r="B8" s="98" t="n">
        <f aca="false">COUNTIFS('Student-Wise Result'!V9:V68,"&gt;7.0",'Student-Wise Result'!V9:V68,"&lt;=8.99")</f>
        <v>0</v>
      </c>
      <c r="C8" s="99" t="n">
        <f aca="false">IFERROR(ROUND(B8/60*100,1),0)</f>
        <v>0</v>
      </c>
      <c r="D8" s="100" t="s">
        <v>96</v>
      </c>
    </row>
    <row r="9" customFormat="false" ht="19.5" hidden="false" customHeight="true" outlineLevel="0" collapsed="false">
      <c r="A9" s="101" t="s">
        <v>97</v>
      </c>
      <c r="B9" s="102" t="n">
        <f aca="false">COUNTIFS('Student-Wise Result'!V9:V68,"&gt;6.0",'Student-Wise Result'!V9:V68,"&lt;=7.99")</f>
        <v>0</v>
      </c>
      <c r="C9" s="103" t="n">
        <f aca="false">IFERROR(ROUND(B9/60*100,1),0)</f>
        <v>0</v>
      </c>
      <c r="D9" s="104" t="s">
        <v>98</v>
      </c>
    </row>
    <row r="10" customFormat="false" ht="19.5" hidden="false" customHeight="true" outlineLevel="0" collapsed="false">
      <c r="A10" s="105" t="s">
        <v>99</v>
      </c>
      <c r="B10" s="106" t="n">
        <f aca="false">COUNTIFS('Student-Wise Result'!V9:V68,"&gt;5.0",'Student-Wise Result'!V9:V68,"&lt;=6.99")</f>
        <v>0</v>
      </c>
      <c r="C10" s="107" t="n">
        <f aca="false">IFERROR(ROUND(B10/60*100,1),0)</f>
        <v>0</v>
      </c>
      <c r="D10" s="108" t="s">
        <v>100</v>
      </c>
    </row>
    <row r="11" customFormat="false" ht="19.5" hidden="false" customHeight="true" outlineLevel="0" collapsed="false">
      <c r="A11" s="109" t="s">
        <v>101</v>
      </c>
      <c r="B11" s="110" t="n">
        <f aca="false">COUNTIFS('Student-Wise Result'!V9:V68,"&gt;4.0",'Student-Wise Result'!V9:V68,"&lt;=5.99")</f>
        <v>0</v>
      </c>
      <c r="C11" s="111" t="n">
        <f aca="false">IFERROR(ROUND(B11/60*100,1),0)</f>
        <v>0</v>
      </c>
      <c r="D11" s="112" t="s">
        <v>102</v>
      </c>
    </row>
    <row r="12" customFormat="false" ht="19.5" hidden="false" customHeight="true" outlineLevel="0" collapsed="false">
      <c r="A12" s="113" t="s">
        <v>103</v>
      </c>
      <c r="B12" s="114" t="n">
        <f aca="false">COUNTIFS('Student-Wise Result'!V9:V68,"&gt;3.0",'Student-Wise Result'!V9:V68,"&lt;=4.99")</f>
        <v>0</v>
      </c>
      <c r="C12" s="115" t="n">
        <f aca="false">IFERROR(ROUND(B12/60*100,1),0)</f>
        <v>0</v>
      </c>
      <c r="D12" s="116" t="s">
        <v>104</v>
      </c>
    </row>
    <row r="13" customFormat="false" ht="19.5" hidden="false" customHeight="true" outlineLevel="0" collapsed="false">
      <c r="A13" s="117" t="s">
        <v>105</v>
      </c>
      <c r="B13" s="118" t="n">
        <f aca="false">'Student-Wise Result'!V76</f>
        <v>0</v>
      </c>
      <c r="C13" s="119" t="n">
        <f aca="false">IFERROR(ROUND(B13/60*100,1),0)</f>
        <v>0</v>
      </c>
      <c r="D13" s="120" t="s">
        <v>106</v>
      </c>
    </row>
    <row r="14" customFormat="false" ht="21.75" hidden="false" customHeight="true" outlineLevel="0" collapsed="false">
      <c r="A14" s="121" t="s">
        <v>107</v>
      </c>
      <c r="B14" s="61" t="n">
        <f aca="false">SUM(B6:B13)</f>
        <v>0</v>
      </c>
      <c r="C14" s="122" t="n">
        <f aca="false">IFERROR(ROUND(B14/60*100,1),0)</f>
        <v>0</v>
      </c>
      <c r="D14" s="14"/>
    </row>
  </sheetData>
  <mergeCells count="2">
    <mergeCell ref="A1:J1"/>
    <mergeCell ref="A4:E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0"/>
    <col collapsed="false" customWidth="true" hidden="false" outlineLevel="0" max="5" min="3" style="1" width="14"/>
  </cols>
  <sheetData>
    <row r="1" customFormat="false" ht="36" hidden="false" customHeight="true" outlineLevel="0" collapsed="false">
      <c r="A1" s="123" t="s">
        <v>108</v>
      </c>
      <c r="B1" s="123"/>
      <c r="C1" s="123"/>
      <c r="D1" s="123"/>
      <c r="E1" s="123"/>
    </row>
    <row r="2" customFormat="false" ht="21.75" hidden="false" customHeight="true" outlineLevel="0" collapsed="false">
      <c r="A2" s="124" t="s">
        <v>109</v>
      </c>
      <c r="B2" s="124"/>
      <c r="C2" s="124"/>
      <c r="D2" s="124"/>
      <c r="E2" s="124"/>
    </row>
    <row r="3" customFormat="false" ht="24" hidden="false" customHeight="true" outlineLevel="0" collapsed="false">
      <c r="A3" s="125" t="s">
        <v>110</v>
      </c>
      <c r="B3" s="126" t="s">
        <v>111</v>
      </c>
      <c r="C3" s="126"/>
      <c r="D3" s="126"/>
      <c r="E3" s="126"/>
    </row>
    <row r="4" customFormat="false" ht="24" hidden="false" customHeight="true" outlineLevel="0" collapsed="false">
      <c r="A4" s="127" t="s">
        <v>112</v>
      </c>
      <c r="B4" s="128" t="s">
        <v>113</v>
      </c>
      <c r="C4" s="128"/>
      <c r="D4" s="128"/>
      <c r="E4" s="128"/>
    </row>
    <row r="5" customFormat="false" ht="24" hidden="false" customHeight="true" outlineLevel="0" collapsed="false">
      <c r="A5" s="125" t="s">
        <v>114</v>
      </c>
      <c r="B5" s="126" t="s">
        <v>115</v>
      </c>
      <c r="C5" s="126"/>
      <c r="D5" s="126"/>
      <c r="E5" s="126"/>
    </row>
    <row r="6" customFormat="false" ht="24" hidden="false" customHeight="true" outlineLevel="0" collapsed="false">
      <c r="A6" s="127" t="s">
        <v>116</v>
      </c>
      <c r="B6" s="128" t="s">
        <v>117</v>
      </c>
      <c r="C6" s="128"/>
      <c r="D6" s="128"/>
      <c r="E6" s="128"/>
    </row>
    <row r="7" customFormat="false" ht="24" hidden="false" customHeight="true" outlineLevel="0" collapsed="false">
      <c r="A7" s="125" t="s">
        <v>118</v>
      </c>
      <c r="B7" s="126" t="s">
        <v>119</v>
      </c>
      <c r="C7" s="126"/>
      <c r="D7" s="126"/>
      <c r="E7" s="126"/>
    </row>
    <row r="8" customFormat="false" ht="24" hidden="false" customHeight="true" outlineLevel="0" collapsed="false">
      <c r="A8" s="127" t="s">
        <v>120</v>
      </c>
      <c r="B8" s="128" t="s">
        <v>121</v>
      </c>
      <c r="C8" s="128"/>
      <c r="D8" s="128"/>
      <c r="E8" s="128"/>
    </row>
    <row r="9" customFormat="false" ht="24" hidden="false" customHeight="true" outlineLevel="0" collapsed="false">
      <c r="A9" s="125" t="s">
        <v>122</v>
      </c>
      <c r="B9" s="126" t="s">
        <v>123</v>
      </c>
      <c r="C9" s="126"/>
      <c r="D9" s="126"/>
      <c r="E9" s="126"/>
    </row>
    <row r="10" customFormat="false" ht="24" hidden="false" customHeight="true" outlineLevel="0" collapsed="false">
      <c r="A10" s="127" t="s">
        <v>124</v>
      </c>
      <c r="B10" s="128" t="s">
        <v>125</v>
      </c>
      <c r="C10" s="128"/>
      <c r="D10" s="128"/>
      <c r="E10" s="128"/>
    </row>
    <row r="11" customFormat="false" ht="24" hidden="false" customHeight="true" outlineLevel="0" collapsed="false">
      <c r="A11" s="125" t="s">
        <v>126</v>
      </c>
      <c r="B11" s="126" t="s">
        <v>127</v>
      </c>
      <c r="C11" s="126"/>
      <c r="D11" s="126"/>
      <c r="E11" s="126"/>
    </row>
    <row r="12" customFormat="false" ht="24" hidden="false" customHeight="true" outlineLevel="0" collapsed="false">
      <c r="A12" s="127" t="s">
        <v>128</v>
      </c>
      <c r="B12" s="128" t="s">
        <v>129</v>
      </c>
      <c r="C12" s="128"/>
      <c r="D12" s="128"/>
      <c r="E12" s="128"/>
    </row>
    <row r="14" customFormat="false" ht="21.75" hidden="false" customHeight="true" outlineLevel="0" collapsed="false">
      <c r="A14" s="88" t="s">
        <v>130</v>
      </c>
      <c r="B14" s="88"/>
      <c r="C14" s="88"/>
      <c r="D14" s="88"/>
      <c r="E14" s="88"/>
    </row>
    <row r="15" customFormat="false" ht="21.75" hidden="false" customHeight="true" outlineLevel="0" collapsed="false">
      <c r="A15" s="4" t="s">
        <v>131</v>
      </c>
      <c r="B15" s="129" t="s">
        <v>132</v>
      </c>
      <c r="C15" s="129"/>
      <c r="D15" s="129"/>
      <c r="E15" s="129"/>
    </row>
    <row r="16" customFormat="false" ht="21.75" hidden="false" customHeight="true" outlineLevel="0" collapsed="false">
      <c r="A16" s="130" t="s">
        <v>131</v>
      </c>
      <c r="B16" s="131" t="s">
        <v>133</v>
      </c>
      <c r="C16" s="131"/>
      <c r="D16" s="131"/>
      <c r="E16" s="131"/>
    </row>
    <row r="17" customFormat="false" ht="21.75" hidden="false" customHeight="true" outlineLevel="0" collapsed="false">
      <c r="A17" s="26" t="s">
        <v>131</v>
      </c>
      <c r="B17" s="129" t="s">
        <v>134</v>
      </c>
      <c r="C17" s="129"/>
      <c r="D17" s="129"/>
      <c r="E17" s="129"/>
    </row>
    <row r="18" customFormat="false" ht="21.75" hidden="false" customHeight="true" outlineLevel="0" collapsed="false">
      <c r="A18" s="132" t="s">
        <v>131</v>
      </c>
      <c r="B18" s="131" t="s">
        <v>135</v>
      </c>
      <c r="C18" s="131"/>
      <c r="D18" s="131"/>
      <c r="E18" s="131"/>
    </row>
    <row r="19" customFormat="false" ht="21.75" hidden="false" customHeight="true" outlineLevel="0" collapsed="false">
      <c r="A19" s="133" t="s">
        <v>131</v>
      </c>
      <c r="B19" s="129" t="s">
        <v>136</v>
      </c>
      <c r="C19" s="129"/>
      <c r="D19" s="129"/>
      <c r="E19" s="129"/>
    </row>
    <row r="20" customFormat="false" ht="21.75" hidden="false" customHeight="true" outlineLevel="0" collapsed="false">
      <c r="A20" s="74" t="s">
        <v>131</v>
      </c>
      <c r="B20" s="131" t="s">
        <v>137</v>
      </c>
      <c r="C20" s="131"/>
      <c r="D20" s="131"/>
      <c r="E20" s="131"/>
    </row>
  </sheetData>
  <mergeCells count="19">
    <mergeCell ref="A1:E1"/>
    <mergeCell ref="A2:E2"/>
    <mergeCell ref="B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A14:E14"/>
    <mergeCell ref="B15:E15"/>
    <mergeCell ref="B16:E16"/>
    <mergeCell ref="B17:E17"/>
    <mergeCell ref="B18:E18"/>
    <mergeCell ref="B19:E19"/>
    <mergeCell ref="B20:E2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2026-05-16T12:17:39Z</dcterms:created>
  <dc:creator>openpyxl</dc:creator>
  <dc:description/>
  <dc:language>en-US</dc:language>
  <cp:lastModifiedBy/>
  <dcterms:modified xsi:type="dcterms:W3CDTF">2026-05-16T12:17:57Z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