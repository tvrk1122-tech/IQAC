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ICT-00 Composition" sheetId="2" state="visible" r:id="rId2"/>
    <sheet xmlns:r="http://schemas.openxmlformats.org/officeDocument/2006/relationships" name="ICT-NA Notice &amp; Agenda" sheetId="3" state="visible" r:id="rId3"/>
    <sheet xmlns:r="http://schemas.openxmlformats.org/officeDocument/2006/relationships" name="ICT-AT Attendance" sheetId="4" state="visible" r:id="rId4"/>
    <sheet xmlns:r="http://schemas.openxmlformats.org/officeDocument/2006/relationships" name="ICT-MM Minutes" sheetId="5" state="visible" r:id="rId5"/>
    <sheet xmlns:r="http://schemas.openxmlformats.org/officeDocument/2006/relationships" name="ICT-ATR Action Report" sheetId="6" state="visible" r:id="rId6"/>
    <sheet xmlns:r="http://schemas.openxmlformats.org/officeDocument/2006/relationships" name="ICT-04 Hardware Inventory" sheetId="7" state="visible" r:id="rId7"/>
    <sheet xmlns:r="http://schemas.openxmlformats.org/officeDocument/2006/relationships" name="ICT-05 Network Register" sheetId="8" state="visible" r:id="rId8"/>
    <sheet xmlns:r="http://schemas.openxmlformats.org/officeDocument/2006/relationships" name="ICT-07 Maintenance &amp; AMC" sheetId="9" state="visible" r:id="rId9"/>
    <sheet xmlns:r="http://schemas.openxmlformats.org/officeDocument/2006/relationships" name="ICT-09 Software Licences" sheetId="10" state="visible" r:id="rId10"/>
    <sheet xmlns:r="http://schemas.openxmlformats.org/officeDocument/2006/relationships" name="ICT-12 Cybersecurity Audit" sheetId="11" state="visible" r:id="rId11"/>
    <sheet xmlns:r="http://schemas.openxmlformats.org/officeDocument/2006/relationships" name="ICT-13 Incident Register" sheetId="12" state="visible" r:id="rId12"/>
    <sheet xmlns:r="http://schemas.openxmlformats.org/officeDocument/2006/relationships" name="ICT-16 Website Audit" sheetId="13" state="visible" r:id="rId13"/>
    <sheet xmlns:r="http://schemas.openxmlformats.org/officeDocument/2006/relationships" name="ICT-18 Website Analytics" sheetId="14" state="visible" r:id="rId14"/>
    <sheet xmlns:r="http://schemas.openxmlformats.org/officeDocument/2006/relationships" name="ICT-20 ERP MIS Tracker" sheetId="15" state="visible" r:id="rId15"/>
    <sheet xmlns:r="http://schemas.openxmlformats.org/officeDocument/2006/relationships" name="ICT-23 LMS Setup" sheetId="16" state="visible" r:id="rId16"/>
    <sheet xmlns:r="http://schemas.openxmlformats.org/officeDocument/2006/relationships" name="ICT-24 Course Digitisation" sheetId="17" state="visible" r:id="rId17"/>
    <sheet xmlns:r="http://schemas.openxmlformats.org/officeDocument/2006/relationships" name="ICT-25 LMS Usage Dashboard" sheetId="18" state="visible" r:id="rId18"/>
    <sheet xmlns:r="http://schemas.openxmlformats.org/officeDocument/2006/relationships" name="ICT-27 MOOC Register" sheetId="19" state="visible" r:id="rId19"/>
    <sheet xmlns:r="http://schemas.openxmlformats.org/officeDocument/2006/relationships" name="ICT-29 Computer Labs ECAP" sheetId="20" state="visible" r:id="rId20"/>
    <sheet xmlns:r="http://schemas.openxmlformats.org/officeDocument/2006/relationships" name="ICT-30 Lab Utilisation" sheetId="21" state="visible" r:id="rId21"/>
    <sheet xmlns:r="http://schemas.openxmlformats.org/officeDocument/2006/relationships" name="ICT-32 Service Desk" sheetId="22" state="visible" r:id="rId22"/>
    <sheet xmlns:r="http://schemas.openxmlformats.org/officeDocument/2006/relationships" name="ICT-33 Digital Training" sheetId="23" state="visible" r:id="rId23"/>
    <sheet xmlns:r="http://schemas.openxmlformats.org/officeDocument/2006/relationships" name="ICT-36 Green ICT Audit" sheetId="24" state="visible" r:id="rId24"/>
    <sheet xmlns:r="http://schemas.openxmlformats.org/officeDocument/2006/relationships" name="ICT-37 KPI Dashboard" sheetId="25" state="visible" r:id="rId25"/>
    <sheet xmlns:r="http://schemas.openxmlformats.org/officeDocument/2006/relationships" name="ICT-38 Annual Report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0A2463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F172A"/>
      <sz val="10"/>
    </font>
    <font>
      <name val="Arial"/>
      <color rgb="000F172A"/>
      <sz val="10"/>
    </font>
    <font>
      <name val="Arial"/>
      <color rgb="0064748B"/>
      <sz val="9"/>
    </font>
    <font>
      <name val="Arial"/>
      <b val="1"/>
      <color rgb="00FFFFFF"/>
      <sz val="14"/>
    </font>
    <font>
      <name val="Arial"/>
      <color rgb="003F2000"/>
      <sz val="9"/>
    </font>
    <font>
      <name val="Arial"/>
      <b val="1"/>
      <color rgb="000A2463"/>
      <sz val="10"/>
    </font>
    <font>
      <name val="Arial"/>
      <b val="1"/>
      <color rgb="00334155"/>
      <sz val="10"/>
    </font>
    <font>
      <name val="Arial"/>
      <b val="1"/>
      <color rgb="0015803D"/>
      <sz val="10"/>
    </font>
    <font>
      <name val="Arial"/>
      <color rgb="000F172A"/>
      <sz val="9"/>
    </font>
    <font>
      <name val="Arial"/>
      <color rgb="00BE123C"/>
      <sz val="9"/>
    </font>
    <font>
      <name val="Arial"/>
      <b val="1"/>
      <color rgb="00050A30"/>
      <sz val="10"/>
    </font>
  </fonts>
  <fills count="23">
    <fill>
      <patternFill/>
    </fill>
    <fill>
      <patternFill patternType="gray125"/>
    </fill>
    <fill>
      <patternFill patternType="solid">
        <fgColor rgb="00050A30"/>
      </patternFill>
    </fill>
    <fill>
      <patternFill patternType="solid">
        <fgColor rgb="00D6E4F7"/>
      </patternFill>
    </fill>
    <fill>
      <patternFill patternType="solid">
        <fgColor rgb="00EAB308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0A2463"/>
      </patternFill>
    </fill>
    <fill>
      <patternFill patternType="solid">
        <fgColor rgb="00FEF9C3"/>
      </patternFill>
    </fill>
    <fill>
      <patternFill patternType="solid">
        <fgColor rgb="00B45309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E2E8F0"/>
      </patternFill>
    </fill>
    <fill>
      <patternFill patternType="solid">
        <fgColor rgb="0000838F"/>
      </patternFill>
    </fill>
    <fill>
      <patternFill patternType="solid">
        <fgColor rgb="00E0F7FA"/>
      </patternFill>
    </fill>
    <fill>
      <patternFill patternType="solid">
        <fgColor rgb="00BE123C"/>
      </patternFill>
    </fill>
    <fill>
      <patternFill patternType="solid">
        <fgColor rgb="00FFE4E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166534"/>
      </patternFill>
    </fill>
    <fill>
      <patternFill patternType="solid">
        <fgColor rgb="004338CA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3" fillId="13" borderId="0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center" vertical="center" wrapText="1"/>
    </xf>
    <xf numFmtId="0" fontId="3" fillId="14" borderId="0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3" fillId="16" borderId="0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0" fillId="11" borderId="1" pivotButton="0" quotePrefix="0" xfId="0"/>
    <xf numFmtId="0" fontId="0" fillId="7" borderId="1" pivotButton="0" quotePrefix="0" xfId="0"/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3" fillId="18" borderId="0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center" vertical="center" wrapText="1"/>
    </xf>
    <xf numFmtId="0" fontId="6" fillId="19" borderId="1" applyAlignment="1" pivotButton="0" quotePrefix="0" xfId="0">
      <alignment horizontal="left" vertical="center" wrapText="1"/>
    </xf>
    <xf numFmtId="0" fontId="6" fillId="19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3" fillId="20" borderId="0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14" fillId="17" borderId="0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left" vertical="center" wrapText="1"/>
    </xf>
    <xf numFmtId="0" fontId="9" fillId="9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5" fillId="19" borderId="1" applyAlignment="1" pivotButton="0" quotePrefix="0" xfId="0">
      <alignment horizontal="left" vertical="center" wrapText="1"/>
    </xf>
    <xf numFmtId="0" fontId="0" fillId="15" borderId="1" pivotButton="0" quotePrefix="0" xfId="0"/>
    <xf numFmtId="0" fontId="3" fillId="21" borderId="0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center" vertical="center" wrapText="1"/>
    </xf>
    <xf numFmtId="0" fontId="6" fillId="22" borderId="1" applyAlignment="1" pivotButton="0" quotePrefix="0" xfId="0">
      <alignment horizontal="left" vertical="center" wrapText="1"/>
    </xf>
    <xf numFmtId="0" fontId="6" fillId="2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46" customWidth="1" min="3" max="3"/>
    <col width="28" customWidth="1" min="4" max="4"/>
    <col width="18" customWidth="1" min="5" max="5"/>
    <col width="3" customWidth="1" min="6" max="6"/>
  </cols>
  <sheetData>
    <row r="1" ht="10" customHeight="1"/>
    <row r="2" ht="80" customHeight="1">
      <c r="B2" s="1" t="inlineStr">
        <is>
          <t>ICT / WEBSITE / e-LEARNING / IT INFRASTRUCTURE COMMITTEE
Data Collection Formats — Master Workbook</t>
        </is>
      </c>
    </row>
    <row r="3" ht="28" customHeight="1">
      <c r="B3" s="2" t="inlineStr">
        <is>
          <t>Institution: _________________________  Committee Chairperson: _____________  A.Y.: _______  Version: _____</t>
        </is>
      </c>
    </row>
    <row r="4" ht="22" customHeight="1">
      <c r="B4" s="3" t="inlineStr">
        <is>
          <t>Form No.</t>
        </is>
      </c>
      <c r="C4" s="3" t="inlineStr">
        <is>
          <t>Format / Form Title</t>
        </is>
      </c>
      <c r="D4" s="3" t="inlineStr">
        <is>
          <t>Purpose / Usage</t>
        </is>
      </c>
      <c r="E4" s="3" t="inlineStr">
        <is>
          <t>Frequency / Stage</t>
        </is>
      </c>
    </row>
    <row r="5" ht="20" customHeight="1">
      <c r="B5" s="4" t="inlineStr">
        <is>
          <t>── GOVERNANCE &amp; ADMINISTRATION ──</t>
        </is>
      </c>
    </row>
    <row r="6" ht="20" customHeight="1">
      <c r="B6" s="5" t="inlineStr">
        <is>
          <t>ICT-00</t>
        </is>
      </c>
      <c r="C6" s="6" t="inlineStr">
        <is>
          <t>Committee Composition &amp; Members Register</t>
        </is>
      </c>
      <c r="D6" s="6" t="inlineStr">
        <is>
          <t>Record all committee members, roles &amp; expertise</t>
        </is>
      </c>
      <c r="E6" s="7" t="inlineStr">
        <is>
          <t>Annual</t>
        </is>
      </c>
    </row>
    <row r="7" ht="20" customHeight="1">
      <c r="B7" s="8" t="inlineStr">
        <is>
          <t>ICT-NA</t>
        </is>
      </c>
      <c r="C7" s="9" t="inlineStr">
        <is>
          <t>Meeting Notice, Agenda &amp; Dispatch Record</t>
        </is>
      </c>
      <c r="D7" s="9" t="inlineStr">
        <is>
          <t>Formal notice and agenda for committee meetings</t>
        </is>
      </c>
      <c r="E7" s="10" t="inlineStr">
        <is>
          <t>Each Meeting</t>
        </is>
      </c>
    </row>
    <row r="8" ht="20" customHeight="1">
      <c r="B8" s="5" t="inlineStr">
        <is>
          <t>ICT-AT</t>
        </is>
      </c>
      <c r="C8" s="6" t="inlineStr">
        <is>
          <t>Attendance &amp; Quorum Register</t>
        </is>
      </c>
      <c r="D8" s="6" t="inlineStr">
        <is>
          <t>Confirm attendance and quorum validity</t>
        </is>
      </c>
      <c r="E8" s="7" t="inlineStr">
        <is>
          <t>Each Meeting</t>
        </is>
      </c>
    </row>
    <row r="9" ht="20" customHeight="1">
      <c r="B9" s="8" t="inlineStr">
        <is>
          <t>ICT-MM</t>
        </is>
      </c>
      <c r="C9" s="9" t="inlineStr">
        <is>
          <t>Meeting Minutes &amp; Resolutions</t>
        </is>
      </c>
      <c r="D9" s="9" t="inlineStr">
        <is>
          <t>Record discussions, resolutions &amp; directives</t>
        </is>
      </c>
      <c r="E9" s="10" t="inlineStr">
        <is>
          <t>Each Meeting</t>
        </is>
      </c>
    </row>
    <row r="10" ht="20" customHeight="1">
      <c r="B10" s="5" t="inlineStr">
        <is>
          <t>ICT-ATR</t>
        </is>
      </c>
      <c r="C10" s="6" t="inlineStr">
        <is>
          <t>Action Taken Report</t>
        </is>
      </c>
      <c r="D10" s="6" t="inlineStr">
        <is>
          <t>Track implementation of committee resolutions</t>
        </is>
      </c>
      <c r="E10" s="7" t="inlineStr">
        <is>
          <t>Each Meeting</t>
        </is>
      </c>
    </row>
    <row r="11" ht="20" customHeight="1">
      <c r="B11" s="4" t="inlineStr">
        <is>
          <t>── ICT POLICY &amp; PLANNING ──</t>
        </is>
      </c>
    </row>
    <row r="12" ht="20" customHeight="1">
      <c r="B12" s="5" t="inlineStr">
        <is>
          <t>ICT-01</t>
        </is>
      </c>
      <c r="C12" s="6" t="inlineStr">
        <is>
          <t>ICT Policy &amp; Framework Register</t>
        </is>
      </c>
      <c r="D12" s="6" t="inlineStr">
        <is>
          <t>Document institutional ICT policies, SOPs &amp; guidelines</t>
        </is>
      </c>
      <c r="E12" s="7" t="inlineStr">
        <is>
          <t>Annual</t>
        </is>
      </c>
    </row>
    <row r="13" ht="20" customHeight="1">
      <c r="B13" s="8" t="inlineStr">
        <is>
          <t>ICT-02</t>
        </is>
      </c>
      <c r="C13" s="9" t="inlineStr">
        <is>
          <t>Annual ICT Action Plan (AIAP)</t>
        </is>
      </c>
      <c r="D13" s="9" t="inlineStr">
        <is>
          <t>Plan ICT activities, upgrades &amp; targets for the year</t>
        </is>
      </c>
      <c r="E13" s="10" t="inlineStr">
        <is>
          <t>Annual (Pre-Year)</t>
        </is>
      </c>
    </row>
    <row r="14" ht="20" customHeight="1">
      <c r="B14" s="5" t="inlineStr">
        <is>
          <t>ICT-03</t>
        </is>
      </c>
      <c r="C14" s="6" t="inlineStr">
        <is>
          <t>AIAP Progress Review Form</t>
        </is>
      </c>
      <c r="D14" s="6" t="inlineStr">
        <is>
          <t>Quarterly &amp; year-end review of ICT plan vs actuals</t>
        </is>
      </c>
      <c r="E14" s="7" t="inlineStr">
        <is>
          <t>Quarterly / Annual</t>
        </is>
      </c>
    </row>
    <row r="15" ht="20" customHeight="1">
      <c r="B15" s="4" t="inlineStr">
        <is>
          <t>── HARDWARE &amp; NETWORK INFRASTRUCTURE ──</t>
        </is>
      </c>
    </row>
    <row r="16" ht="20" customHeight="1">
      <c r="B16" s="5" t="inlineStr">
        <is>
          <t>ICT-04</t>
        </is>
      </c>
      <c r="C16" s="6" t="inlineStr">
        <is>
          <t>Hardware Asset Inventory Register</t>
        </is>
      </c>
      <c r="D16" s="6" t="inlineStr">
        <is>
          <t>Complete inventory of all computing &amp; IT hardware</t>
        </is>
      </c>
      <c r="E16" s="7" t="inlineStr">
        <is>
          <t>Annual / On Change</t>
        </is>
      </c>
    </row>
    <row r="17" ht="20" customHeight="1">
      <c r="B17" s="8" t="inlineStr">
        <is>
          <t>ICT-05</t>
        </is>
      </c>
      <c r="C17" s="9" t="inlineStr">
        <is>
          <t>Network Infrastructure Register</t>
        </is>
      </c>
      <c r="D17" s="9" t="inlineStr">
        <is>
          <t>Document LAN, Wi-Fi, internet &amp; server infrastructure</t>
        </is>
      </c>
      <c r="E17" s="10" t="inlineStr">
        <is>
          <t>Annual / On Change</t>
        </is>
      </c>
    </row>
    <row r="18" ht="20" customHeight="1">
      <c r="B18" s="5" t="inlineStr">
        <is>
          <t>ICT-06</t>
        </is>
      </c>
      <c r="C18" s="6" t="inlineStr">
        <is>
          <t>Data Centre / Server Room Audit Form</t>
        </is>
      </c>
      <c r="D18" s="6" t="inlineStr">
        <is>
          <t>Audit server room environment, security &amp; uptime</t>
        </is>
      </c>
      <c r="E18" s="7" t="inlineStr">
        <is>
          <t>Annual / Quarterly</t>
        </is>
      </c>
    </row>
    <row r="19" ht="20" customHeight="1">
      <c r="B19" s="8" t="inlineStr">
        <is>
          <t>ICT-07</t>
        </is>
      </c>
      <c r="C19" s="9" t="inlineStr">
        <is>
          <t>Hardware Maintenance &amp; AMC Register</t>
        </is>
      </c>
      <c r="D19" s="9" t="inlineStr">
        <is>
          <t>Track AMCs, breakdowns, repairs &amp; warranties</t>
        </is>
      </c>
      <c r="E19" s="10" t="inlineStr">
        <is>
          <t>Continuous</t>
        </is>
      </c>
    </row>
    <row r="20" ht="20" customHeight="1">
      <c r="B20" s="5" t="inlineStr">
        <is>
          <t>ICT-08</t>
        </is>
      </c>
      <c r="C20" s="6" t="inlineStr">
        <is>
          <t>Hardware Procurement &amp; Purchase Register</t>
        </is>
      </c>
      <c r="D20" s="6" t="inlineStr">
        <is>
          <t>Log all ICT hardware purchases &amp; tendering</t>
        </is>
      </c>
      <c r="E20" s="7" t="inlineStr">
        <is>
          <t>Per Purchase</t>
        </is>
      </c>
    </row>
    <row r="21" ht="20" customHeight="1">
      <c r="B21" s="4" t="inlineStr">
        <is>
          <t>── SOFTWARE &amp; LICENSING ──</t>
        </is>
      </c>
    </row>
    <row r="22" ht="20" customHeight="1">
      <c r="B22" s="5" t="inlineStr">
        <is>
          <t>ICT-09</t>
        </is>
      </c>
      <c r="C22" s="6" t="inlineStr">
        <is>
          <t>Software Asset &amp; Licence Register</t>
        </is>
      </c>
      <c r="D22" s="6" t="inlineStr">
        <is>
          <t>Maintain records of all software licences &amp; renewals</t>
        </is>
      </c>
      <c r="E22" s="7" t="inlineStr">
        <is>
          <t>Annual / Continuous</t>
        </is>
      </c>
    </row>
    <row r="23" ht="20" customHeight="1">
      <c r="B23" s="8" t="inlineStr">
        <is>
          <t>ICT-10</t>
        </is>
      </c>
      <c r="C23" s="9" t="inlineStr">
        <is>
          <t>Open-Source &amp; Freeware Adoption Register</t>
        </is>
      </c>
      <c r="D23" s="9" t="inlineStr">
        <is>
          <t>Track open-source tools adopted across departments</t>
        </is>
      </c>
      <c r="E23" s="10" t="inlineStr">
        <is>
          <t>Annual</t>
        </is>
      </c>
    </row>
    <row r="24" ht="20" customHeight="1">
      <c r="B24" s="5" t="inlineStr">
        <is>
          <t>ICT-11</t>
        </is>
      </c>
      <c r="C24" s="6" t="inlineStr">
        <is>
          <t>Software Procurement &amp; Renewal Tracker</t>
        </is>
      </c>
      <c r="D24" s="6" t="inlineStr">
        <is>
          <t>Manage software purchases, renewals &amp; budget</t>
        </is>
      </c>
      <c r="E24" s="7" t="inlineStr">
        <is>
          <t>Annual / Per Renewal</t>
        </is>
      </c>
    </row>
    <row r="25" ht="20" customHeight="1">
      <c r="B25" s="4" t="inlineStr">
        <is>
          <t>── CYBERSECURITY &amp; DATA GOVERNANCE ──</t>
        </is>
      </c>
    </row>
    <row r="26" ht="20" customHeight="1">
      <c r="B26" s="5" t="inlineStr">
        <is>
          <t>ICT-12</t>
        </is>
      </c>
      <c r="C26" s="6" t="inlineStr">
        <is>
          <t>Cybersecurity Audit Checklist</t>
        </is>
      </c>
      <c r="D26" s="6" t="inlineStr">
        <is>
          <t>Annual cybersecurity posture assessment</t>
        </is>
      </c>
      <c r="E26" s="7" t="inlineStr">
        <is>
          <t>Annual</t>
        </is>
      </c>
    </row>
    <row r="27" ht="20" customHeight="1">
      <c r="B27" s="8" t="inlineStr">
        <is>
          <t>ICT-13</t>
        </is>
      </c>
      <c r="C27" s="9" t="inlineStr">
        <is>
          <t>Cybersecurity Incident Register</t>
        </is>
      </c>
      <c r="D27" s="9" t="inlineStr">
        <is>
          <t>Log, investigate &amp; resolve all cyber incidents</t>
        </is>
      </c>
      <c r="E27" s="10" t="inlineStr">
        <is>
          <t>Continuous</t>
        </is>
      </c>
    </row>
    <row r="28" ht="20" customHeight="1">
      <c r="B28" s="5" t="inlineStr">
        <is>
          <t>ICT-14</t>
        </is>
      </c>
      <c r="C28" s="6" t="inlineStr">
        <is>
          <t>Data Governance &amp; Privacy Compliance Register</t>
        </is>
      </c>
      <c r="D28" s="6" t="inlineStr">
        <is>
          <t>Track data privacy, access controls &amp; PDPB compliance</t>
        </is>
      </c>
      <c r="E28" s="7" t="inlineStr">
        <is>
          <t>Annual</t>
        </is>
      </c>
    </row>
    <row r="29" ht="20" customHeight="1">
      <c r="B29" s="8" t="inlineStr">
        <is>
          <t>ICT-15</t>
        </is>
      </c>
      <c r="C29" s="9" t="inlineStr">
        <is>
          <t>IT Acceptable Use Policy — Compliance Register</t>
        </is>
      </c>
      <c r="D29" s="9" t="inlineStr">
        <is>
          <t>Monitor AUP compliance, violations &amp; actions</t>
        </is>
      </c>
      <c r="E29" s="10" t="inlineStr">
        <is>
          <t>Annual / Continuous</t>
        </is>
      </c>
    </row>
    <row r="30" ht="20" customHeight="1">
      <c r="B30" s="4" t="inlineStr">
        <is>
          <t>── WEBSITE &amp; DIGITAL PRESENCE ──</t>
        </is>
      </c>
    </row>
    <row r="31" ht="20" customHeight="1">
      <c r="B31" s="8" t="inlineStr">
        <is>
          <t>ICT-16</t>
        </is>
      </c>
      <c r="C31" s="9" t="inlineStr">
        <is>
          <t>Institutional Website Audit &amp; Compliance Form</t>
        </is>
      </c>
      <c r="D31" s="9" t="inlineStr">
        <is>
          <t>Audit website — content, compliance, WCAG &amp; regulatory</t>
        </is>
      </c>
      <c r="E31" s="10" t="inlineStr">
        <is>
          <t>Annual / Semi-Annual</t>
        </is>
      </c>
    </row>
    <row r="32" ht="20" customHeight="1">
      <c r="B32" s="5" t="inlineStr">
        <is>
          <t>ICT-17</t>
        </is>
      </c>
      <c r="C32" s="6" t="inlineStr">
        <is>
          <t>Website Content Management Register</t>
        </is>
      </c>
      <c r="D32" s="6" t="inlineStr">
        <is>
          <t>Track page-wise content updates, ownership &amp; dates</t>
        </is>
      </c>
      <c r="E32" s="7" t="inlineStr">
        <is>
          <t>Continuous</t>
        </is>
      </c>
    </row>
    <row r="33" ht="20" customHeight="1">
      <c r="B33" s="8" t="inlineStr">
        <is>
          <t>ICT-18</t>
        </is>
      </c>
      <c r="C33" s="9" t="inlineStr">
        <is>
          <t>Website Performance &amp; Analytics Register</t>
        </is>
      </c>
      <c r="D33" s="9" t="inlineStr">
        <is>
          <t>Monitor traffic, uptime, speed &amp; SEO metrics</t>
        </is>
      </c>
      <c r="E33" s="10" t="inlineStr">
        <is>
          <t>Monthly</t>
        </is>
      </c>
    </row>
    <row r="34" ht="20" customHeight="1">
      <c r="B34" s="5" t="inlineStr">
        <is>
          <t>ICT-19</t>
        </is>
      </c>
      <c r="C34" s="6" t="inlineStr">
        <is>
          <t>Regulatory Mandatory Disclosure Compliance</t>
        </is>
      </c>
      <c r="D34" s="6" t="inlineStr">
        <is>
          <t>Verify AICTE/UGC/NAAC mandatory disclosures on website</t>
        </is>
      </c>
      <c r="E34" s="7" t="inlineStr">
        <is>
          <t>Annual</t>
        </is>
      </c>
    </row>
    <row r="35" ht="20" customHeight="1">
      <c r="B35" s="4" t="inlineStr">
        <is>
          <t>── ERP / MIS / e-GOVERNANCE ──</t>
        </is>
      </c>
    </row>
    <row r="36" ht="20" customHeight="1">
      <c r="B36" s="5" t="inlineStr">
        <is>
          <t>ICT-20</t>
        </is>
      </c>
      <c r="C36" s="6" t="inlineStr">
        <is>
          <t>ERP / MIS Module Deployment Tracker</t>
        </is>
      </c>
      <c r="D36" s="6" t="inlineStr">
        <is>
          <t>Track deployment, adoption &amp; usage of ERP modules</t>
        </is>
      </c>
      <c r="E36" s="7" t="inlineStr">
        <is>
          <t>Annual / Per Module</t>
        </is>
      </c>
    </row>
    <row r="37" ht="20" customHeight="1">
      <c r="B37" s="8" t="inlineStr">
        <is>
          <t>ICT-21</t>
        </is>
      </c>
      <c r="C37" s="9" t="inlineStr">
        <is>
          <t>e-Governance Implementation Register</t>
        </is>
      </c>
      <c r="D37" s="9" t="inlineStr">
        <is>
          <t>Document automation of admin processes via ICT</t>
        </is>
      </c>
      <c r="E37" s="10" t="inlineStr">
        <is>
          <t>Annual</t>
        </is>
      </c>
    </row>
    <row r="38" ht="20" customHeight="1">
      <c r="B38" s="5" t="inlineStr">
        <is>
          <t>ICT-22</t>
        </is>
      </c>
      <c r="C38" s="6" t="inlineStr">
        <is>
          <t>Digital Services Usage Dashboard</t>
        </is>
      </c>
      <c r="D38" s="6" t="inlineStr">
        <is>
          <t>Monitor usage of student/staff digital portals</t>
        </is>
      </c>
      <c r="E38" s="7" t="inlineStr">
        <is>
          <t>Monthly / Quarterly</t>
        </is>
      </c>
    </row>
    <row r="39" ht="20" customHeight="1">
      <c r="B39" s="4" t="inlineStr">
        <is>
          <t>── e-LEARNING / LMS ──</t>
        </is>
      </c>
    </row>
    <row r="40" ht="20" customHeight="1">
      <c r="B40" s="5" t="inlineStr">
        <is>
          <t>ICT-23</t>
        </is>
      </c>
      <c r="C40" s="6" t="inlineStr">
        <is>
          <t>LMS Platform Setup &amp; Configuration Register</t>
        </is>
      </c>
      <c r="D40" s="6" t="inlineStr">
        <is>
          <t>Document LMS (Moodle/Canvas/SWAYAM etc.) configuration</t>
        </is>
      </c>
      <c r="E40" s="7" t="inlineStr">
        <is>
          <t>Annual / Per Deployment</t>
        </is>
      </c>
    </row>
    <row r="41" ht="20" customHeight="1">
      <c r="B41" s="8" t="inlineStr">
        <is>
          <t>ICT-24</t>
        </is>
      </c>
      <c r="C41" s="9" t="inlineStr">
        <is>
          <t>Course Digitisation &amp; Upload Register</t>
        </is>
      </c>
      <c r="D41" s="9" t="inlineStr">
        <is>
          <t>Track courses uploaded, media content &amp; CO alignment</t>
        </is>
      </c>
      <c r="E41" s="10" t="inlineStr">
        <is>
          <t>Each Semester</t>
        </is>
      </c>
    </row>
    <row r="42" ht="20" customHeight="1">
      <c r="B42" s="5" t="inlineStr">
        <is>
          <t>ICT-25</t>
        </is>
      </c>
      <c r="C42" s="6" t="inlineStr">
        <is>
          <t>LMS Usage &amp; Adoption Dashboard</t>
        </is>
      </c>
      <c r="D42" s="6" t="inlineStr">
        <is>
          <t>Monitor faculty &amp; student LMS activity metrics</t>
        </is>
      </c>
      <c r="E42" s="7" t="inlineStr">
        <is>
          <t>Monthly / Semester</t>
        </is>
      </c>
    </row>
    <row r="43" ht="20" customHeight="1">
      <c r="B43" s="8" t="inlineStr">
        <is>
          <t>ICT-26</t>
        </is>
      </c>
      <c r="C43" s="9" t="inlineStr">
        <is>
          <t>Online / Blended Learning Activity Register</t>
        </is>
      </c>
      <c r="D43" s="9" t="inlineStr">
        <is>
          <t>Record online classes, recorded sessions &amp; assignments</t>
        </is>
      </c>
      <c r="E43" s="10" t="inlineStr">
        <is>
          <t>Each Semester</t>
        </is>
      </c>
    </row>
    <row r="44" ht="20" customHeight="1">
      <c r="B44" s="5" t="inlineStr">
        <is>
          <t>ICT-27</t>
        </is>
      </c>
      <c r="C44" s="6" t="inlineStr">
        <is>
          <t>MOOC / SWAYAM / NPTEL Enrolment Register</t>
        </is>
      </c>
      <c r="D44" s="6" t="inlineStr">
        <is>
          <t>Track student enrolment, completion &amp; credit mapping</t>
        </is>
      </c>
      <c r="E44" s="7" t="inlineStr">
        <is>
          <t>Each Semester</t>
        </is>
      </c>
    </row>
    <row r="45" ht="20" customHeight="1">
      <c r="B45" s="8" t="inlineStr">
        <is>
          <t>ICT-28</t>
        </is>
      </c>
      <c r="C45" s="9" t="inlineStr">
        <is>
          <t>e-Learning Content Quality Review Form</t>
        </is>
      </c>
      <c r="D45" s="9" t="inlineStr">
        <is>
          <t>Evaluate quality of online content, accessibility &amp; CO map</t>
        </is>
      </c>
      <c r="E45" s="10" t="inlineStr">
        <is>
          <t>Each Semester</t>
        </is>
      </c>
    </row>
    <row r="46" ht="20" customHeight="1">
      <c r="B46" s="4" t="inlineStr">
        <is>
          <t>── ECAP / COMPUTER CENTRE ──</t>
        </is>
      </c>
    </row>
    <row r="47" ht="20" customHeight="1">
      <c r="B47" s="8" t="inlineStr">
        <is>
          <t>ICT-29</t>
        </is>
      </c>
      <c r="C47" s="9" t="inlineStr">
        <is>
          <t>Computer Lab / ECAP Facility Register</t>
        </is>
      </c>
      <c r="D47" s="9" t="inlineStr">
        <is>
          <t>Document lab-wise hardware, software &amp; capacity</t>
        </is>
      </c>
      <c r="E47" s="10" t="inlineStr">
        <is>
          <t>Annual</t>
        </is>
      </c>
    </row>
    <row r="48" ht="20" customHeight="1">
      <c r="B48" s="5" t="inlineStr">
        <is>
          <t>ICT-30</t>
        </is>
      </c>
      <c r="C48" s="6" t="inlineStr">
        <is>
          <t>Lab Utilisation &amp; Time-table Register</t>
        </is>
      </c>
      <c r="D48" s="6" t="inlineStr">
        <is>
          <t>Track lab scheduling, usage &amp; idle time</t>
        </is>
      </c>
      <c r="E48" s="7" t="inlineStr">
        <is>
          <t>Each Semester</t>
        </is>
      </c>
    </row>
    <row r="49" ht="20" customHeight="1">
      <c r="B49" s="8" t="inlineStr">
        <is>
          <t>ICT-31</t>
        </is>
      </c>
      <c r="C49" s="9" t="inlineStr">
        <is>
          <t>Lab Maintenance &amp; Complaint Register</t>
        </is>
      </c>
      <c r="D49" s="9" t="inlineStr">
        <is>
          <t>Log lab complaints, repairs &amp; preventive maintenance</t>
        </is>
      </c>
      <c r="E49" s="10" t="inlineStr">
        <is>
          <t>Continuous</t>
        </is>
      </c>
    </row>
    <row r="50" ht="20" customHeight="1">
      <c r="B50" s="5" t="inlineStr">
        <is>
          <t>ICT-32</t>
        </is>
      </c>
      <c r="C50" s="6" t="inlineStr">
        <is>
          <t>Computer Centre Service Desk Register</t>
        </is>
      </c>
      <c r="D50" s="6" t="inlineStr">
        <is>
          <t>Track IT helpdesk tickets — open, resolved, pending</t>
        </is>
      </c>
      <c r="E50" s="7" t="inlineStr">
        <is>
          <t>Continuous</t>
        </is>
      </c>
    </row>
    <row r="51" ht="20" customHeight="1">
      <c r="B51" s="4" t="inlineStr">
        <is>
          <t>── DIGITAL SKILLS &amp; TRAINING ──</t>
        </is>
      </c>
    </row>
    <row r="52" ht="20" customHeight="1">
      <c r="B52" s="5" t="inlineStr">
        <is>
          <t>ICT-33</t>
        </is>
      </c>
      <c r="C52" s="6" t="inlineStr">
        <is>
          <t>ICT / Digital Literacy Training Register</t>
        </is>
      </c>
      <c r="D52" s="6" t="inlineStr">
        <is>
          <t>Track all digital skills training for staff &amp; students</t>
        </is>
      </c>
      <c r="E52" s="7" t="inlineStr">
        <is>
          <t>Annual</t>
        </is>
      </c>
    </row>
    <row r="53" ht="20" customHeight="1">
      <c r="B53" s="8" t="inlineStr">
        <is>
          <t>ICT-34</t>
        </is>
      </c>
      <c r="C53" s="9" t="inlineStr">
        <is>
          <t>Faculty ICT Capability Development Tracker</t>
        </is>
      </c>
      <c r="D53" s="9" t="inlineStr">
        <is>
          <t>Monitor faculty digital tool adoption &amp; proficiency</t>
        </is>
      </c>
      <c r="E53" s="10" t="inlineStr">
        <is>
          <t>Annual</t>
        </is>
      </c>
    </row>
    <row r="54" ht="20" customHeight="1">
      <c r="B54" s="5" t="inlineStr">
        <is>
          <t>ICT-35</t>
        </is>
      </c>
      <c r="C54" s="6" t="inlineStr">
        <is>
          <t>Student Digital Competency Assessment Form</t>
        </is>
      </c>
      <c r="D54" s="6" t="inlineStr">
        <is>
          <t>Assess &amp; improve student digital literacy levels</t>
        </is>
      </c>
      <c r="E54" s="7" t="inlineStr">
        <is>
          <t>Annual / Semester</t>
        </is>
      </c>
    </row>
    <row r="55" ht="20" customHeight="1">
      <c r="B55" s="4" t="inlineStr">
        <is>
          <t>── GREEN ICT &amp; SUSTAINABILITY ──</t>
        </is>
      </c>
    </row>
    <row r="56" ht="20" customHeight="1">
      <c r="B56" s="5" t="inlineStr">
        <is>
          <t>ICT-36</t>
        </is>
      </c>
      <c r="C56" s="6" t="inlineStr">
        <is>
          <t>Green ICT &amp; e-Waste Audit Register</t>
        </is>
      </c>
      <c r="D56" s="6" t="inlineStr">
        <is>
          <t>Audit energy consumption, e-waste disposal &amp; green ICT</t>
        </is>
      </c>
      <c r="E56" s="7" t="inlineStr">
        <is>
          <t>Annual</t>
        </is>
      </c>
    </row>
    <row r="57" ht="20" customHeight="1">
      <c r="B57" s="4" t="inlineStr">
        <is>
          <t>── MONITORING &amp; REPORTING ──</t>
        </is>
      </c>
    </row>
    <row r="58" ht="20" customHeight="1">
      <c r="B58" s="5" t="inlineStr">
        <is>
          <t>ICT-37</t>
        </is>
      </c>
      <c r="C58" s="6" t="inlineStr">
        <is>
          <t>ICT KPI Dashboard</t>
        </is>
      </c>
      <c r="D58" s="6" t="inlineStr">
        <is>
          <t>Track all ICT KPIs — infrastructure, e-learning &amp; digital</t>
        </is>
      </c>
      <c r="E58" s="7" t="inlineStr">
        <is>
          <t>Monthly / Quarterly</t>
        </is>
      </c>
    </row>
    <row r="59" ht="20" customHeight="1">
      <c r="B59" s="8" t="inlineStr">
        <is>
          <t>ICT-38</t>
        </is>
      </c>
      <c r="C59" s="9" t="inlineStr">
        <is>
          <t>ICT Annual Report Compilation Form</t>
        </is>
      </c>
      <c r="D59" s="9" t="inlineStr">
        <is>
          <t>Compile year-end ICT performance report for management</t>
        </is>
      </c>
      <c r="E59" s="10" t="inlineStr">
        <is>
          <t>Annual</t>
        </is>
      </c>
    </row>
    <row r="122">
      <c r="B122" s="11" t="inlineStr">
        <is>
          <t>• This committee oversees: ICT Infrastructure, Website/Digital Presence, ERP/MIS, e-Learning/LMS, ECAP/Computer Labs, Cybersecurity &amp; Digital Skills.</t>
        </is>
      </c>
    </row>
    <row r="123">
      <c r="B123" s="11" t="inlineStr">
        <is>
          <t>• Data from these formats feeds into NAAC AQAR (Criteria IV, II.3, VI.2), NIRF, NBA SAR, AICTE Mandatory Disclosure &amp; annual reports.</t>
        </is>
      </c>
    </row>
    <row r="124">
      <c r="B124" s="11" t="inlineStr">
        <is>
          <t>• ICT-16 (Website Audit) is mandatory for AICTE/UGC regulatory compliance — update at least twice a year.</t>
        </is>
      </c>
    </row>
    <row r="125">
      <c r="B125" s="11" t="inlineStr">
        <is>
          <t>• Cybersecurity incidents (ICT-13) and data breaches must be reported to institutional management within 24 hours.</t>
        </is>
      </c>
    </row>
    <row r="126">
      <c r="B126" s="11" t="inlineStr">
        <is>
          <t>• LMS data (ICT-25) feeds directly into NAAC Criterion II.3 (ICT-enabled learning) and CO attainment evidence.</t>
        </is>
      </c>
    </row>
    <row r="127">
      <c r="B127" s="11" t="inlineStr">
        <is>
          <t>• MOOC/SWAYAM credits (ICT-27) must be mapped to Programme curriculum and recorded in student academic records.</t>
        </is>
      </c>
    </row>
    <row r="128">
      <c r="B128" s="11" t="inlineStr">
        <is>
          <t>• e-Waste disposal (ICT-36) must comply with E-Waste (Management) Rules 2022 — use authorised recyclers only.</t>
        </is>
      </c>
    </row>
  </sheetData>
  <mergeCells count="21">
    <mergeCell ref="B127:E127"/>
    <mergeCell ref="B30:E30"/>
    <mergeCell ref="B15:E15"/>
    <mergeCell ref="B55:E55"/>
    <mergeCell ref="B124:E124"/>
    <mergeCell ref="B5:E5"/>
    <mergeCell ref="B51:E51"/>
    <mergeCell ref="B123:E123"/>
    <mergeCell ref="B35:E35"/>
    <mergeCell ref="B126:E126"/>
    <mergeCell ref="B25:E25"/>
    <mergeCell ref="B3:E3"/>
    <mergeCell ref="B125:E125"/>
    <mergeCell ref="B46:E46"/>
    <mergeCell ref="B122:E122"/>
    <mergeCell ref="B21:E21"/>
    <mergeCell ref="B39:E39"/>
    <mergeCell ref="B11:E11"/>
    <mergeCell ref="B2:E2"/>
    <mergeCell ref="B57:E57"/>
    <mergeCell ref="B128:E1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4" customWidth="1" min="4" max="4"/>
    <col width="20" customWidth="1" min="5" max="5"/>
    <col width="14" customWidth="1" min="6" max="6"/>
    <col width="14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52" customHeight="1">
      <c r="B2" s="12" t="inlineStr">
        <is>
          <t>ICT-00: ICT / WEBSITE / e-LEARNING COMMITTEE — COMPOSITION REGISTER</t>
        </is>
      </c>
    </row>
    <row r="3" ht="25" customHeight="1">
      <c r="B3" s="2" t="inlineStr">
        <is>
          <t>Institution: _________________________  A.Y.: _______  Constituted on: _______  Ref. Order No.: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Designation</t>
        </is>
      </c>
      <c r="E4" s="13" t="inlineStr">
        <is>
          <t>Role in Committee</t>
        </is>
      </c>
      <c r="F4" s="13" t="inlineStr">
        <is>
          <t>Domain Expertise</t>
        </is>
      </c>
      <c r="G4" s="13" t="inlineStr">
        <is>
          <t>Email / Phone</t>
        </is>
      </c>
      <c r="H4" s="13" t="inlineStr">
        <is>
          <t>Term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>
        <is>
          <t>Principal / Dean Academic Affairs</t>
        </is>
      </c>
      <c r="E5" s="14" t="inlineStr">
        <is>
          <t>Chairperson</t>
        </is>
      </c>
      <c r="F5" s="16" t="inlineStr">
        <is>
          <t>ICT Strategy</t>
        </is>
      </c>
      <c r="G5" s="15" t="inlineStr"/>
      <c r="H5" s="16" t="inlineStr"/>
      <c r="I5" s="16" t="inlineStr"/>
    </row>
    <row r="6" ht="22" customHeight="1">
      <c r="B6" s="8" t="n">
        <v>2</v>
      </c>
      <c r="C6" s="9" t="inlineStr"/>
      <c r="D6" s="9" t="inlineStr">
        <is>
          <t>Head – IT Services / System Administrator</t>
        </is>
      </c>
      <c r="E6" s="8" t="inlineStr">
        <is>
          <t>ICT Head / CTO</t>
        </is>
      </c>
      <c r="F6" s="10" t="inlineStr">
        <is>
          <t>Infrastructure &amp; Networks</t>
        </is>
      </c>
      <c r="G6" s="9" t="inlineStr"/>
      <c r="H6" s="10" t="inlineStr"/>
      <c r="I6" s="10" t="inlineStr"/>
    </row>
    <row r="7" ht="22" customHeight="1">
      <c r="B7" s="14" t="n">
        <v>3</v>
      </c>
      <c r="C7" s="15" t="inlineStr"/>
      <c r="D7" s="15" t="inlineStr">
        <is>
          <t>Web Development Coordinator</t>
        </is>
      </c>
      <c r="E7" s="14" t="inlineStr">
        <is>
          <t>Website Manager</t>
        </is>
      </c>
      <c r="F7" s="16" t="inlineStr">
        <is>
          <t>Web Technologies &amp; CMS</t>
        </is>
      </c>
      <c r="G7" s="15" t="inlineStr"/>
      <c r="H7" s="16" t="inlineStr"/>
      <c r="I7" s="16" t="inlineStr"/>
    </row>
    <row r="8" ht="22" customHeight="1">
      <c r="B8" s="8" t="n">
        <v>4</v>
      </c>
      <c r="C8" s="9" t="inlineStr"/>
      <c r="D8" s="9" t="inlineStr">
        <is>
          <t>e-Learning Coordinator</t>
        </is>
      </c>
      <c r="E8" s="8" t="inlineStr">
        <is>
          <t>LMS / e-Learning Officer</t>
        </is>
      </c>
      <c r="F8" s="10" t="inlineStr">
        <is>
          <t>LMS Administration &amp; Pedagogy</t>
        </is>
      </c>
      <c r="G8" s="9" t="inlineStr"/>
      <c r="H8" s="10" t="inlineStr"/>
      <c r="I8" s="10" t="inlineStr"/>
    </row>
    <row r="9" ht="22" customHeight="1">
      <c r="B9" s="14" t="n">
        <v>5</v>
      </c>
      <c r="C9" s="15" t="inlineStr"/>
      <c r="D9" s="15" t="inlineStr">
        <is>
          <t>ECAP In-charge</t>
        </is>
      </c>
      <c r="E9" s="14" t="inlineStr">
        <is>
          <t>Computer Centre Head</t>
        </is>
      </c>
      <c r="F9" s="16" t="inlineStr">
        <is>
          <t>Lab Management</t>
        </is>
      </c>
      <c r="G9" s="15" t="inlineStr"/>
      <c r="H9" s="16" t="inlineStr"/>
      <c r="I9" s="16" t="inlineStr"/>
    </row>
    <row r="10" ht="22" customHeight="1">
      <c r="B10" s="8" t="n">
        <v>6</v>
      </c>
      <c r="C10" s="9" t="inlineStr"/>
      <c r="D10" s="9" t="inlineStr">
        <is>
          <t>Senior Faculty (Computer Science/IT)</t>
        </is>
      </c>
      <c r="E10" s="8" t="inlineStr">
        <is>
          <t>Faculty – CS / IT</t>
        </is>
      </c>
      <c r="F10" s="10" t="inlineStr">
        <is>
          <t>Technology &amp; Pedagogy</t>
        </is>
      </c>
      <c r="G10" s="9" t="inlineStr"/>
      <c r="H10" s="10" t="inlineStr"/>
      <c r="I10" s="10" t="inlineStr"/>
    </row>
    <row r="11" ht="22" customHeight="1">
      <c r="B11" s="14" t="n">
        <v>7</v>
      </c>
      <c r="C11" s="15" t="inlineStr"/>
      <c r="D11" s="15" t="inlineStr">
        <is>
          <t>Librarian</t>
        </is>
      </c>
      <c r="E11" s="14" t="inlineStr">
        <is>
          <t>Faculty – Libraries</t>
        </is>
      </c>
      <c r="F11" s="16" t="inlineStr">
        <is>
          <t>Digital Library &amp; e-Resources</t>
        </is>
      </c>
      <c r="G11" s="15" t="inlineStr"/>
      <c r="H11" s="16" t="inlineStr"/>
      <c r="I11" s="16" t="inlineStr"/>
    </row>
    <row r="12" ht="22" customHeight="1">
      <c r="B12" s="8" t="n">
        <v>8</v>
      </c>
      <c r="C12" s="9" t="inlineStr"/>
      <c r="D12" s="9" t="inlineStr">
        <is>
          <t>IT Security Officer / Consultant</t>
        </is>
      </c>
      <c r="E12" s="8" t="inlineStr">
        <is>
          <t>Cybersecurity Officer</t>
        </is>
      </c>
      <c r="F12" s="10" t="inlineStr">
        <is>
          <t>Cybersecurity &amp; Data Privacy</t>
        </is>
      </c>
      <c r="G12" s="9" t="inlineStr"/>
      <c r="H12" s="10" t="inlineStr"/>
      <c r="I12" s="10" t="inlineStr"/>
    </row>
    <row r="13" ht="22" customHeight="1">
      <c r="B13" s="14" t="n">
        <v>9</v>
      </c>
      <c r="C13" s="15" t="inlineStr"/>
      <c r="D13" s="15" t="inlineStr">
        <is>
          <t>ERP System Administrator</t>
        </is>
      </c>
      <c r="E13" s="14" t="inlineStr">
        <is>
          <t>ERP / MIS Administrator</t>
        </is>
      </c>
      <c r="F13" s="16" t="inlineStr">
        <is>
          <t>ERP / MIS Systems</t>
        </is>
      </c>
      <c r="G13" s="15" t="inlineStr"/>
      <c r="H13" s="16" t="inlineStr"/>
      <c r="I13" s="16" t="inlineStr"/>
    </row>
    <row r="14" ht="22" customHeight="1">
      <c r="B14" s="8" t="n">
        <v>10</v>
      </c>
      <c r="C14" s="9" t="inlineStr"/>
      <c r="D14" s="9" t="inlineStr">
        <is>
          <t>Student – CS/IT Final Year</t>
        </is>
      </c>
      <c r="E14" s="8" t="inlineStr">
        <is>
          <t>Student Representative</t>
        </is>
      </c>
      <c r="F14" s="10" t="inlineStr">
        <is>
          <t>Student ICT Needs</t>
        </is>
      </c>
      <c r="G14" s="9" t="inlineStr"/>
      <c r="H14" s="10" t="inlineStr"/>
      <c r="I14" s="10" t="inlineStr"/>
    </row>
    <row r="15" ht="22" customHeight="1">
      <c r="B15" s="14" t="n">
        <v>11</v>
      </c>
      <c r="C15" s="15" t="inlineStr"/>
      <c r="D15" s="15" t="inlineStr">
        <is>
          <t>Industry IT Professional / Consultant</t>
        </is>
      </c>
      <c r="E15" s="14" t="inlineStr">
        <is>
          <t>External ICT Expert</t>
        </is>
      </c>
      <c r="F15" s="16" t="inlineStr">
        <is>
          <t>Emerging Technologies</t>
        </is>
      </c>
      <c r="G15" s="15" t="inlineStr"/>
      <c r="H15" s="16" t="inlineStr"/>
      <c r="I15" s="16" t="inlineStr"/>
    </row>
    <row r="16" ht="22" customHeight="1">
      <c r="B16" s="8" t="n">
        <v>12</v>
      </c>
      <c r="C16" s="9" t="inlineStr"/>
      <c r="D16" s="9" t="inlineStr">
        <is>
          <t>IQAC In-charge</t>
        </is>
      </c>
      <c r="E16" s="8" t="inlineStr">
        <is>
          <t>IQAC Coordinator (Ex-off.)</t>
        </is>
      </c>
      <c r="F16" s="10" t="inlineStr">
        <is>
          <t>Quality &amp; Accreditation</t>
        </is>
      </c>
      <c r="G16" s="9" t="inlineStr"/>
      <c r="H16" s="10" t="inlineStr"/>
      <c r="I16" s="10" t="inlineStr"/>
    </row>
    <row r="17" ht="22" customHeight="1">
      <c r="B17" s="14" t="n">
        <v>13</v>
      </c>
      <c r="C17" s="15" t="inlineStr"/>
      <c r="D17" s="15" t="inlineStr">
        <is>
          <t>Finance / Accounts Officer</t>
        </is>
      </c>
      <c r="E17" s="14" t="inlineStr">
        <is>
          <t>Finance Officer (Ex-off.)</t>
        </is>
      </c>
      <c r="F17" s="16" t="inlineStr">
        <is>
          <t>ICT Budget &amp; Procurement</t>
        </is>
      </c>
      <c r="G17" s="15" t="inlineStr"/>
      <c r="H17" s="16" t="inlineStr"/>
      <c r="I17" s="16" t="inlineStr"/>
    </row>
    <row r="18" ht="22" customHeight="1"/>
    <row r="19" ht="20" customHeight="1">
      <c r="B19" s="17" t="inlineStr">
        <is>
          <t>Committee meets minimum twice per semester. Sub-groups for Website, LMS, Infrastructure &amp; Cybersecurity may be constituted for operational management.</t>
        </is>
      </c>
    </row>
    <row r="20" ht="22" customHeight="1"/>
    <row r="21" ht="22" customHeight="1"/>
    <row r="22" ht="22" customHeight="1"/>
    <row r="23" ht="22" customHeight="1"/>
    <row r="24" ht="22" customHeight="1"/>
    <row r="25" ht="22" customHeight="1"/>
  </sheetData>
  <mergeCells count="3">
    <mergeCell ref="B3:I3"/>
    <mergeCell ref="B19:I19"/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4" customWidth="1" min="3" max="3"/>
    <col width="22" customWidth="1" min="4" max="4"/>
    <col width="18" customWidth="1" min="5" max="5"/>
    <col width="3" customWidth="1" min="6" max="6"/>
  </cols>
  <sheetData>
    <row r="1" ht="10" customHeight="1"/>
    <row r="2" ht="48" customHeight="1">
      <c r="B2" s="12" t="inlineStr">
        <is>
          <t>ICT COMMITTEE: MEETING NOTICE &amp; AGENDA</t>
        </is>
      </c>
    </row>
    <row r="3" ht="22" customHeight="1">
      <c r="B3" s="18" t="inlineStr">
        <is>
          <t>Meeting No.:</t>
        </is>
      </c>
      <c r="C3" s="9" t="n"/>
    </row>
    <row r="4" ht="22" customHeight="1">
      <c r="B4" s="18" t="inlineStr">
        <is>
          <t>Academic Year:</t>
        </is>
      </c>
      <c r="C4" s="9" t="n"/>
    </row>
    <row r="5" ht="22" customHeight="1">
      <c r="B5" s="18" t="inlineStr">
        <is>
          <t>Date:</t>
        </is>
      </c>
      <c r="C5" s="9" t="n"/>
    </row>
    <row r="6" ht="22" customHeight="1">
      <c r="B6" s="18" t="inlineStr">
        <is>
          <t>Time:</t>
        </is>
      </c>
      <c r="C6" s="9" t="n"/>
    </row>
    <row r="7" ht="22" customHeight="1">
      <c r="B7" s="18" t="inlineStr">
        <is>
          <t>Venue:</t>
        </is>
      </c>
      <c r="C7" s="9" t="n"/>
    </row>
    <row r="8" ht="22" customHeight="1">
      <c r="B8" s="18" t="inlineStr">
        <is>
          <t>Mode:</t>
        </is>
      </c>
      <c r="C8" s="9" t="n"/>
    </row>
    <row r="9" ht="22" customHeight="1">
      <c r="B9" s="18" t="inlineStr">
        <is>
          <t>Notice by:</t>
        </is>
      </c>
      <c r="C9" s="9" t="n"/>
    </row>
    <row r="10" ht="22" customHeight="1">
      <c r="B10" s="18" t="inlineStr">
        <is>
          <t>Notice Date:</t>
        </is>
      </c>
      <c r="C10" s="9" t="n"/>
    </row>
    <row r="11" ht="24" customHeight="1">
      <c r="B11" s="19" t="inlineStr">
        <is>
          <t>AGENDA ITEMS</t>
        </is>
      </c>
    </row>
    <row r="12" ht="24" customHeight="1">
      <c r="B12" s="13" t="inlineStr">
        <is>
          <t>Item
No.</t>
        </is>
      </c>
      <c r="C12" s="13" t="inlineStr">
        <is>
          <t>Agenda Item</t>
        </is>
      </c>
      <c r="D12" s="13" t="inlineStr">
        <is>
          <t>Presenter / Lead</t>
        </is>
      </c>
      <c r="E12" s="13" t="inlineStr">
        <is>
          <t>Duration (Min)</t>
        </is>
      </c>
    </row>
    <row r="13" ht="24" customHeight="1">
      <c r="B13" s="14" t="n">
        <v>1</v>
      </c>
      <c r="C13" s="15" t="inlineStr">
        <is>
          <t>Confirmation of minutes of previous meeting</t>
        </is>
      </c>
      <c r="D13" s="16" t="inlineStr"/>
      <c r="E13" s="16" t="inlineStr"/>
    </row>
    <row r="14" ht="24" customHeight="1">
      <c r="B14" s="8" t="n">
        <v>2</v>
      </c>
      <c r="C14" s="9" t="inlineStr">
        <is>
          <t>Action Taken Report on previous resolutions</t>
        </is>
      </c>
      <c r="D14" s="10" t="inlineStr"/>
      <c r="E14" s="10" t="inlineStr"/>
    </row>
    <row r="15" ht="24" customHeight="1">
      <c r="B15" s="14" t="n">
        <v>3</v>
      </c>
      <c r="C15" s="15" t="inlineStr">
        <is>
          <t>Annual ICT Action Plan — progress review</t>
        </is>
      </c>
      <c r="D15" s="16" t="inlineStr"/>
      <c r="E15" s="16" t="inlineStr"/>
    </row>
    <row r="16" ht="24" customHeight="1">
      <c r="B16" s="8" t="n">
        <v>4</v>
      </c>
      <c r="C16" s="9" t="inlineStr">
        <is>
          <t>Hardware &amp; network infrastructure — status and upgrades</t>
        </is>
      </c>
      <c r="D16" s="10" t="inlineStr"/>
      <c r="E16" s="10" t="inlineStr"/>
    </row>
    <row r="17" ht="24" customHeight="1">
      <c r="B17" s="14" t="n">
        <v>5</v>
      </c>
      <c r="C17" s="15" t="inlineStr">
        <is>
          <t>Software licences — renewal status and new requirements</t>
        </is>
      </c>
      <c r="D17" s="16" t="inlineStr"/>
      <c r="E17" s="16" t="inlineStr"/>
    </row>
    <row r="18" ht="24" customHeight="1">
      <c r="B18" s="8" t="n">
        <v>6</v>
      </c>
      <c r="C18" s="9" t="inlineStr">
        <is>
          <t>Cybersecurity — audit findings and incident report</t>
        </is>
      </c>
      <c r="D18" s="10" t="inlineStr"/>
      <c r="E18" s="10" t="inlineStr"/>
    </row>
    <row r="19" ht="24" customHeight="1">
      <c r="B19" s="14" t="n">
        <v>7</v>
      </c>
      <c r="C19" s="15" t="inlineStr">
        <is>
          <t>Website audit — content compliance and analytics review</t>
        </is>
      </c>
      <c r="D19" s="16" t="inlineStr"/>
      <c r="E19" s="16" t="inlineStr"/>
    </row>
    <row r="20" ht="24" customHeight="1">
      <c r="B20" s="8" t="n">
        <v>8</v>
      </c>
      <c r="C20" s="9" t="inlineStr">
        <is>
          <t>ERP/MIS — module deployment and usage statistics</t>
        </is>
      </c>
      <c r="D20" s="10" t="inlineStr"/>
      <c r="E20" s="10" t="inlineStr"/>
    </row>
    <row r="21" ht="24" customHeight="1">
      <c r="B21" s="14" t="n">
        <v>9</v>
      </c>
      <c r="C21" s="15" t="inlineStr">
        <is>
          <t>LMS adoption — course upload, student/faculty usage data</t>
        </is>
      </c>
      <c r="D21" s="16" t="inlineStr"/>
      <c r="E21" s="16" t="inlineStr"/>
    </row>
    <row r="22" ht="24" customHeight="1">
      <c r="B22" s="8" t="n">
        <v>10</v>
      </c>
      <c r="C22" s="9" t="inlineStr">
        <is>
          <t>MOOC/SWAYAM/NPTEL — enrolment and completion report</t>
        </is>
      </c>
      <c r="D22" s="10" t="inlineStr"/>
      <c r="E22" s="10" t="inlineStr"/>
    </row>
    <row r="23" ht="24" customHeight="1">
      <c r="B23" s="14" t="n">
        <v>11</v>
      </c>
      <c r="C23" s="15" t="inlineStr">
        <is>
          <t>Computer labs (ECAP) — utilisation and maintenance status</t>
        </is>
      </c>
      <c r="D23" s="16" t="inlineStr"/>
      <c r="E23" s="16" t="inlineStr"/>
    </row>
    <row r="24" ht="24" customHeight="1">
      <c r="B24" s="8" t="n">
        <v>12</v>
      </c>
      <c r="C24" s="9" t="inlineStr">
        <is>
          <t>Digital skills training — calendar and completion report</t>
        </is>
      </c>
      <c r="D24" s="10" t="inlineStr"/>
      <c r="E24" s="10" t="inlineStr"/>
    </row>
    <row r="25" ht="24" customHeight="1">
      <c r="B25" s="14" t="n">
        <v>13</v>
      </c>
      <c r="C25" s="15" t="inlineStr">
        <is>
          <t>Green ICT — e-waste disposal and energy efficiency</t>
        </is>
      </c>
      <c r="D25" s="16" t="inlineStr"/>
      <c r="E25" s="16" t="inlineStr"/>
    </row>
    <row r="26" ht="24" customHeight="1">
      <c r="B26" s="8" t="n">
        <v>14</v>
      </c>
      <c r="C26" s="9" t="inlineStr">
        <is>
          <t>ICT Budget — expenditure vs. budget review</t>
        </is>
      </c>
      <c r="D26" s="10" t="inlineStr"/>
      <c r="E26" s="10" t="inlineStr"/>
    </row>
    <row r="27" ht="24" customHeight="1">
      <c r="B27" s="14" t="n">
        <v>15</v>
      </c>
      <c r="C27" s="15" t="inlineStr">
        <is>
          <t>NAAC/NIRF/AICTE ICT data — compliance status</t>
        </is>
      </c>
      <c r="D27" s="16" t="inlineStr"/>
      <c r="E27" s="16" t="inlineStr"/>
    </row>
    <row r="28" ht="24" customHeight="1">
      <c r="B28" s="8" t="n">
        <v>16</v>
      </c>
      <c r="C28" s="9" t="inlineStr">
        <is>
          <t>New technology proposals — review and approval</t>
        </is>
      </c>
      <c r="D28" s="10" t="inlineStr"/>
      <c r="E28" s="10" t="inlineStr"/>
    </row>
    <row r="29" ht="24" customHeight="1">
      <c r="B29" s="14" t="n">
        <v>17</v>
      </c>
      <c r="C29" s="15" t="inlineStr">
        <is>
          <t>Any Other Matter with Permission of Chairperson (AOMPC)</t>
        </is>
      </c>
      <c r="D29" s="16" t="inlineStr"/>
      <c r="E29" s="16" t="inlineStr"/>
    </row>
    <row r="30" ht="24" customHeight="1"/>
    <row r="31" ht="24" customHeight="1">
      <c r="B31" s="20" t="inlineStr">
        <is>
          <t>DISPATCH RECORD</t>
        </is>
      </c>
    </row>
    <row r="32" ht="24" customHeight="1">
      <c r="B32" s="21" t="inlineStr">
        <is>
          <t>Sl.</t>
        </is>
      </c>
      <c r="C32" s="21" t="inlineStr">
        <is>
          <t>Member Name &amp; Role</t>
        </is>
      </c>
      <c r="D32" s="21" t="inlineStr">
        <is>
          <t>Mode</t>
        </is>
      </c>
      <c r="E32" s="21" t="inlineStr">
        <is>
          <t>Date &amp; Acknowledgement</t>
        </is>
      </c>
    </row>
    <row r="33" ht="22" customHeight="1">
      <c r="B33" s="22" t="n"/>
      <c r="C33" s="22" t="n"/>
      <c r="D33" s="22" t="n"/>
      <c r="E33" s="22" t="n"/>
    </row>
    <row r="34" ht="22" customHeight="1">
      <c r="B34" s="10" t="n"/>
      <c r="C34" s="10" t="n"/>
      <c r="D34" s="10" t="n"/>
      <c r="E34" s="10" t="n"/>
    </row>
    <row r="35" ht="22" customHeight="1">
      <c r="B35" s="22" t="n"/>
      <c r="C35" s="22" t="n"/>
      <c r="D35" s="22" t="n"/>
      <c r="E35" s="22" t="n"/>
    </row>
    <row r="36" ht="22" customHeight="1">
      <c r="B36" s="10" t="n"/>
      <c r="C36" s="10" t="n"/>
      <c r="D36" s="10" t="n"/>
      <c r="E36" s="10" t="n"/>
    </row>
    <row r="37" ht="24" customHeight="1"/>
    <row r="38" ht="24" customHeight="1"/>
    <row r="39" ht="24" customHeight="1"/>
  </sheetData>
  <mergeCells count="11">
    <mergeCell ref="B31:E31"/>
    <mergeCell ref="C5:E5"/>
    <mergeCell ref="C8:E8"/>
    <mergeCell ref="C9:E9"/>
    <mergeCell ref="C4:E4"/>
    <mergeCell ref="C3:E3"/>
    <mergeCell ref="B11:E11"/>
    <mergeCell ref="B2:E2"/>
    <mergeCell ref="C7:E7"/>
    <mergeCell ref="C6:E6"/>
    <mergeCell ref="C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0" customWidth="1" min="4" max="4"/>
    <col width="14" customWidth="1" min="5" max="5"/>
    <col width="12" customWidth="1" min="6" max="6"/>
    <col width="12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ICT COMMITTEE: ATTENDANCE &amp; QUORUM REGISTER</t>
        </is>
      </c>
    </row>
    <row r="3" ht="25" customHeight="1">
      <c r="B3" s="2" t="inlineStr">
        <is>
          <t>Meeting No.: _______  Date: _______  Total Strength: _______  Quorum Required (50%):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Role / Designation</t>
        </is>
      </c>
      <c r="E4" s="13" t="inlineStr">
        <is>
          <t>Mode
(Physical/VC)</t>
        </is>
      </c>
      <c r="F4" s="13" t="inlineStr">
        <is>
          <t>Present
(P/A)</t>
        </is>
      </c>
      <c r="G4" s="13" t="inlineStr">
        <is>
          <t>Proxy
(Y/N)</t>
        </is>
      </c>
      <c r="H4" s="13" t="inlineStr">
        <is>
          <t>Proxy Holder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/>
      <c r="E5" s="16" t="inlineStr">
        <is>
          <t>Physical</t>
        </is>
      </c>
      <c r="F5" s="16" t="inlineStr"/>
      <c r="G5" s="16" t="inlineStr">
        <is>
          <t>N</t>
        </is>
      </c>
      <c r="H5" s="16" t="inlineStr"/>
      <c r="I5" s="16" t="inlineStr"/>
    </row>
    <row r="6" ht="22" customHeight="1">
      <c r="B6" s="8" t="n">
        <v>2</v>
      </c>
      <c r="C6" s="9" t="inlineStr"/>
      <c r="D6" s="9" t="inlineStr"/>
      <c r="E6" s="10" t="inlineStr">
        <is>
          <t>Physical</t>
        </is>
      </c>
      <c r="F6" s="10" t="inlineStr"/>
      <c r="G6" s="10" t="inlineStr">
        <is>
          <t>N</t>
        </is>
      </c>
      <c r="H6" s="10" t="inlineStr"/>
      <c r="I6" s="10" t="inlineStr"/>
    </row>
    <row r="7" ht="22" customHeight="1">
      <c r="B7" s="14" t="n">
        <v>3</v>
      </c>
      <c r="C7" s="15" t="inlineStr"/>
      <c r="D7" s="15" t="inlineStr"/>
      <c r="E7" s="16" t="inlineStr">
        <is>
          <t>Physical</t>
        </is>
      </c>
      <c r="F7" s="16" t="inlineStr"/>
      <c r="G7" s="16" t="inlineStr">
        <is>
          <t>N</t>
        </is>
      </c>
      <c r="H7" s="16" t="inlineStr"/>
      <c r="I7" s="16" t="inlineStr"/>
    </row>
    <row r="8" ht="22" customHeight="1">
      <c r="B8" s="8" t="n">
        <v>4</v>
      </c>
      <c r="C8" s="9" t="inlineStr"/>
      <c r="D8" s="9" t="inlineStr"/>
      <c r="E8" s="10" t="inlineStr">
        <is>
          <t>Physical</t>
        </is>
      </c>
      <c r="F8" s="10" t="inlineStr"/>
      <c r="G8" s="10" t="inlineStr">
        <is>
          <t>N</t>
        </is>
      </c>
      <c r="H8" s="10" t="inlineStr"/>
      <c r="I8" s="10" t="inlineStr"/>
    </row>
    <row r="9" ht="22" customHeight="1">
      <c r="B9" s="14" t="n">
        <v>5</v>
      </c>
      <c r="C9" s="15" t="inlineStr"/>
      <c r="D9" s="15" t="inlineStr"/>
      <c r="E9" s="16" t="inlineStr">
        <is>
          <t>Physical</t>
        </is>
      </c>
      <c r="F9" s="16" t="inlineStr"/>
      <c r="G9" s="16" t="inlineStr">
        <is>
          <t>N</t>
        </is>
      </c>
      <c r="H9" s="16" t="inlineStr"/>
      <c r="I9" s="16" t="inlineStr"/>
    </row>
    <row r="10" ht="22" customHeight="1">
      <c r="B10" s="8" t="n">
        <v>6</v>
      </c>
      <c r="C10" s="9" t="inlineStr"/>
      <c r="D10" s="9" t="inlineStr"/>
      <c r="E10" s="10" t="inlineStr">
        <is>
          <t>Physical</t>
        </is>
      </c>
      <c r="F10" s="10" t="inlineStr"/>
      <c r="G10" s="10" t="inlineStr">
        <is>
          <t>N</t>
        </is>
      </c>
      <c r="H10" s="10" t="inlineStr"/>
      <c r="I10" s="10" t="inlineStr"/>
    </row>
    <row r="11" ht="22" customHeight="1">
      <c r="B11" s="14" t="n">
        <v>7</v>
      </c>
      <c r="C11" s="15" t="inlineStr"/>
      <c r="D11" s="15" t="inlineStr"/>
      <c r="E11" s="16" t="inlineStr">
        <is>
          <t>Physical</t>
        </is>
      </c>
      <c r="F11" s="16" t="inlineStr"/>
      <c r="G11" s="16" t="inlineStr">
        <is>
          <t>N</t>
        </is>
      </c>
      <c r="H11" s="16" t="inlineStr"/>
      <c r="I11" s="16" t="inlineStr"/>
    </row>
    <row r="12" ht="22" customHeight="1">
      <c r="B12" s="8" t="n">
        <v>8</v>
      </c>
      <c r="C12" s="9" t="inlineStr"/>
      <c r="D12" s="9" t="inlineStr"/>
      <c r="E12" s="10" t="inlineStr">
        <is>
          <t>Physical</t>
        </is>
      </c>
      <c r="F12" s="10" t="inlineStr"/>
      <c r="G12" s="10" t="inlineStr">
        <is>
          <t>N</t>
        </is>
      </c>
      <c r="H12" s="10" t="inlineStr"/>
      <c r="I12" s="10" t="inlineStr"/>
    </row>
    <row r="13" ht="22" customHeight="1">
      <c r="B13" s="14" t="n">
        <v>9</v>
      </c>
      <c r="C13" s="15" t="inlineStr"/>
      <c r="D13" s="15" t="inlineStr"/>
      <c r="E13" s="16" t="inlineStr">
        <is>
          <t>Physical</t>
        </is>
      </c>
      <c r="F13" s="16" t="inlineStr"/>
      <c r="G13" s="16" t="inlineStr">
        <is>
          <t>N</t>
        </is>
      </c>
      <c r="H13" s="16" t="inlineStr"/>
      <c r="I13" s="16" t="inlineStr"/>
    </row>
    <row r="14" ht="22" customHeight="1">
      <c r="B14" s="8" t="n">
        <v>10</v>
      </c>
      <c r="C14" s="9" t="inlineStr"/>
      <c r="D14" s="9" t="inlineStr"/>
      <c r="E14" s="10" t="inlineStr">
        <is>
          <t>Physical</t>
        </is>
      </c>
      <c r="F14" s="10" t="inlineStr"/>
      <c r="G14" s="10" t="inlineStr">
        <is>
          <t>N</t>
        </is>
      </c>
      <c r="H14" s="10" t="inlineStr"/>
      <c r="I14" s="10" t="inlineStr"/>
    </row>
    <row r="15" ht="22" customHeight="1">
      <c r="B15" s="14" t="n">
        <v>11</v>
      </c>
      <c r="C15" s="15" t="inlineStr"/>
      <c r="D15" s="15" t="inlineStr"/>
      <c r="E15" s="16" t="inlineStr">
        <is>
          <t>Physical</t>
        </is>
      </c>
      <c r="F15" s="16" t="inlineStr"/>
      <c r="G15" s="16" t="inlineStr">
        <is>
          <t>N</t>
        </is>
      </c>
      <c r="H15" s="16" t="inlineStr"/>
      <c r="I15" s="16" t="inlineStr"/>
    </row>
    <row r="16" ht="22" customHeight="1">
      <c r="B16" s="8" t="n">
        <v>12</v>
      </c>
      <c r="C16" s="9" t="inlineStr"/>
      <c r="D16" s="9" t="inlineStr"/>
      <c r="E16" s="10" t="inlineStr">
        <is>
          <t>Physical</t>
        </is>
      </c>
      <c r="F16" s="10" t="inlineStr"/>
      <c r="G16" s="10" t="inlineStr">
        <is>
          <t>N</t>
        </is>
      </c>
      <c r="H16" s="10" t="inlineStr"/>
      <c r="I16" s="10" t="inlineStr"/>
    </row>
    <row r="17" ht="22" customHeight="1">
      <c r="B17" s="14" t="n">
        <v>13</v>
      </c>
      <c r="C17" s="15" t="inlineStr"/>
      <c r="D17" s="15" t="inlineStr"/>
      <c r="E17" s="16" t="inlineStr">
        <is>
          <t>Physical</t>
        </is>
      </c>
      <c r="F17" s="16" t="inlineStr"/>
      <c r="G17" s="16" t="inlineStr">
        <is>
          <t>N</t>
        </is>
      </c>
      <c r="H17" s="16" t="inlineStr"/>
      <c r="I17" s="16" t="inlineStr"/>
    </row>
    <row r="18" ht="22" customHeight="1">
      <c r="B18" s="8" t="n">
        <v>14</v>
      </c>
      <c r="C18" s="9" t="inlineStr"/>
      <c r="D18" s="9" t="inlineStr"/>
      <c r="E18" s="10" t="inlineStr">
        <is>
          <t>Physical</t>
        </is>
      </c>
      <c r="F18" s="10" t="inlineStr"/>
      <c r="G18" s="10" t="inlineStr">
        <is>
          <t>N</t>
        </is>
      </c>
      <c r="H18" s="10" t="inlineStr"/>
      <c r="I18" s="10" t="inlineStr"/>
    </row>
    <row r="19" ht="22" customHeight="1">
      <c r="B19" s="14" t="n">
        <v>15</v>
      </c>
      <c r="C19" s="15" t="inlineStr"/>
      <c r="D19" s="15" t="inlineStr"/>
      <c r="E19" s="16" t="inlineStr">
        <is>
          <t>Physical</t>
        </is>
      </c>
      <c r="F19" s="16" t="inlineStr"/>
      <c r="G19" s="16" t="inlineStr">
        <is>
          <t>N</t>
        </is>
      </c>
      <c r="H19" s="16" t="inlineStr"/>
      <c r="I19" s="16" t="inlineStr"/>
    </row>
    <row r="20" ht="22" customHeight="1"/>
    <row r="21" ht="24" customHeight="1">
      <c r="B21" s="20" t="inlineStr">
        <is>
          <t>QUORUM VERIFICATION</t>
        </is>
      </c>
    </row>
    <row r="22" ht="22" customHeight="1">
      <c r="B22" s="23" t="inlineStr">
        <is>
          <t>Total Committee Members</t>
        </is>
      </c>
      <c r="G22" s="24" t="inlineStr"/>
    </row>
    <row r="23" ht="22" customHeight="1">
      <c r="B23" s="25" t="inlineStr">
        <is>
          <t>Present (Physical)</t>
        </is>
      </c>
      <c r="G23" s="24">
        <f>COUNTIF(F5:F19,"P")</f>
        <v/>
      </c>
    </row>
    <row r="24" ht="22" customHeight="1">
      <c r="B24" s="23" t="inlineStr">
        <is>
          <t>Present (VC)</t>
        </is>
      </c>
      <c r="G24" s="24" t="inlineStr"/>
    </row>
    <row r="25" ht="22" customHeight="1">
      <c r="B25" s="25" t="inlineStr">
        <is>
          <t>Total Effective</t>
        </is>
      </c>
      <c r="G25" s="24">
        <f>IFERROR(C23+C24,"")</f>
        <v/>
      </c>
    </row>
    <row r="26" ht="22" customHeight="1">
      <c r="B26" s="23" t="inlineStr">
        <is>
          <t>Quorum Required (50%)</t>
        </is>
      </c>
      <c r="G26" s="24" t="inlineStr"/>
    </row>
    <row r="27" ht="22" customHeight="1">
      <c r="B27" s="25" t="inlineStr">
        <is>
          <t>Quorum Achieved?</t>
        </is>
      </c>
      <c r="G27" s="26">
        <f>IFERROR(IF(C25&gt;=C26,"YES — Meeting Valid","NO — Adjourned"),"")</f>
        <v/>
      </c>
    </row>
    <row r="28" ht="22" customHeight="1"/>
    <row r="29" ht="22" customHeight="1"/>
  </sheetData>
  <mergeCells count="15">
    <mergeCell ref="G24:I24"/>
    <mergeCell ref="B21:I21"/>
    <mergeCell ref="B24:F24"/>
    <mergeCell ref="G27:I27"/>
    <mergeCell ref="G22:I22"/>
    <mergeCell ref="B2:I2"/>
    <mergeCell ref="B25:F25"/>
    <mergeCell ref="G23:I23"/>
    <mergeCell ref="B3:I3"/>
    <mergeCell ref="B23:F23"/>
    <mergeCell ref="G26:I26"/>
    <mergeCell ref="B22:F22"/>
    <mergeCell ref="B26:F26"/>
    <mergeCell ref="B27:F27"/>
    <mergeCell ref="G25:I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8" customWidth="1" min="3" max="3"/>
    <col width="18" customWidth="1" min="4" max="4"/>
    <col width="12" customWidth="1" min="5" max="5"/>
    <col width="14" customWidth="1" min="6" max="6"/>
    <col width="14" customWidth="1" min="7" max="7"/>
    <col width="3" customWidth="1" min="8" max="8"/>
  </cols>
  <sheetData>
    <row r="1" ht="10" customHeight="1"/>
    <row r="2" ht="48" customHeight="1">
      <c r="B2" s="12" t="inlineStr">
        <is>
          <t>ICT COMMITTEE: MEETING MINUTES &amp; RESOLUTIONS</t>
        </is>
      </c>
    </row>
    <row r="3" ht="25" customHeight="1">
      <c r="B3" s="2" t="inlineStr">
        <is>
          <t>Meeting No.: _______  Date: _______  Venue: _______  Chairperson: ___________________</t>
        </is>
      </c>
    </row>
    <row r="4" ht="24" customHeight="1">
      <c r="B4" s="27" t="inlineStr">
        <is>
          <t>DISCUSSION &amp; RESOLUTIONS</t>
        </is>
      </c>
    </row>
    <row r="5" ht="30" customHeight="1">
      <c r="B5" s="28" t="inlineStr">
        <is>
          <t>Resolution
No.</t>
        </is>
      </c>
      <c r="C5" s="28" t="inlineStr">
        <is>
          <t>Discussion &amp; Resolution</t>
        </is>
      </c>
      <c r="D5" s="28" t="inlineStr">
        <is>
          <t>Responsible</t>
        </is>
      </c>
      <c r="E5" s="28" t="inlineStr">
        <is>
          <t>Voting</t>
        </is>
      </c>
      <c r="F5" s="28" t="inlineStr">
        <is>
          <t>Target
Date</t>
        </is>
      </c>
      <c r="G5" s="28" t="inlineStr">
        <is>
          <t>Status</t>
        </is>
      </c>
    </row>
    <row r="6" ht="32" customHeight="1">
      <c r="B6" s="14" t="inlineStr">
        <is>
          <t>ICT/RES/001</t>
        </is>
      </c>
      <c r="C6" s="15" t="inlineStr"/>
      <c r="D6" s="16" t="inlineStr"/>
      <c r="E6" s="16" t="inlineStr"/>
      <c r="F6" s="16" t="inlineStr"/>
      <c r="G6" s="16" t="inlineStr">
        <is>
          <t>Pending</t>
        </is>
      </c>
    </row>
    <row r="7" ht="32" customHeight="1">
      <c r="B7" s="8" t="inlineStr">
        <is>
          <t>ICT/RES/002</t>
        </is>
      </c>
      <c r="C7" s="9" t="inlineStr"/>
      <c r="D7" s="10" t="inlineStr"/>
      <c r="E7" s="10" t="inlineStr"/>
      <c r="F7" s="10" t="inlineStr"/>
      <c r="G7" s="10" t="inlineStr">
        <is>
          <t>Pending</t>
        </is>
      </c>
    </row>
    <row r="8" ht="32" customHeight="1">
      <c r="B8" s="14" t="inlineStr">
        <is>
          <t>ICT/RES/003</t>
        </is>
      </c>
      <c r="C8" s="15" t="inlineStr"/>
      <c r="D8" s="16" t="inlineStr"/>
      <c r="E8" s="16" t="inlineStr"/>
      <c r="F8" s="16" t="inlineStr"/>
      <c r="G8" s="16" t="inlineStr">
        <is>
          <t>Pending</t>
        </is>
      </c>
    </row>
    <row r="9" ht="32" customHeight="1">
      <c r="B9" s="8" t="inlineStr">
        <is>
          <t>ICT/RES/004</t>
        </is>
      </c>
      <c r="C9" s="9" t="inlineStr"/>
      <c r="D9" s="10" t="inlineStr"/>
      <c r="E9" s="10" t="inlineStr"/>
      <c r="F9" s="10" t="inlineStr"/>
      <c r="G9" s="10" t="inlineStr">
        <is>
          <t>Pending</t>
        </is>
      </c>
    </row>
    <row r="10" ht="32" customHeight="1">
      <c r="B10" s="14" t="inlineStr">
        <is>
          <t>ICT/RES/005</t>
        </is>
      </c>
      <c r="C10" s="15" t="inlineStr"/>
      <c r="D10" s="16" t="inlineStr"/>
      <c r="E10" s="16" t="inlineStr"/>
      <c r="F10" s="16" t="inlineStr"/>
      <c r="G10" s="16" t="inlineStr">
        <is>
          <t>Pending</t>
        </is>
      </c>
    </row>
    <row r="11" ht="32" customHeight="1">
      <c r="B11" s="8" t="inlineStr">
        <is>
          <t>ICT/RES/006</t>
        </is>
      </c>
      <c r="C11" s="9" t="inlineStr"/>
      <c r="D11" s="10" t="inlineStr"/>
      <c r="E11" s="10" t="inlineStr"/>
      <c r="F11" s="10" t="inlineStr"/>
      <c r="G11" s="10" t="inlineStr">
        <is>
          <t>Pending</t>
        </is>
      </c>
    </row>
    <row r="12" ht="32" customHeight="1">
      <c r="B12" s="14" t="inlineStr">
        <is>
          <t>ICT/RES/007</t>
        </is>
      </c>
      <c r="C12" s="15" t="inlineStr"/>
      <c r="D12" s="16" t="inlineStr"/>
      <c r="E12" s="16" t="inlineStr"/>
      <c r="F12" s="16" t="inlineStr"/>
      <c r="G12" s="16" t="inlineStr">
        <is>
          <t>Pending</t>
        </is>
      </c>
    </row>
    <row r="13" ht="32" customHeight="1">
      <c r="B13" s="8" t="inlineStr">
        <is>
          <t>ICT/RES/008</t>
        </is>
      </c>
      <c r="C13" s="9" t="inlineStr"/>
      <c r="D13" s="10" t="inlineStr"/>
      <c r="E13" s="10" t="inlineStr"/>
      <c r="F13" s="10" t="inlineStr"/>
      <c r="G13" s="10" t="inlineStr">
        <is>
          <t>Pending</t>
        </is>
      </c>
    </row>
    <row r="14" ht="32" customHeight="1">
      <c r="B14" s="14" t="inlineStr">
        <is>
          <t>ICT/RES/009</t>
        </is>
      </c>
      <c r="C14" s="15" t="inlineStr"/>
      <c r="D14" s="16" t="inlineStr"/>
      <c r="E14" s="16" t="inlineStr"/>
      <c r="F14" s="16" t="inlineStr"/>
      <c r="G14" s="16" t="inlineStr">
        <is>
          <t>Pending</t>
        </is>
      </c>
    </row>
    <row r="15" ht="32" customHeight="1">
      <c r="B15" s="8" t="inlineStr">
        <is>
          <t>ICT/RES/010</t>
        </is>
      </c>
      <c r="C15" s="9" t="inlineStr"/>
      <c r="D15" s="10" t="inlineStr"/>
      <c r="E15" s="10" t="inlineStr"/>
      <c r="F15" s="10" t="inlineStr"/>
      <c r="G15" s="10" t="inlineStr">
        <is>
          <t>Pending</t>
        </is>
      </c>
    </row>
    <row r="16" ht="32" customHeight="1">
      <c r="B16" s="14" t="inlineStr">
        <is>
          <t>ICT/RES/011</t>
        </is>
      </c>
      <c r="C16" s="15" t="inlineStr"/>
      <c r="D16" s="16" t="inlineStr"/>
      <c r="E16" s="16" t="inlineStr"/>
      <c r="F16" s="16" t="inlineStr"/>
      <c r="G16" s="16" t="inlineStr">
        <is>
          <t>Pending</t>
        </is>
      </c>
    </row>
    <row r="17" ht="32" customHeight="1">
      <c r="B17" s="8" t="inlineStr">
        <is>
          <t>ICT/RES/012</t>
        </is>
      </c>
      <c r="C17" s="9" t="inlineStr"/>
      <c r="D17" s="10" t="inlineStr"/>
      <c r="E17" s="10" t="inlineStr"/>
      <c r="F17" s="10" t="inlineStr"/>
      <c r="G17" s="10" t="inlineStr">
        <is>
          <t>Pending</t>
        </is>
      </c>
    </row>
    <row r="18" ht="32" customHeight="1">
      <c r="B18" s="14" t="inlineStr">
        <is>
          <t>ICT/RES/013</t>
        </is>
      </c>
      <c r="C18" s="15" t="inlineStr"/>
      <c r="D18" s="16" t="inlineStr"/>
      <c r="E18" s="16" t="inlineStr"/>
      <c r="F18" s="16" t="inlineStr"/>
      <c r="G18" s="16" t="inlineStr">
        <is>
          <t>Pending</t>
        </is>
      </c>
    </row>
    <row r="19" ht="32" customHeight="1">
      <c r="B19" s="8" t="inlineStr">
        <is>
          <t>ICT/RES/014</t>
        </is>
      </c>
      <c r="C19" s="9" t="inlineStr"/>
      <c r="D19" s="10" t="inlineStr"/>
      <c r="E19" s="10" t="inlineStr"/>
      <c r="F19" s="10" t="inlineStr"/>
      <c r="G19" s="10" t="inlineStr">
        <is>
          <t>Pending</t>
        </is>
      </c>
    </row>
    <row r="20" ht="30" customHeight="1"/>
    <row r="21" ht="30" customHeight="1">
      <c r="B21" s="29" t="inlineStr">
        <is>
          <t>Next Meeting: _______    Chairperson: ___________________    Secretary: ___________________</t>
        </is>
      </c>
    </row>
    <row r="22" ht="30" customHeight="1"/>
    <row r="23" ht="30" customHeight="1"/>
    <row r="24" ht="30" customHeight="1"/>
  </sheetData>
  <mergeCells count="4">
    <mergeCell ref="B3:G3"/>
    <mergeCell ref="B2:G2"/>
    <mergeCell ref="B4:G4"/>
    <mergeCell ref="B21:G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20" customWidth="1" min="4" max="4"/>
    <col width="16" customWidth="1" min="5" max="5"/>
    <col width="13" customWidth="1" min="6" max="6"/>
    <col width="13" customWidth="1" min="7" max="7"/>
    <col width="16" customWidth="1" min="8" max="8"/>
    <col width="3" customWidth="1" min="9" max="9"/>
  </cols>
  <sheetData>
    <row r="1" ht="10" customHeight="1"/>
    <row r="2" ht="48" customHeight="1">
      <c r="B2" s="12" t="inlineStr">
        <is>
          <t>ICT COMMITTEE: ACTION TAKEN REPORT (ATR)</t>
        </is>
      </c>
    </row>
    <row r="3" ht="25" customHeight="1">
      <c r="B3" s="2" t="inlineStr">
        <is>
          <t>Current Meeting No.: _______  Date: _______  Previous Meeting Ref.: _______</t>
        </is>
      </c>
    </row>
    <row r="4" ht="25" customHeight="1">
      <c r="B4" s="30" t="inlineStr">
        <is>
          <t>Resolution
No.</t>
        </is>
      </c>
      <c r="C4" s="30" t="inlineStr">
        <is>
          <t>Resolution / Decision</t>
        </is>
      </c>
      <c r="D4" s="30" t="inlineStr">
        <is>
          <t>Action Required</t>
        </is>
      </c>
      <c r="E4" s="30" t="inlineStr">
        <is>
          <t>Responsible</t>
        </is>
      </c>
      <c r="F4" s="30" t="inlineStr">
        <is>
          <t>Target
Date</t>
        </is>
      </c>
      <c r="G4" s="30" t="inlineStr">
        <is>
          <t>Completion
Date</t>
        </is>
      </c>
      <c r="H4" s="30" t="inlineStr">
        <is>
          <t>Status</t>
        </is>
      </c>
    </row>
    <row r="5" ht="26" customHeight="1">
      <c r="B5" s="31" t="inlineStr">
        <is>
          <t>ICT/RES/001</t>
        </is>
      </c>
      <c r="C5" s="32" t="inlineStr"/>
      <c r="D5" s="32" t="inlineStr"/>
      <c r="E5" s="33" t="inlineStr"/>
      <c r="F5" s="33" t="inlineStr"/>
      <c r="G5" s="33" t="inlineStr"/>
      <c r="H5" s="32" t="inlineStr">
        <is>
          <t>In Progress</t>
        </is>
      </c>
    </row>
    <row r="6" ht="26" customHeight="1">
      <c r="B6" s="8" t="inlineStr">
        <is>
          <t>ICT/RES/002</t>
        </is>
      </c>
      <c r="C6" s="9" t="inlineStr"/>
      <c r="D6" s="9" t="inlineStr"/>
      <c r="E6" s="10" t="inlineStr"/>
      <c r="F6" s="10" t="inlineStr"/>
      <c r="G6" s="10" t="inlineStr"/>
      <c r="H6" s="9" t="inlineStr">
        <is>
          <t>In Progress</t>
        </is>
      </c>
    </row>
    <row r="7" ht="26" customHeight="1">
      <c r="B7" s="31" t="inlineStr">
        <is>
          <t>ICT/RES/003</t>
        </is>
      </c>
      <c r="C7" s="32" t="inlineStr"/>
      <c r="D7" s="32" t="inlineStr"/>
      <c r="E7" s="33" t="inlineStr"/>
      <c r="F7" s="33" t="inlineStr"/>
      <c r="G7" s="33" t="inlineStr"/>
      <c r="H7" s="32" t="inlineStr">
        <is>
          <t>In Progress</t>
        </is>
      </c>
    </row>
    <row r="8" ht="26" customHeight="1">
      <c r="B8" s="8" t="inlineStr">
        <is>
          <t>ICT/RES/004</t>
        </is>
      </c>
      <c r="C8" s="9" t="inlineStr"/>
      <c r="D8" s="9" t="inlineStr"/>
      <c r="E8" s="10" t="inlineStr"/>
      <c r="F8" s="10" t="inlineStr"/>
      <c r="G8" s="10" t="inlineStr"/>
      <c r="H8" s="9" t="inlineStr">
        <is>
          <t>In Progress</t>
        </is>
      </c>
    </row>
    <row r="9" ht="26" customHeight="1">
      <c r="B9" s="31" t="inlineStr">
        <is>
          <t>ICT/RES/005</t>
        </is>
      </c>
      <c r="C9" s="32" t="inlineStr"/>
      <c r="D9" s="32" t="inlineStr"/>
      <c r="E9" s="33" t="inlineStr"/>
      <c r="F9" s="33" t="inlineStr"/>
      <c r="G9" s="33" t="inlineStr"/>
      <c r="H9" s="32" t="inlineStr">
        <is>
          <t>In Progress</t>
        </is>
      </c>
    </row>
    <row r="10" ht="26" customHeight="1">
      <c r="B10" s="8" t="inlineStr">
        <is>
          <t>ICT/RES/006</t>
        </is>
      </c>
      <c r="C10" s="9" t="inlineStr"/>
      <c r="D10" s="9" t="inlineStr"/>
      <c r="E10" s="10" t="inlineStr"/>
      <c r="F10" s="10" t="inlineStr"/>
      <c r="G10" s="10" t="inlineStr"/>
      <c r="H10" s="9" t="inlineStr">
        <is>
          <t>In Progress</t>
        </is>
      </c>
    </row>
    <row r="11" ht="26" customHeight="1">
      <c r="B11" s="31" t="inlineStr">
        <is>
          <t>ICT/RES/007</t>
        </is>
      </c>
      <c r="C11" s="32" t="inlineStr"/>
      <c r="D11" s="32" t="inlineStr"/>
      <c r="E11" s="33" t="inlineStr"/>
      <c r="F11" s="33" t="inlineStr"/>
      <c r="G11" s="33" t="inlineStr"/>
      <c r="H11" s="32" t="inlineStr">
        <is>
          <t>In Progress</t>
        </is>
      </c>
    </row>
    <row r="12" ht="26" customHeight="1">
      <c r="B12" s="8" t="inlineStr">
        <is>
          <t>ICT/RES/008</t>
        </is>
      </c>
      <c r="C12" s="9" t="inlineStr"/>
      <c r="D12" s="9" t="inlineStr"/>
      <c r="E12" s="10" t="inlineStr"/>
      <c r="F12" s="10" t="inlineStr"/>
      <c r="G12" s="10" t="inlineStr"/>
      <c r="H12" s="9" t="inlineStr">
        <is>
          <t>In Progress</t>
        </is>
      </c>
    </row>
    <row r="13" ht="26" customHeight="1">
      <c r="B13" s="31" t="inlineStr">
        <is>
          <t>ICT/RES/009</t>
        </is>
      </c>
      <c r="C13" s="32" t="inlineStr"/>
      <c r="D13" s="32" t="inlineStr"/>
      <c r="E13" s="33" t="inlineStr"/>
      <c r="F13" s="33" t="inlineStr"/>
      <c r="G13" s="33" t="inlineStr"/>
      <c r="H13" s="32" t="inlineStr">
        <is>
          <t>In Progress</t>
        </is>
      </c>
    </row>
    <row r="14" ht="26" customHeight="1">
      <c r="B14" s="8" t="inlineStr">
        <is>
          <t>ICT/RES/010</t>
        </is>
      </c>
      <c r="C14" s="9" t="inlineStr"/>
      <c r="D14" s="9" t="inlineStr"/>
      <c r="E14" s="10" t="inlineStr"/>
      <c r="F14" s="10" t="inlineStr"/>
      <c r="G14" s="10" t="inlineStr"/>
      <c r="H14" s="9" t="inlineStr">
        <is>
          <t>In Progress</t>
        </is>
      </c>
    </row>
    <row r="15" ht="26" customHeight="1">
      <c r="B15" s="31" t="inlineStr">
        <is>
          <t>ICT/RES/011</t>
        </is>
      </c>
      <c r="C15" s="32" t="inlineStr"/>
      <c r="D15" s="32" t="inlineStr"/>
      <c r="E15" s="33" t="inlineStr"/>
      <c r="F15" s="33" t="inlineStr"/>
      <c r="G15" s="33" t="inlineStr"/>
      <c r="H15" s="32" t="inlineStr">
        <is>
          <t>In Progress</t>
        </is>
      </c>
    </row>
    <row r="16" ht="26" customHeight="1">
      <c r="B16" s="8" t="inlineStr">
        <is>
          <t>ICT/RES/012</t>
        </is>
      </c>
      <c r="C16" s="9" t="inlineStr"/>
      <c r="D16" s="9" t="inlineStr"/>
      <c r="E16" s="10" t="inlineStr"/>
      <c r="F16" s="10" t="inlineStr"/>
      <c r="G16" s="10" t="inlineStr"/>
      <c r="H16" s="9" t="inlineStr">
        <is>
          <t>In Progress</t>
        </is>
      </c>
    </row>
    <row r="17" ht="26" customHeight="1">
      <c r="B17" s="31" t="inlineStr">
        <is>
          <t>ICT/RES/013</t>
        </is>
      </c>
      <c r="C17" s="32" t="inlineStr"/>
      <c r="D17" s="32" t="inlineStr"/>
      <c r="E17" s="33" t="inlineStr"/>
      <c r="F17" s="33" t="inlineStr"/>
      <c r="G17" s="33" t="inlineStr"/>
      <c r="H17" s="32" t="inlineStr">
        <is>
          <t>In Progress</t>
        </is>
      </c>
    </row>
    <row r="18" ht="26" customHeight="1">
      <c r="B18" s="8" t="inlineStr">
        <is>
          <t>ICT/RES/014</t>
        </is>
      </c>
      <c r="C18" s="9" t="inlineStr"/>
      <c r="D18" s="9" t="inlineStr"/>
      <c r="E18" s="10" t="inlineStr"/>
      <c r="F18" s="10" t="inlineStr"/>
      <c r="G18" s="10" t="inlineStr"/>
      <c r="H18" s="9" t="inlineStr">
        <is>
          <t>In Progress</t>
        </is>
      </c>
    </row>
    <row r="19" ht="26" customHeight="1">
      <c r="B19" s="31" t="inlineStr">
        <is>
          <t>ICT/RES/015</t>
        </is>
      </c>
      <c r="C19" s="32" t="inlineStr"/>
      <c r="D19" s="32" t="inlineStr"/>
      <c r="E19" s="33" t="inlineStr"/>
      <c r="F19" s="33" t="inlineStr"/>
      <c r="G19" s="33" t="inlineStr"/>
      <c r="H19" s="32" t="inlineStr">
        <is>
          <t>In Progress</t>
        </is>
      </c>
    </row>
    <row r="20" ht="26" customHeight="1"/>
    <row r="21" ht="24" customHeight="1">
      <c r="B21" s="34" t="inlineStr">
        <is>
          <t>ATR SUMMARY</t>
        </is>
      </c>
    </row>
    <row r="22" ht="26" customHeight="1">
      <c r="B22" s="35" t="inlineStr">
        <is>
          <t>Total Resolutions Under Review</t>
        </is>
      </c>
      <c r="F22" s="36">
        <f>COUNTA(B5:B19)</f>
        <v/>
      </c>
    </row>
    <row r="23" ht="26" customHeight="1">
      <c r="B23" s="25" t="inlineStr">
        <is>
          <t>Implemented</t>
        </is>
      </c>
      <c r="F23" s="37">
        <f>COUNTIF(H5:H19,"Implemented")</f>
        <v/>
      </c>
    </row>
    <row r="24" ht="26" customHeight="1">
      <c r="B24" s="35" t="inlineStr">
        <is>
          <t>In Progress</t>
        </is>
      </c>
      <c r="F24" s="36">
        <f>COUNTIF(H5:H19,"In Progress")</f>
        <v/>
      </c>
    </row>
    <row r="25" ht="26" customHeight="1">
      <c r="B25" s="25" t="inlineStr">
        <is>
          <t>Pending</t>
        </is>
      </c>
      <c r="F25" s="37">
        <f>COUNTIF(H5:H19,"Pending")</f>
        <v/>
      </c>
    </row>
    <row r="26" ht="26" customHeight="1">
      <c r="B26" s="35" t="inlineStr">
        <is>
          <t>Deferred</t>
        </is>
      </c>
      <c r="F26" s="36">
        <f>COUNTIF(H5:H19,"Deferred")</f>
        <v/>
      </c>
    </row>
    <row r="27" ht="26" customHeight="1">
      <c r="B27" s="25" t="inlineStr">
        <is>
          <t>Implementation Rate (%)</t>
        </is>
      </c>
      <c r="F27" s="37">
        <f>IFERROR(ROUND(C23/C22*100,1),"")</f>
        <v/>
      </c>
    </row>
  </sheetData>
  <mergeCells count="15">
    <mergeCell ref="F23:H23"/>
    <mergeCell ref="B23:E23"/>
    <mergeCell ref="B26:E26"/>
    <mergeCell ref="B27:E27"/>
    <mergeCell ref="F22:H22"/>
    <mergeCell ref="B21:H21"/>
    <mergeCell ref="F27:H27"/>
    <mergeCell ref="F26:H26"/>
    <mergeCell ref="B2:H2"/>
    <mergeCell ref="B25:E25"/>
    <mergeCell ref="B24:E24"/>
    <mergeCell ref="B3:H3"/>
    <mergeCell ref="B22:E22"/>
    <mergeCell ref="F24:H24"/>
    <mergeCell ref="F25:H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K4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2" t="inlineStr">
        <is>
          <t>ICT-04: HARDWARE ASSET INVENTORY REGISTER</t>
        </is>
      </c>
    </row>
    <row r="3" ht="25" customHeight="1">
      <c r="B3" s="2" t="inlineStr">
        <is>
          <t>A.Y.: _______  IT Officer: ___________________  Last Physical Verification: _______</t>
        </is>
      </c>
    </row>
    <row r="4" ht="24" customHeight="1">
      <c r="B4" s="19" t="inlineStr">
        <is>
          <t>COMPUTING ASSETS — DEPARTMENT-WISE</t>
        </is>
      </c>
    </row>
    <row r="5" ht="22" customHeight="1">
      <c r="B5" s="13" t="inlineStr">
        <is>
          <t>Asset
Ref.</t>
        </is>
      </c>
      <c r="C5" s="13" t="inlineStr">
        <is>
          <t>Asset Description</t>
        </is>
      </c>
      <c r="D5" s="13" t="inlineStr">
        <is>
          <t>Make / Model</t>
        </is>
      </c>
      <c r="E5" s="13" t="inlineStr">
        <is>
          <t>Department
/ Location</t>
        </is>
      </c>
      <c r="F5" s="13" t="inlineStr">
        <is>
          <t>Serial No.</t>
        </is>
      </c>
      <c r="G5" s="13" t="inlineStr">
        <is>
          <t>Purchase
Date</t>
        </is>
      </c>
      <c r="H5" s="13" t="inlineStr">
        <is>
          <t>Warranty
Upto</t>
        </is>
      </c>
      <c r="I5" s="13" t="inlineStr">
        <is>
          <t>Condition
(G/F/P)</t>
        </is>
      </c>
      <c r="J5" s="13" t="inlineStr">
        <is>
          <t>Annual
Maint. (₹)</t>
        </is>
      </c>
      <c r="K5" s="13" t="inlineStr">
        <is>
          <t>Remarks</t>
        </is>
      </c>
    </row>
    <row r="6" ht="22" customHeight="1">
      <c r="B6" s="14" t="inlineStr">
        <is>
          <t>HW/0001</t>
        </is>
      </c>
      <c r="C6" s="15" t="inlineStr">
        <is>
          <t>Desktop Computer</t>
        </is>
      </c>
      <c r="D6" s="16" t="inlineStr"/>
      <c r="E6" s="16" t="inlineStr"/>
      <c r="F6" s="16" t="inlineStr"/>
      <c r="G6" s="16" t="inlineStr"/>
      <c r="H6" s="16" t="inlineStr"/>
      <c r="I6" s="16" t="inlineStr">
        <is>
          <t>G</t>
        </is>
      </c>
      <c r="J6" s="16" t="inlineStr"/>
      <c r="K6" s="15" t="inlineStr"/>
    </row>
    <row r="7" ht="22" customHeight="1">
      <c r="B7" s="8" t="inlineStr">
        <is>
          <t>HW/0002</t>
        </is>
      </c>
      <c r="C7" s="9" t="inlineStr">
        <is>
          <t>Laptop</t>
        </is>
      </c>
      <c r="D7" s="10" t="inlineStr"/>
      <c r="E7" s="10" t="inlineStr"/>
      <c r="F7" s="10" t="inlineStr"/>
      <c r="G7" s="10" t="inlineStr"/>
      <c r="H7" s="10" t="inlineStr"/>
      <c r="I7" s="10" t="inlineStr">
        <is>
          <t>G</t>
        </is>
      </c>
      <c r="J7" s="10" t="inlineStr"/>
      <c r="K7" s="9" t="inlineStr"/>
    </row>
    <row r="8" ht="22" customHeight="1">
      <c r="B8" s="14" t="inlineStr">
        <is>
          <t>HW/0003</t>
        </is>
      </c>
      <c r="C8" s="15" t="inlineStr">
        <is>
          <t>Server</t>
        </is>
      </c>
      <c r="D8" s="16" t="inlineStr"/>
      <c r="E8" s="16" t="inlineStr"/>
      <c r="F8" s="16" t="inlineStr"/>
      <c r="G8" s="16" t="inlineStr"/>
      <c r="H8" s="16" t="inlineStr"/>
      <c r="I8" s="16" t="inlineStr">
        <is>
          <t>G</t>
        </is>
      </c>
      <c r="J8" s="16" t="inlineStr"/>
      <c r="K8" s="15" t="inlineStr"/>
    </row>
    <row r="9" ht="22" customHeight="1">
      <c r="B9" s="8" t="inlineStr">
        <is>
          <t>HW/0004</t>
        </is>
      </c>
      <c r="C9" s="9" t="inlineStr">
        <is>
          <t>UPS</t>
        </is>
      </c>
      <c r="D9" s="10" t="inlineStr"/>
      <c r="E9" s="10" t="inlineStr"/>
      <c r="F9" s="10" t="inlineStr"/>
      <c r="G9" s="10" t="inlineStr"/>
      <c r="H9" s="10" t="inlineStr"/>
      <c r="I9" s="10" t="inlineStr">
        <is>
          <t>G</t>
        </is>
      </c>
      <c r="J9" s="10" t="inlineStr"/>
      <c r="K9" s="9" t="inlineStr"/>
    </row>
    <row r="10" ht="22" customHeight="1">
      <c r="B10" s="14" t="inlineStr">
        <is>
          <t>HW/0005</t>
        </is>
      </c>
      <c r="C10" s="15" t="inlineStr">
        <is>
          <t>Router</t>
        </is>
      </c>
      <c r="D10" s="16" t="inlineStr"/>
      <c r="E10" s="16" t="inlineStr"/>
      <c r="F10" s="16" t="inlineStr"/>
      <c r="G10" s="16" t="inlineStr"/>
      <c r="H10" s="16" t="inlineStr"/>
      <c r="I10" s="16" t="inlineStr">
        <is>
          <t>G</t>
        </is>
      </c>
      <c r="J10" s="16" t="inlineStr"/>
      <c r="K10" s="15" t="inlineStr"/>
    </row>
    <row r="11" ht="22" customHeight="1">
      <c r="B11" s="8" t="inlineStr">
        <is>
          <t>HW/0006</t>
        </is>
      </c>
      <c r="C11" s="9" t="inlineStr">
        <is>
          <t>Switch / Hub</t>
        </is>
      </c>
      <c r="D11" s="10" t="inlineStr"/>
      <c r="E11" s="10" t="inlineStr"/>
      <c r="F11" s="10" t="inlineStr"/>
      <c r="G11" s="10" t="inlineStr"/>
      <c r="H11" s="10" t="inlineStr"/>
      <c r="I11" s="10" t="inlineStr">
        <is>
          <t>G</t>
        </is>
      </c>
      <c r="J11" s="10" t="inlineStr"/>
      <c r="K11" s="9" t="inlineStr"/>
    </row>
    <row r="12" ht="22" customHeight="1">
      <c r="B12" s="14" t="inlineStr">
        <is>
          <t>HW/0007</t>
        </is>
      </c>
      <c r="C12" s="15" t="inlineStr">
        <is>
          <t>Wi-Fi Access Point</t>
        </is>
      </c>
      <c r="D12" s="16" t="inlineStr"/>
      <c r="E12" s="16" t="inlineStr"/>
      <c r="F12" s="16" t="inlineStr"/>
      <c r="G12" s="16" t="inlineStr"/>
      <c r="H12" s="16" t="inlineStr"/>
      <c r="I12" s="16" t="inlineStr">
        <is>
          <t>G</t>
        </is>
      </c>
      <c r="J12" s="16" t="inlineStr"/>
      <c r="K12" s="15" t="inlineStr"/>
    </row>
    <row r="13" ht="22" customHeight="1">
      <c r="B13" s="8" t="inlineStr">
        <is>
          <t>HW/0008</t>
        </is>
      </c>
      <c r="C13" s="9" t="inlineStr">
        <is>
          <t>Projector</t>
        </is>
      </c>
      <c r="D13" s="10" t="inlineStr"/>
      <c r="E13" s="10" t="inlineStr"/>
      <c r="F13" s="10" t="inlineStr"/>
      <c r="G13" s="10" t="inlineStr"/>
      <c r="H13" s="10" t="inlineStr"/>
      <c r="I13" s="10" t="inlineStr">
        <is>
          <t>G</t>
        </is>
      </c>
      <c r="J13" s="10" t="inlineStr"/>
      <c r="K13" s="9" t="inlineStr"/>
    </row>
    <row r="14" ht="22" customHeight="1">
      <c r="B14" s="14" t="inlineStr">
        <is>
          <t>HW/0009</t>
        </is>
      </c>
      <c r="C14" s="15" t="inlineStr">
        <is>
          <t>Interactive Board</t>
        </is>
      </c>
      <c r="D14" s="16" t="inlineStr"/>
      <c r="E14" s="16" t="inlineStr"/>
      <c r="F14" s="16" t="inlineStr"/>
      <c r="G14" s="16" t="inlineStr"/>
      <c r="H14" s="16" t="inlineStr"/>
      <c r="I14" s="16" t="inlineStr">
        <is>
          <t>G</t>
        </is>
      </c>
      <c r="J14" s="16" t="inlineStr"/>
      <c r="K14" s="15" t="inlineStr"/>
    </row>
    <row r="15" ht="22" customHeight="1">
      <c r="B15" s="8" t="inlineStr">
        <is>
          <t>HW/0010</t>
        </is>
      </c>
      <c r="C15" s="9" t="inlineStr">
        <is>
          <t>Printer / MFD</t>
        </is>
      </c>
      <c r="D15" s="10" t="inlineStr"/>
      <c r="E15" s="10" t="inlineStr"/>
      <c r="F15" s="10" t="inlineStr"/>
      <c r="G15" s="10" t="inlineStr"/>
      <c r="H15" s="10" t="inlineStr"/>
      <c r="I15" s="10" t="inlineStr">
        <is>
          <t>G</t>
        </is>
      </c>
      <c r="J15" s="10" t="inlineStr"/>
      <c r="K15" s="9" t="inlineStr"/>
    </row>
    <row r="16" ht="22" customHeight="1">
      <c r="B16" s="14" t="inlineStr">
        <is>
          <t>HW/0011</t>
        </is>
      </c>
      <c r="C16" s="15" t="inlineStr">
        <is>
          <t>Scanner</t>
        </is>
      </c>
      <c r="D16" s="16" t="inlineStr"/>
      <c r="E16" s="16" t="inlineStr"/>
      <c r="F16" s="16" t="inlineStr"/>
      <c r="G16" s="16" t="inlineStr"/>
      <c r="H16" s="16" t="inlineStr"/>
      <c r="I16" s="16" t="inlineStr">
        <is>
          <t>G</t>
        </is>
      </c>
      <c r="J16" s="16" t="inlineStr"/>
      <c r="K16" s="15" t="inlineStr"/>
    </row>
    <row r="17" ht="22" customHeight="1">
      <c r="B17" s="8" t="inlineStr">
        <is>
          <t>HW/0012</t>
        </is>
      </c>
      <c r="C17" s="9" t="inlineStr">
        <is>
          <t>Web Camera</t>
        </is>
      </c>
      <c r="D17" s="10" t="inlineStr"/>
      <c r="E17" s="10" t="inlineStr"/>
      <c r="F17" s="10" t="inlineStr"/>
      <c r="G17" s="10" t="inlineStr"/>
      <c r="H17" s="10" t="inlineStr"/>
      <c r="I17" s="10" t="inlineStr">
        <is>
          <t>G</t>
        </is>
      </c>
      <c r="J17" s="10" t="inlineStr"/>
      <c r="K17" s="9" t="inlineStr"/>
    </row>
    <row r="18" ht="22" customHeight="1">
      <c r="B18" s="14" t="inlineStr">
        <is>
          <t>HW/0013</t>
        </is>
      </c>
      <c r="C18" s="15" t="inlineStr">
        <is>
          <t>Firewall Appliance</t>
        </is>
      </c>
      <c r="D18" s="16" t="inlineStr"/>
      <c r="E18" s="16" t="inlineStr"/>
      <c r="F18" s="16" t="inlineStr"/>
      <c r="G18" s="16" t="inlineStr"/>
      <c r="H18" s="16" t="inlineStr"/>
      <c r="I18" s="16" t="inlineStr">
        <is>
          <t>G</t>
        </is>
      </c>
      <c r="J18" s="16" t="inlineStr"/>
      <c r="K18" s="15" t="inlineStr"/>
    </row>
    <row r="19" ht="22" customHeight="1">
      <c r="B19" s="8" t="inlineStr">
        <is>
          <t>HW/0014</t>
        </is>
      </c>
      <c r="C19" s="9" t="inlineStr">
        <is>
          <t>Storage Array / NAS</t>
        </is>
      </c>
      <c r="D19" s="10" t="inlineStr"/>
      <c r="E19" s="10" t="inlineStr"/>
      <c r="F19" s="10" t="inlineStr"/>
      <c r="G19" s="10" t="inlineStr"/>
      <c r="H19" s="10" t="inlineStr"/>
      <c r="I19" s="10" t="inlineStr">
        <is>
          <t>G</t>
        </is>
      </c>
      <c r="J19" s="10" t="inlineStr"/>
      <c r="K19" s="9" t="inlineStr"/>
    </row>
    <row r="20" ht="22" customHeight="1">
      <c r="B20" s="14" t="inlineStr">
        <is>
          <t>HW/0015</t>
        </is>
      </c>
      <c r="C20" s="15" t="inlineStr">
        <is>
          <t>IP Camera / CCTV</t>
        </is>
      </c>
      <c r="D20" s="16" t="inlineStr"/>
      <c r="E20" s="16" t="inlineStr"/>
      <c r="F20" s="16" t="inlineStr"/>
      <c r="G20" s="16" t="inlineStr"/>
      <c r="H20" s="16" t="inlineStr"/>
      <c r="I20" s="16" t="inlineStr">
        <is>
          <t>G</t>
        </is>
      </c>
      <c r="J20" s="16" t="inlineStr"/>
      <c r="K20" s="15" t="inlineStr"/>
    </row>
    <row r="21" ht="22" customHeight="1">
      <c r="B21" s="8" t="inlineStr">
        <is>
          <t>HW/0016</t>
        </is>
      </c>
      <c r="C21" s="9" t="inlineStr">
        <is>
          <t>Biometric Device</t>
        </is>
      </c>
      <c r="D21" s="10" t="inlineStr"/>
      <c r="E21" s="10" t="inlineStr"/>
      <c r="F21" s="10" t="inlineStr"/>
      <c r="G21" s="10" t="inlineStr"/>
      <c r="H21" s="10" t="inlineStr"/>
      <c r="I21" s="10" t="inlineStr">
        <is>
          <t>G</t>
        </is>
      </c>
      <c r="J21" s="10" t="inlineStr"/>
      <c r="K21" s="9" t="inlineStr"/>
    </row>
    <row r="22" ht="22" customHeight="1">
      <c r="B22" s="14" t="inlineStr">
        <is>
          <t>HW/0017</t>
        </is>
      </c>
      <c r="C22" s="15" t="inlineStr">
        <is>
          <t>LED / Smart TV</t>
        </is>
      </c>
      <c r="D22" s="16" t="inlineStr"/>
      <c r="E22" s="16" t="inlineStr"/>
      <c r="F22" s="16" t="inlineStr"/>
      <c r="G22" s="16" t="inlineStr"/>
      <c r="H22" s="16" t="inlineStr"/>
      <c r="I22" s="16" t="inlineStr">
        <is>
          <t>G</t>
        </is>
      </c>
      <c r="J22" s="16" t="inlineStr"/>
      <c r="K22" s="15" t="inlineStr"/>
    </row>
    <row r="23" ht="22" customHeight="1">
      <c r="B23" s="8" t="inlineStr">
        <is>
          <t>HW/0018</t>
        </is>
      </c>
      <c r="C23" s="9" t="inlineStr">
        <is>
          <t>Tablet / iPad</t>
        </is>
      </c>
      <c r="D23" s="10" t="inlineStr"/>
      <c r="E23" s="10" t="inlineStr"/>
      <c r="F23" s="10" t="inlineStr"/>
      <c r="G23" s="10" t="inlineStr"/>
      <c r="H23" s="10" t="inlineStr"/>
      <c r="I23" s="10" t="inlineStr">
        <is>
          <t>G</t>
        </is>
      </c>
      <c r="J23" s="10" t="inlineStr"/>
      <c r="K23" s="9" t="inlineStr"/>
    </row>
    <row r="24" ht="22" customHeight="1">
      <c r="B24" s="14" t="inlineStr">
        <is>
          <t>HW/0019</t>
        </is>
      </c>
      <c r="C24" s="15" t="inlineStr">
        <is>
          <t>Desktop Computer</t>
        </is>
      </c>
      <c r="D24" s="16" t="inlineStr"/>
      <c r="E24" s="16" t="inlineStr"/>
      <c r="F24" s="16" t="inlineStr"/>
      <c r="G24" s="16" t="inlineStr"/>
      <c r="H24" s="16" t="inlineStr"/>
      <c r="I24" s="16" t="inlineStr">
        <is>
          <t>G</t>
        </is>
      </c>
      <c r="J24" s="16" t="inlineStr"/>
      <c r="K24" s="15" t="inlineStr"/>
    </row>
    <row r="25" ht="22" customHeight="1">
      <c r="B25" s="8" t="inlineStr">
        <is>
          <t>HW/0020</t>
        </is>
      </c>
      <c r="C25" s="9" t="inlineStr">
        <is>
          <t>Laptop</t>
        </is>
      </c>
      <c r="D25" s="10" t="inlineStr"/>
      <c r="E25" s="10" t="inlineStr"/>
      <c r="F25" s="10" t="inlineStr"/>
      <c r="G25" s="10" t="inlineStr"/>
      <c r="H25" s="10" t="inlineStr"/>
      <c r="I25" s="10" t="inlineStr">
        <is>
          <t>G</t>
        </is>
      </c>
      <c r="J25" s="10" t="inlineStr"/>
      <c r="K25" s="9" t="inlineStr"/>
    </row>
    <row r="26" ht="22" customHeight="1">
      <c r="B26" s="14" t="inlineStr">
        <is>
          <t>HW/0021</t>
        </is>
      </c>
      <c r="C26" s="15" t="inlineStr">
        <is>
          <t>Server</t>
        </is>
      </c>
      <c r="D26" s="16" t="inlineStr"/>
      <c r="E26" s="16" t="inlineStr"/>
      <c r="F26" s="16" t="inlineStr"/>
      <c r="G26" s="16" t="inlineStr"/>
      <c r="H26" s="16" t="inlineStr"/>
      <c r="I26" s="16" t="inlineStr">
        <is>
          <t>G</t>
        </is>
      </c>
      <c r="J26" s="16" t="inlineStr"/>
      <c r="K26" s="15" t="inlineStr"/>
    </row>
    <row r="27" ht="22" customHeight="1">
      <c r="B27" s="8" t="inlineStr">
        <is>
          <t>HW/0022</t>
        </is>
      </c>
      <c r="C27" s="9" t="inlineStr">
        <is>
          <t>UPS</t>
        </is>
      </c>
      <c r="D27" s="10" t="inlineStr"/>
      <c r="E27" s="10" t="inlineStr"/>
      <c r="F27" s="10" t="inlineStr"/>
      <c r="G27" s="10" t="inlineStr"/>
      <c r="H27" s="10" t="inlineStr"/>
      <c r="I27" s="10" t="inlineStr">
        <is>
          <t>G</t>
        </is>
      </c>
      <c r="J27" s="10" t="inlineStr"/>
      <c r="K27" s="9" t="inlineStr"/>
    </row>
    <row r="28" ht="22" customHeight="1">
      <c r="B28" s="14" t="inlineStr">
        <is>
          <t>HW/0023</t>
        </is>
      </c>
      <c r="C28" s="15" t="inlineStr">
        <is>
          <t>Router</t>
        </is>
      </c>
      <c r="D28" s="16" t="inlineStr"/>
      <c r="E28" s="16" t="inlineStr"/>
      <c r="F28" s="16" t="inlineStr"/>
      <c r="G28" s="16" t="inlineStr"/>
      <c r="H28" s="16" t="inlineStr"/>
      <c r="I28" s="16" t="inlineStr">
        <is>
          <t>G</t>
        </is>
      </c>
      <c r="J28" s="16" t="inlineStr"/>
      <c r="K28" s="15" t="inlineStr"/>
    </row>
    <row r="29" ht="22" customHeight="1">
      <c r="B29" s="8" t="inlineStr">
        <is>
          <t>HW/0024</t>
        </is>
      </c>
      <c r="C29" s="9" t="inlineStr">
        <is>
          <t>Switch / Hub</t>
        </is>
      </c>
      <c r="D29" s="10" t="inlineStr"/>
      <c r="E29" s="10" t="inlineStr"/>
      <c r="F29" s="10" t="inlineStr"/>
      <c r="G29" s="10" t="inlineStr"/>
      <c r="H29" s="10" t="inlineStr"/>
      <c r="I29" s="10" t="inlineStr">
        <is>
          <t>G</t>
        </is>
      </c>
      <c r="J29" s="10" t="inlineStr"/>
      <c r="K29" s="9" t="inlineStr"/>
    </row>
    <row r="30" ht="22" customHeight="1">
      <c r="B30" s="14" t="inlineStr">
        <is>
          <t>HW/0025</t>
        </is>
      </c>
      <c r="C30" s="15" t="inlineStr">
        <is>
          <t>Wi-Fi Access Point</t>
        </is>
      </c>
      <c r="D30" s="16" t="inlineStr"/>
      <c r="E30" s="16" t="inlineStr"/>
      <c r="F30" s="16" t="inlineStr"/>
      <c r="G30" s="16" t="inlineStr"/>
      <c r="H30" s="16" t="inlineStr"/>
      <c r="I30" s="16" t="inlineStr">
        <is>
          <t>G</t>
        </is>
      </c>
      <c r="J30" s="16" t="inlineStr"/>
      <c r="K30" s="15" t="inlineStr"/>
    </row>
    <row r="31" ht="22" customHeight="1">
      <c r="B31" s="8" t="inlineStr">
        <is>
          <t>HW/0026</t>
        </is>
      </c>
      <c r="C31" s="9" t="inlineStr">
        <is>
          <t>Projector</t>
        </is>
      </c>
      <c r="D31" s="10" t="inlineStr"/>
      <c r="E31" s="10" t="inlineStr"/>
      <c r="F31" s="10" t="inlineStr"/>
      <c r="G31" s="10" t="inlineStr"/>
      <c r="H31" s="10" t="inlineStr"/>
      <c r="I31" s="10" t="inlineStr">
        <is>
          <t>G</t>
        </is>
      </c>
      <c r="J31" s="10" t="inlineStr"/>
      <c r="K31" s="9" t="inlineStr"/>
    </row>
    <row r="32" ht="22" customHeight="1">
      <c r="B32" s="14" t="inlineStr">
        <is>
          <t>HW/0027</t>
        </is>
      </c>
      <c r="C32" s="15" t="inlineStr">
        <is>
          <t>Interactive Board</t>
        </is>
      </c>
      <c r="D32" s="16" t="inlineStr"/>
      <c r="E32" s="16" t="inlineStr"/>
      <c r="F32" s="16" t="inlineStr"/>
      <c r="G32" s="16" t="inlineStr"/>
      <c r="H32" s="16" t="inlineStr"/>
      <c r="I32" s="16" t="inlineStr">
        <is>
          <t>G</t>
        </is>
      </c>
      <c r="J32" s="16" t="inlineStr"/>
      <c r="K32" s="15" t="inlineStr"/>
    </row>
    <row r="33" ht="22" customHeight="1">
      <c r="B33" s="8" t="inlineStr">
        <is>
          <t>HW/0028</t>
        </is>
      </c>
      <c r="C33" s="9" t="inlineStr">
        <is>
          <t>Printer / MFD</t>
        </is>
      </c>
      <c r="D33" s="10" t="inlineStr"/>
      <c r="E33" s="10" t="inlineStr"/>
      <c r="F33" s="10" t="inlineStr"/>
      <c r="G33" s="10" t="inlineStr"/>
      <c r="H33" s="10" t="inlineStr"/>
      <c r="I33" s="10" t="inlineStr">
        <is>
          <t>G</t>
        </is>
      </c>
      <c r="J33" s="10" t="inlineStr"/>
      <c r="K33" s="9" t="inlineStr"/>
    </row>
    <row r="34" ht="22" customHeight="1">
      <c r="B34" s="14" t="inlineStr">
        <is>
          <t>HW/0029</t>
        </is>
      </c>
      <c r="C34" s="15" t="inlineStr">
        <is>
          <t>Scanner</t>
        </is>
      </c>
      <c r="D34" s="16" t="inlineStr"/>
      <c r="E34" s="16" t="inlineStr"/>
      <c r="F34" s="16" t="inlineStr"/>
      <c r="G34" s="16" t="inlineStr"/>
      <c r="H34" s="16" t="inlineStr"/>
      <c r="I34" s="16" t="inlineStr">
        <is>
          <t>G</t>
        </is>
      </c>
      <c r="J34" s="16" t="inlineStr"/>
      <c r="K34" s="15" t="inlineStr"/>
    </row>
    <row r="35" ht="22" customHeight="1">
      <c r="B35" s="8" t="inlineStr">
        <is>
          <t>HW/0030</t>
        </is>
      </c>
      <c r="C35" s="9" t="inlineStr">
        <is>
          <t>Web Camera</t>
        </is>
      </c>
      <c r="D35" s="10" t="inlineStr"/>
      <c r="E35" s="10" t="inlineStr"/>
      <c r="F35" s="10" t="inlineStr"/>
      <c r="G35" s="10" t="inlineStr"/>
      <c r="H35" s="10" t="inlineStr"/>
      <c r="I35" s="10" t="inlineStr">
        <is>
          <t>G</t>
        </is>
      </c>
      <c r="J35" s="10" t="inlineStr"/>
      <c r="K35" s="9" t="inlineStr"/>
    </row>
    <row r="36" ht="22" customHeight="1"/>
    <row r="37" ht="24" customHeight="1">
      <c r="B37" s="34" t="inlineStr">
        <is>
          <t>ASSET SUMMARY BY CATEGORY</t>
        </is>
      </c>
    </row>
    <row r="38" ht="22" customHeight="1">
      <c r="B38" s="30" t="inlineStr">
        <is>
          <t>Asset Category</t>
        </is>
      </c>
      <c r="C38" s="30" t="inlineStr">
        <is>
          <t>Total Units</t>
        </is>
      </c>
      <c r="D38" s="30" t="inlineStr">
        <is>
          <t>Good
Condition</t>
        </is>
      </c>
      <c r="E38" s="30" t="inlineStr">
        <is>
          <t>Fair
Condition</t>
        </is>
      </c>
      <c r="F38" s="30" t="inlineStr">
        <is>
          <t>Poor /
Beyond Repair</t>
        </is>
      </c>
      <c r="G38" s="30" t="inlineStr">
        <is>
          <t>Under
Warranty</t>
        </is>
      </c>
      <c r="H38" s="30" t="inlineStr">
        <is>
          <t>AMC
Covered</t>
        </is>
      </c>
      <c r="I38" s="30" t="inlineStr">
        <is>
          <t>Total AMC
Cost (₹)</t>
        </is>
      </c>
      <c r="J38" s="30" t="inlineStr">
        <is>
          <t>Replacement
Due</t>
        </is>
      </c>
      <c r="K38" s="30" t="inlineStr">
        <is>
          <t>Remarks</t>
        </is>
      </c>
    </row>
    <row r="39" ht="22" customHeight="1">
      <c r="B39" s="35" t="inlineStr">
        <is>
          <t>Computers (Desktop + Laptop)</t>
        </is>
      </c>
      <c r="C39" s="33" t="inlineStr"/>
      <c r="D39" s="33" t="inlineStr"/>
      <c r="E39" s="33" t="inlineStr"/>
      <c r="F39" s="33" t="inlineStr"/>
      <c r="G39" s="33" t="inlineStr"/>
      <c r="H39" s="33" t="inlineStr"/>
      <c r="I39" s="33" t="inlineStr"/>
      <c r="J39" s="33" t="inlineStr"/>
      <c r="K39" s="32" t="inlineStr"/>
    </row>
    <row r="40" ht="22" customHeight="1">
      <c r="B40" s="25" t="inlineStr">
        <is>
          <t>Servers &amp; Storage</t>
        </is>
      </c>
      <c r="C40" s="10" t="inlineStr"/>
      <c r="D40" s="10" t="inlineStr"/>
      <c r="E40" s="10" t="inlineStr"/>
      <c r="F40" s="10" t="inlineStr"/>
      <c r="G40" s="10" t="inlineStr"/>
      <c r="H40" s="10" t="inlineStr"/>
      <c r="I40" s="10" t="inlineStr"/>
      <c r="J40" s="10" t="inlineStr"/>
      <c r="K40" s="9" t="inlineStr"/>
    </row>
    <row r="41" ht="22" customHeight="1">
      <c r="B41" s="35" t="inlineStr">
        <is>
          <t>Network Equipment</t>
        </is>
      </c>
      <c r="C41" s="33" t="inlineStr"/>
      <c r="D41" s="33" t="inlineStr"/>
      <c r="E41" s="33" t="inlineStr"/>
      <c r="F41" s="33" t="inlineStr"/>
      <c r="G41" s="33" t="inlineStr"/>
      <c r="H41" s="33" t="inlineStr"/>
      <c r="I41" s="33" t="inlineStr"/>
      <c r="J41" s="33" t="inlineStr"/>
      <c r="K41" s="32" t="inlineStr"/>
    </row>
    <row r="42" ht="22" customHeight="1">
      <c r="B42" s="25" t="inlineStr">
        <is>
          <t>Projectors &amp; AV</t>
        </is>
      </c>
      <c r="C42" s="10" t="inlineStr"/>
      <c r="D42" s="10" t="inlineStr"/>
      <c r="E42" s="10" t="inlineStr"/>
      <c r="F42" s="10" t="inlineStr"/>
      <c r="G42" s="10" t="inlineStr"/>
      <c r="H42" s="10" t="inlineStr"/>
      <c r="I42" s="10" t="inlineStr"/>
      <c r="J42" s="10" t="inlineStr"/>
      <c r="K42" s="9" t="inlineStr"/>
    </row>
    <row r="43" ht="22" customHeight="1">
      <c r="B43" s="35" t="inlineStr">
        <is>
          <t>Printers &amp; Peripherals</t>
        </is>
      </c>
      <c r="C43" s="33" t="inlineStr"/>
      <c r="D43" s="33" t="inlineStr"/>
      <c r="E43" s="33" t="inlineStr"/>
      <c r="F43" s="33" t="inlineStr"/>
      <c r="G43" s="33" t="inlineStr"/>
      <c r="H43" s="33" t="inlineStr"/>
      <c r="I43" s="33" t="inlineStr"/>
      <c r="J43" s="33" t="inlineStr"/>
      <c r="K43" s="32" t="inlineStr"/>
    </row>
    <row r="44" ht="22" customHeight="1">
      <c r="B44" s="25" t="inlineStr">
        <is>
          <t>Security &amp; Surveillance</t>
        </is>
      </c>
      <c r="C44" s="10" t="inlineStr"/>
      <c r="D44" s="10" t="inlineStr"/>
      <c r="E44" s="10" t="inlineStr"/>
      <c r="F44" s="10" t="inlineStr"/>
      <c r="G44" s="10" t="inlineStr"/>
      <c r="H44" s="10" t="inlineStr"/>
      <c r="I44" s="10" t="inlineStr"/>
      <c r="J44" s="10" t="inlineStr"/>
      <c r="K44" s="9" t="inlineStr"/>
    </row>
    <row r="45" ht="22" customHeight="1">
      <c r="B45" s="35" t="inlineStr">
        <is>
          <t>UPS &amp; Power</t>
        </is>
      </c>
      <c r="C45" s="33" t="inlineStr"/>
      <c r="D45" s="33" t="inlineStr"/>
      <c r="E45" s="33" t="inlineStr"/>
      <c r="F45" s="33" t="inlineStr"/>
      <c r="G45" s="33" t="inlineStr"/>
      <c r="H45" s="33" t="inlineStr"/>
      <c r="I45" s="33" t="inlineStr"/>
      <c r="J45" s="33" t="inlineStr"/>
      <c r="K45" s="32" t="inlineStr"/>
    </row>
    <row r="46" ht="22" customHeight="1">
      <c r="B46" s="25" t="inlineStr">
        <is>
          <t>Other IT Assets</t>
        </is>
      </c>
      <c r="C46" s="10" t="inlineStr"/>
      <c r="D46" s="10" t="inlineStr"/>
      <c r="E46" s="10" t="inlineStr"/>
      <c r="F46" s="10" t="inlineStr"/>
      <c r="G46" s="10" t="inlineStr"/>
      <c r="H46" s="10" t="inlineStr"/>
      <c r="I46" s="10" t="inlineStr"/>
      <c r="J46" s="10" t="inlineStr"/>
      <c r="K46" s="9" t="inlineStr"/>
    </row>
    <row r="47" ht="22" customHeight="1"/>
    <row r="48" ht="22" customHeight="1"/>
    <row r="49" ht="22" customHeight="1"/>
  </sheetData>
  <mergeCells count="4">
    <mergeCell ref="B4:K4"/>
    <mergeCell ref="B37:K37"/>
    <mergeCell ref="B3:K3"/>
    <mergeCell ref="B2:K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I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ICT-05: NETWORK INFRASTRUCTURE REGISTER</t>
        </is>
      </c>
    </row>
    <row r="3" ht="25" customHeight="1">
      <c r="B3" s="2" t="inlineStr">
        <is>
          <t>A.Y.: _______  Network Administrator: ___________________  Last Audit: _______</t>
        </is>
      </c>
    </row>
    <row r="4" ht="24" customHeight="1">
      <c r="B4" s="19" t="inlineStr">
        <is>
          <t>INTERNET CONNECTIVITY</t>
        </is>
      </c>
    </row>
    <row r="5" ht="22" customHeight="1">
      <c r="B5" s="13" t="inlineStr">
        <is>
          <t>Connection
Ref.</t>
        </is>
      </c>
      <c r="C5" s="13" t="inlineStr">
        <is>
          <t>ISP / Provider</t>
        </is>
      </c>
      <c r="D5" s="13" t="inlineStr">
        <is>
          <t>Link Type</t>
        </is>
      </c>
      <c r="E5" s="13" t="inlineStr">
        <is>
          <t>Bandwidth
(Mbps)</t>
        </is>
      </c>
      <c r="F5" s="13" t="inlineStr">
        <is>
          <t>Annual
Cost (₹L)</t>
        </is>
      </c>
      <c r="G5" s="13" t="inlineStr">
        <is>
          <t>Valid Upto</t>
        </is>
      </c>
      <c r="H5" s="13" t="inlineStr">
        <is>
          <t>Uptime
SLA (%)</t>
        </is>
      </c>
      <c r="I5" s="13" t="inlineStr">
        <is>
          <t>Status</t>
        </is>
      </c>
    </row>
    <row r="6" ht="22" customHeight="1">
      <c r="B6" s="16" t="inlineStr">
        <is>
          <t>NET/01</t>
        </is>
      </c>
      <c r="C6" s="16" t="inlineStr">
        <is>
          <t>ISP-1</t>
        </is>
      </c>
      <c r="D6" s="16" t="inlineStr">
        <is>
          <t>Leased Line</t>
        </is>
      </c>
      <c r="E6" s="16" t="inlineStr">
        <is>
          <t>1000</t>
        </is>
      </c>
      <c r="F6" s="16" t="inlineStr"/>
      <c r="G6" s="16" t="inlineStr"/>
      <c r="H6" s="16" t="inlineStr"/>
      <c r="I6" s="16" t="inlineStr">
        <is>
          <t>Active</t>
        </is>
      </c>
    </row>
    <row r="7" ht="22" customHeight="1">
      <c r="B7" s="10" t="inlineStr">
        <is>
          <t>NET/02</t>
        </is>
      </c>
      <c r="C7" s="10" t="inlineStr">
        <is>
          <t>ISP-2</t>
        </is>
      </c>
      <c r="D7" s="10" t="inlineStr">
        <is>
          <t>MPLS/Broadband</t>
        </is>
      </c>
      <c r="E7" s="10" t="inlineStr">
        <is>
          <t>100</t>
        </is>
      </c>
      <c r="F7" s="10" t="inlineStr"/>
      <c r="G7" s="10" t="inlineStr"/>
      <c r="H7" s="10" t="inlineStr"/>
      <c r="I7" s="10" t="inlineStr">
        <is>
          <t>Active</t>
        </is>
      </c>
    </row>
    <row r="8" ht="22" customHeight="1">
      <c r="B8" s="16" t="inlineStr">
        <is>
          <t>NET/03</t>
        </is>
      </c>
      <c r="C8" s="16" t="inlineStr">
        <is>
          <t>NKN</t>
        </is>
      </c>
      <c r="D8" s="16" t="inlineStr">
        <is>
          <t>Leased Line</t>
        </is>
      </c>
      <c r="E8" s="16" t="inlineStr">
        <is>
          <t>500</t>
        </is>
      </c>
      <c r="F8" s="16" t="inlineStr"/>
      <c r="G8" s="16" t="inlineStr"/>
      <c r="H8" s="16" t="inlineStr"/>
      <c r="I8" s="16" t="inlineStr">
        <is>
          <t>Active</t>
        </is>
      </c>
    </row>
    <row r="9" ht="22" customHeight="1">
      <c r="B9" s="10" t="inlineStr">
        <is>
          <t>NET/04</t>
        </is>
      </c>
      <c r="C9" s="10" t="inlineStr"/>
      <c r="D9" s="10" t="inlineStr">
        <is>
          <t>Fibre</t>
        </is>
      </c>
      <c r="E9" s="10" t="inlineStr"/>
      <c r="F9" s="10" t="inlineStr"/>
      <c r="G9" s="10" t="inlineStr"/>
      <c r="H9" s="10" t="inlineStr"/>
      <c r="I9" s="10" t="inlineStr">
        <is>
          <t>Active</t>
        </is>
      </c>
    </row>
    <row r="10" ht="22" customHeight="1"/>
    <row r="11" ht="24" customHeight="1">
      <c r="B11" s="34" t="inlineStr">
        <is>
          <t>WI-FI COVERAGE MAP</t>
        </is>
      </c>
    </row>
    <row r="12" ht="22" customHeight="1">
      <c r="B12" s="30" t="inlineStr">
        <is>
          <t>Zone / Area</t>
        </is>
      </c>
      <c r="C12" s="30" t="inlineStr">
        <is>
          <t>No. of APs</t>
        </is>
      </c>
      <c r="D12" s="30" t="inlineStr">
        <is>
          <t>Coverage %</t>
        </is>
      </c>
      <c r="E12" s="30" t="inlineStr">
        <is>
          <t>Speed
(Mbps)</t>
        </is>
      </c>
      <c r="F12" s="30" t="inlineStr">
        <is>
          <t>Auth Method</t>
        </is>
      </c>
      <c r="G12" s="30" t="inlineStr">
        <is>
          <t>Last Audit</t>
        </is>
      </c>
      <c r="H12" s="30" t="inlineStr">
        <is>
          <t>Issues</t>
        </is>
      </c>
      <c r="I12" s="30" t="inlineStr">
        <is>
          <t>Remarks</t>
        </is>
      </c>
    </row>
    <row r="13" ht="22" customHeight="1">
      <c r="B13" s="35" t="inlineStr">
        <is>
          <t>Academic Block — Ground Floor</t>
        </is>
      </c>
      <c r="C13" s="33" t="inlineStr"/>
      <c r="D13" s="33" t="inlineStr"/>
      <c r="E13" s="33" t="inlineStr"/>
      <c r="F13" s="33" t="inlineStr">
        <is>
          <t>WPA3</t>
        </is>
      </c>
      <c r="G13" s="33" t="inlineStr"/>
      <c r="H13" s="32" t="inlineStr"/>
      <c r="I13" s="32" t="inlineStr"/>
    </row>
    <row r="14" ht="22" customHeight="1">
      <c r="B14" s="25" t="inlineStr">
        <is>
          <t>Academic Block — 1st Floor</t>
        </is>
      </c>
      <c r="C14" s="10" t="inlineStr"/>
      <c r="D14" s="10" t="inlineStr"/>
      <c r="E14" s="10" t="inlineStr"/>
      <c r="F14" s="10" t="inlineStr">
        <is>
          <t>WPA3</t>
        </is>
      </c>
      <c r="G14" s="10" t="inlineStr"/>
      <c r="H14" s="9" t="inlineStr"/>
      <c r="I14" s="9" t="inlineStr"/>
    </row>
    <row r="15" ht="22" customHeight="1">
      <c r="B15" s="35" t="inlineStr">
        <is>
          <t>Academic Block — 2nd Floor</t>
        </is>
      </c>
      <c r="C15" s="33" t="inlineStr"/>
      <c r="D15" s="33" t="inlineStr"/>
      <c r="E15" s="33" t="inlineStr"/>
      <c r="F15" s="33" t="inlineStr">
        <is>
          <t>WPA3</t>
        </is>
      </c>
      <c r="G15" s="33" t="inlineStr"/>
      <c r="H15" s="32" t="inlineStr"/>
      <c r="I15" s="32" t="inlineStr"/>
    </row>
    <row r="16" ht="22" customHeight="1">
      <c r="B16" s="25" t="inlineStr">
        <is>
          <t>Library</t>
        </is>
      </c>
      <c r="C16" s="10" t="inlineStr"/>
      <c r="D16" s="10" t="inlineStr"/>
      <c r="E16" s="10" t="inlineStr"/>
      <c r="F16" s="10" t="inlineStr">
        <is>
          <t>WPA3</t>
        </is>
      </c>
      <c r="G16" s="10" t="inlineStr"/>
      <c r="H16" s="9" t="inlineStr"/>
      <c r="I16" s="9" t="inlineStr"/>
    </row>
    <row r="17" ht="22" customHeight="1">
      <c r="B17" s="35" t="inlineStr">
        <is>
          <t>Labs / Computer Centre</t>
        </is>
      </c>
      <c r="C17" s="33" t="inlineStr"/>
      <c r="D17" s="33" t="inlineStr"/>
      <c r="E17" s="33" t="inlineStr"/>
      <c r="F17" s="33" t="inlineStr">
        <is>
          <t>WPA3</t>
        </is>
      </c>
      <c r="G17" s="33" t="inlineStr"/>
      <c r="H17" s="32" t="inlineStr"/>
      <c r="I17" s="32" t="inlineStr"/>
    </row>
    <row r="18" ht="22" customHeight="1">
      <c r="B18" s="25" t="inlineStr">
        <is>
          <t>Canteen / Common Areas</t>
        </is>
      </c>
      <c r="C18" s="10" t="inlineStr"/>
      <c r="D18" s="10" t="inlineStr"/>
      <c r="E18" s="10" t="inlineStr"/>
      <c r="F18" s="10" t="inlineStr">
        <is>
          <t>WPA3</t>
        </is>
      </c>
      <c r="G18" s="10" t="inlineStr"/>
      <c r="H18" s="9" t="inlineStr"/>
      <c r="I18" s="9" t="inlineStr"/>
    </row>
    <row r="19" ht="22" customHeight="1">
      <c r="B19" s="35" t="inlineStr">
        <is>
          <t>Hostel — Block A</t>
        </is>
      </c>
      <c r="C19" s="33" t="inlineStr"/>
      <c r="D19" s="33" t="inlineStr"/>
      <c r="E19" s="33" t="inlineStr"/>
      <c r="F19" s="33" t="inlineStr">
        <is>
          <t>WPA3</t>
        </is>
      </c>
      <c r="G19" s="33" t="inlineStr"/>
      <c r="H19" s="32" t="inlineStr"/>
      <c r="I19" s="32" t="inlineStr"/>
    </row>
    <row r="20" ht="22" customHeight="1">
      <c r="B20" s="25" t="inlineStr">
        <is>
          <t>Hostel — Block B</t>
        </is>
      </c>
      <c r="C20" s="10" t="inlineStr"/>
      <c r="D20" s="10" t="inlineStr"/>
      <c r="E20" s="10" t="inlineStr"/>
      <c r="F20" s="10" t="inlineStr">
        <is>
          <t>WPA3</t>
        </is>
      </c>
      <c r="G20" s="10" t="inlineStr"/>
      <c r="H20" s="9" t="inlineStr"/>
      <c r="I20" s="9" t="inlineStr"/>
    </row>
    <row r="21" ht="22" customHeight="1">
      <c r="B21" s="35" t="inlineStr">
        <is>
          <t>Administrative Block</t>
        </is>
      </c>
      <c r="C21" s="33" t="inlineStr"/>
      <c r="D21" s="33" t="inlineStr"/>
      <c r="E21" s="33" t="inlineStr"/>
      <c r="F21" s="33" t="inlineStr">
        <is>
          <t>WPA3</t>
        </is>
      </c>
      <c r="G21" s="33" t="inlineStr"/>
      <c r="H21" s="32" t="inlineStr"/>
      <c r="I21" s="32" t="inlineStr"/>
    </row>
    <row r="22" ht="22" customHeight="1">
      <c r="B22" s="25" t="inlineStr">
        <is>
          <t>Sports Complex</t>
        </is>
      </c>
      <c r="C22" s="10" t="inlineStr"/>
      <c r="D22" s="10" t="inlineStr"/>
      <c r="E22" s="10" t="inlineStr"/>
      <c r="F22" s="10" t="inlineStr">
        <is>
          <t>WPA3</t>
        </is>
      </c>
      <c r="G22" s="10" t="inlineStr"/>
      <c r="H22" s="9" t="inlineStr"/>
      <c r="I22" s="9" t="inlineStr"/>
    </row>
    <row r="23" ht="22" customHeight="1">
      <c r="B23" s="35" t="inlineStr">
        <is>
          <t>Auditorium / Seminar Hall</t>
        </is>
      </c>
      <c r="C23" s="33" t="inlineStr"/>
      <c r="D23" s="33" t="inlineStr"/>
      <c r="E23" s="33" t="inlineStr"/>
      <c r="F23" s="33" t="inlineStr">
        <is>
          <t>WPA3</t>
        </is>
      </c>
      <c r="G23" s="33" t="inlineStr"/>
      <c r="H23" s="32" t="inlineStr"/>
      <c r="I23" s="32" t="inlineStr"/>
    </row>
    <row r="24" ht="22" customHeight="1"/>
    <row r="25" ht="24" customHeight="1">
      <c r="B25" s="19" t="inlineStr">
        <is>
          <t>SERVER &amp; DATA CENTRE INVENTORY</t>
        </is>
      </c>
    </row>
    <row r="26" ht="22" customHeight="1">
      <c r="B26" s="13" t="inlineStr">
        <is>
          <t>Server
Ref.</t>
        </is>
      </c>
      <c r="C26" s="13" t="inlineStr">
        <is>
          <t>Server Name / Role</t>
        </is>
      </c>
      <c r="D26" s="13" t="inlineStr">
        <is>
          <t>OS &amp; Version</t>
        </is>
      </c>
      <c r="E26" s="13" t="inlineStr">
        <is>
          <t>CPU / RAM</t>
        </is>
      </c>
      <c r="F26" s="13" t="inlineStr">
        <is>
          <t>Storage</t>
        </is>
      </c>
      <c r="G26" s="13" t="inlineStr">
        <is>
          <t>IP Address</t>
        </is>
      </c>
      <c r="H26" s="13" t="inlineStr">
        <is>
          <t>Virtualisation</t>
        </is>
      </c>
      <c r="I26" s="13" t="inlineStr">
        <is>
          <t>Last Patched</t>
        </is>
      </c>
    </row>
    <row r="27" ht="22" customHeight="1">
      <c r="B27" s="14" t="inlineStr">
        <is>
          <t>SRV/01</t>
        </is>
      </c>
      <c r="C27" s="15" t="inlineStr">
        <is>
          <t>Web Server (Public Website)</t>
        </is>
      </c>
      <c r="D27" s="16" t="inlineStr"/>
      <c r="E27" s="16" t="inlineStr"/>
      <c r="F27" s="16" t="inlineStr"/>
      <c r="G27" s="16" t="inlineStr"/>
      <c r="H27" s="16" t="inlineStr"/>
      <c r="I27" s="16" t="inlineStr"/>
    </row>
    <row r="28" ht="22" customHeight="1">
      <c r="B28" s="8" t="inlineStr">
        <is>
          <t>SRV/02</t>
        </is>
      </c>
      <c r="C28" s="9" t="inlineStr">
        <is>
          <t>Application Server (ERP/MIS)</t>
        </is>
      </c>
      <c r="D28" s="10" t="inlineStr"/>
      <c r="E28" s="10" t="inlineStr"/>
      <c r="F28" s="10" t="inlineStr"/>
      <c r="G28" s="10" t="inlineStr"/>
      <c r="H28" s="10" t="inlineStr"/>
      <c r="I28" s="10" t="inlineStr"/>
    </row>
    <row r="29" ht="22" customHeight="1">
      <c r="B29" s="14" t="inlineStr">
        <is>
          <t>SRV/03</t>
        </is>
      </c>
      <c r="C29" s="15" t="inlineStr">
        <is>
          <t>Database Server</t>
        </is>
      </c>
      <c r="D29" s="16" t="inlineStr"/>
      <c r="E29" s="16" t="inlineStr"/>
      <c r="F29" s="16" t="inlineStr"/>
      <c r="G29" s="16" t="inlineStr"/>
      <c r="H29" s="16" t="inlineStr"/>
      <c r="I29" s="16" t="inlineStr"/>
    </row>
    <row r="30" ht="22" customHeight="1">
      <c r="B30" s="8" t="inlineStr">
        <is>
          <t>SRV/04</t>
        </is>
      </c>
      <c r="C30" s="9" t="inlineStr">
        <is>
          <t>Mail Server</t>
        </is>
      </c>
      <c r="D30" s="10" t="inlineStr"/>
      <c r="E30" s="10" t="inlineStr"/>
      <c r="F30" s="10" t="inlineStr"/>
      <c r="G30" s="10" t="inlineStr"/>
      <c r="H30" s="10" t="inlineStr"/>
      <c r="I30" s="10" t="inlineStr"/>
    </row>
    <row r="31" ht="22" customHeight="1">
      <c r="B31" s="14" t="inlineStr">
        <is>
          <t>SRV/05</t>
        </is>
      </c>
      <c r="C31" s="15" t="inlineStr">
        <is>
          <t>LMS Server (Moodle etc.)</t>
        </is>
      </c>
      <c r="D31" s="16" t="inlineStr"/>
      <c r="E31" s="16" t="inlineStr"/>
      <c r="F31" s="16" t="inlineStr"/>
      <c r="G31" s="16" t="inlineStr"/>
      <c r="H31" s="16" t="inlineStr"/>
      <c r="I31" s="16" t="inlineStr"/>
    </row>
    <row r="32" ht="22" customHeight="1">
      <c r="B32" s="8" t="inlineStr">
        <is>
          <t>SRV/06</t>
        </is>
      </c>
      <c r="C32" s="9" t="inlineStr">
        <is>
          <t>File Server / NAS</t>
        </is>
      </c>
      <c r="D32" s="10" t="inlineStr"/>
      <c r="E32" s="10" t="inlineStr"/>
      <c r="F32" s="10" t="inlineStr"/>
      <c r="G32" s="10" t="inlineStr"/>
      <c r="H32" s="10" t="inlineStr"/>
      <c r="I32" s="10" t="inlineStr"/>
    </row>
    <row r="33" ht="22" customHeight="1">
      <c r="B33" s="14" t="inlineStr">
        <is>
          <t>SRV/07</t>
        </is>
      </c>
      <c r="C33" s="15" t="inlineStr">
        <is>
          <t>Backup Server</t>
        </is>
      </c>
      <c r="D33" s="16" t="inlineStr"/>
      <c r="E33" s="16" t="inlineStr"/>
      <c r="F33" s="16" t="inlineStr"/>
      <c r="G33" s="16" t="inlineStr"/>
      <c r="H33" s="16" t="inlineStr"/>
      <c r="I33" s="16" t="inlineStr"/>
    </row>
    <row r="34" ht="22" customHeight="1">
      <c r="B34" s="8" t="inlineStr">
        <is>
          <t>SRV/08</t>
        </is>
      </c>
      <c r="C34" s="9" t="inlineStr">
        <is>
          <t>Domain Controller</t>
        </is>
      </c>
      <c r="D34" s="10" t="inlineStr"/>
      <c r="E34" s="10" t="inlineStr"/>
      <c r="F34" s="10" t="inlineStr"/>
      <c r="G34" s="10" t="inlineStr"/>
      <c r="H34" s="10" t="inlineStr"/>
      <c r="I34" s="10" t="inlineStr"/>
    </row>
    <row r="35" ht="22" customHeight="1">
      <c r="B35" s="14" t="inlineStr">
        <is>
          <t>SRV/09</t>
        </is>
      </c>
      <c r="C35" s="15" t="inlineStr">
        <is>
          <t>CCTV NVR Server</t>
        </is>
      </c>
      <c r="D35" s="16" t="inlineStr"/>
      <c r="E35" s="16" t="inlineStr"/>
      <c r="F35" s="16" t="inlineStr"/>
      <c r="G35" s="16" t="inlineStr"/>
      <c r="H35" s="16" t="inlineStr"/>
      <c r="I35" s="16" t="inlineStr"/>
    </row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</sheetData>
  <mergeCells count="5">
    <mergeCell ref="B11:I11"/>
    <mergeCell ref="B25:I25"/>
    <mergeCell ref="B2:I2"/>
    <mergeCell ref="B3:I3"/>
    <mergeCell ref="B4:I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ICT-07: HARDWARE MAINTENANCE &amp; AMC REGISTER</t>
        </is>
      </c>
    </row>
    <row r="3" ht="25" customHeight="1">
      <c r="B3" s="2" t="inlineStr">
        <is>
          <t>A.Y.: _______  IT Officer: ___________________  Finance Officer: ___________________</t>
        </is>
      </c>
    </row>
    <row r="4" ht="24" customHeight="1">
      <c r="B4" s="19" t="inlineStr">
        <is>
          <t>ANNUAL MAINTENANCE CONTRACT (AMC) REGISTER</t>
        </is>
      </c>
    </row>
    <row r="5" ht="22" customHeight="1">
      <c r="B5" s="13" t="inlineStr">
        <is>
          <t>AMC
Ref.</t>
        </is>
      </c>
      <c r="C5" s="13" t="inlineStr">
        <is>
          <t>Equipment / System Covered</t>
        </is>
      </c>
      <c r="D5" s="13" t="inlineStr">
        <is>
          <t>Vendor / Agency</t>
        </is>
      </c>
      <c r="E5" s="13" t="inlineStr">
        <is>
          <t>AMC Start</t>
        </is>
      </c>
      <c r="F5" s="13" t="inlineStr">
        <is>
          <t>AMC End</t>
        </is>
      </c>
      <c r="G5" s="13" t="inlineStr">
        <is>
          <t>Annual Value
(₹L)</t>
        </is>
      </c>
      <c r="H5" s="13" t="inlineStr">
        <is>
          <t>Coverage
Type</t>
        </is>
      </c>
      <c r="I5" s="13" t="inlineStr">
        <is>
          <t>Response
SLA (Hrs)</t>
        </is>
      </c>
      <c r="J5" s="13" t="inlineStr">
        <is>
          <t>Status</t>
        </is>
      </c>
    </row>
    <row r="6" ht="22" customHeight="1">
      <c r="B6" s="14" t="inlineStr">
        <is>
          <t>AMC/001</t>
        </is>
      </c>
      <c r="C6" s="15" t="inlineStr"/>
      <c r="D6" s="15" t="inlineStr"/>
      <c r="E6" s="16" t="inlineStr"/>
      <c r="F6" s="16" t="inlineStr"/>
      <c r="G6" s="16" t="inlineStr"/>
      <c r="H6" s="16" t="inlineStr">
        <is>
          <t>Comprehensive (Parts + Labour)</t>
        </is>
      </c>
      <c r="I6" s="16" t="inlineStr"/>
      <c r="J6" s="16" t="inlineStr">
        <is>
          <t>Active</t>
        </is>
      </c>
    </row>
    <row r="7" ht="22" customHeight="1">
      <c r="B7" s="8" t="inlineStr">
        <is>
          <t>AMC/002</t>
        </is>
      </c>
      <c r="C7" s="9" t="inlineStr"/>
      <c r="D7" s="9" t="inlineStr"/>
      <c r="E7" s="10" t="inlineStr"/>
      <c r="F7" s="10" t="inlineStr"/>
      <c r="G7" s="10" t="inlineStr"/>
      <c r="H7" s="10" t="inlineStr">
        <is>
          <t>Labour Only</t>
        </is>
      </c>
      <c r="I7" s="10" t="inlineStr"/>
      <c r="J7" s="10" t="inlineStr">
        <is>
          <t>Active</t>
        </is>
      </c>
    </row>
    <row r="8" ht="22" customHeight="1">
      <c r="B8" s="14" t="inlineStr">
        <is>
          <t>AMC/003</t>
        </is>
      </c>
      <c r="C8" s="15" t="inlineStr"/>
      <c r="D8" s="15" t="inlineStr"/>
      <c r="E8" s="16" t="inlineStr"/>
      <c r="F8" s="16" t="inlineStr"/>
      <c r="G8" s="16" t="inlineStr"/>
      <c r="H8" s="16" t="inlineStr">
        <is>
          <t>On-call Basis</t>
        </is>
      </c>
      <c r="I8" s="16" t="inlineStr"/>
      <c r="J8" s="16" t="inlineStr">
        <is>
          <t>Active</t>
        </is>
      </c>
    </row>
    <row r="9" ht="22" customHeight="1">
      <c r="B9" s="8" t="inlineStr">
        <is>
          <t>AMC/004</t>
        </is>
      </c>
      <c r="C9" s="9" t="inlineStr"/>
      <c r="D9" s="9" t="inlineStr"/>
      <c r="E9" s="10" t="inlineStr"/>
      <c r="F9" s="10" t="inlineStr"/>
      <c r="G9" s="10" t="inlineStr"/>
      <c r="H9" s="10" t="inlineStr">
        <is>
          <t>Remote Support Only</t>
        </is>
      </c>
      <c r="I9" s="10" t="inlineStr"/>
      <c r="J9" s="10" t="inlineStr">
        <is>
          <t>Active</t>
        </is>
      </c>
    </row>
    <row r="10" ht="22" customHeight="1">
      <c r="B10" s="14" t="inlineStr">
        <is>
          <t>AMC/005</t>
        </is>
      </c>
      <c r="C10" s="15" t="inlineStr"/>
      <c r="D10" s="15" t="inlineStr"/>
      <c r="E10" s="16" t="inlineStr"/>
      <c r="F10" s="16" t="inlineStr"/>
      <c r="G10" s="16" t="inlineStr"/>
      <c r="H10" s="16" t="inlineStr">
        <is>
          <t>Comprehensive (Parts + Labour)</t>
        </is>
      </c>
      <c r="I10" s="16" t="inlineStr"/>
      <c r="J10" s="16" t="inlineStr">
        <is>
          <t>Active</t>
        </is>
      </c>
    </row>
    <row r="11" ht="22" customHeight="1">
      <c r="B11" s="8" t="inlineStr">
        <is>
          <t>AMC/006</t>
        </is>
      </c>
      <c r="C11" s="9" t="inlineStr"/>
      <c r="D11" s="9" t="inlineStr"/>
      <c r="E11" s="10" t="inlineStr"/>
      <c r="F11" s="10" t="inlineStr"/>
      <c r="G11" s="10" t="inlineStr"/>
      <c r="H11" s="10" t="inlineStr">
        <is>
          <t>Labour Only</t>
        </is>
      </c>
      <c r="I11" s="10" t="inlineStr"/>
      <c r="J11" s="10" t="inlineStr">
        <is>
          <t>Active</t>
        </is>
      </c>
    </row>
    <row r="12" ht="22" customHeight="1">
      <c r="B12" s="14" t="inlineStr">
        <is>
          <t>AMC/007</t>
        </is>
      </c>
      <c r="C12" s="15" t="inlineStr"/>
      <c r="D12" s="15" t="inlineStr"/>
      <c r="E12" s="16" t="inlineStr"/>
      <c r="F12" s="16" t="inlineStr"/>
      <c r="G12" s="16" t="inlineStr"/>
      <c r="H12" s="16" t="inlineStr">
        <is>
          <t>On-call Basis</t>
        </is>
      </c>
      <c r="I12" s="16" t="inlineStr"/>
      <c r="J12" s="16" t="inlineStr">
        <is>
          <t>Active</t>
        </is>
      </c>
    </row>
    <row r="13" ht="22" customHeight="1">
      <c r="B13" s="8" t="inlineStr">
        <is>
          <t>AMC/008</t>
        </is>
      </c>
      <c r="C13" s="9" t="inlineStr"/>
      <c r="D13" s="9" t="inlineStr"/>
      <c r="E13" s="10" t="inlineStr"/>
      <c r="F13" s="10" t="inlineStr"/>
      <c r="G13" s="10" t="inlineStr"/>
      <c r="H13" s="10" t="inlineStr">
        <is>
          <t>Remote Support Only</t>
        </is>
      </c>
      <c r="I13" s="10" t="inlineStr"/>
      <c r="J13" s="10" t="inlineStr">
        <is>
          <t>Active</t>
        </is>
      </c>
    </row>
    <row r="14" ht="22" customHeight="1">
      <c r="B14" s="14" t="inlineStr">
        <is>
          <t>AMC/009</t>
        </is>
      </c>
      <c r="C14" s="15" t="inlineStr"/>
      <c r="D14" s="15" t="inlineStr"/>
      <c r="E14" s="16" t="inlineStr"/>
      <c r="F14" s="16" t="inlineStr"/>
      <c r="G14" s="16" t="inlineStr"/>
      <c r="H14" s="16" t="inlineStr">
        <is>
          <t>Comprehensive (Parts + Labour)</t>
        </is>
      </c>
      <c r="I14" s="16" t="inlineStr"/>
      <c r="J14" s="16" t="inlineStr">
        <is>
          <t>Active</t>
        </is>
      </c>
    </row>
    <row r="15" ht="22" customHeight="1">
      <c r="B15" s="8" t="inlineStr">
        <is>
          <t>AMC/010</t>
        </is>
      </c>
      <c r="C15" s="9" t="inlineStr"/>
      <c r="D15" s="9" t="inlineStr"/>
      <c r="E15" s="10" t="inlineStr"/>
      <c r="F15" s="10" t="inlineStr"/>
      <c r="G15" s="10" t="inlineStr"/>
      <c r="H15" s="10" t="inlineStr">
        <is>
          <t>Labour Only</t>
        </is>
      </c>
      <c r="I15" s="10" t="inlineStr"/>
      <c r="J15" s="10" t="inlineStr">
        <is>
          <t>Active</t>
        </is>
      </c>
    </row>
    <row r="16" ht="22" customHeight="1">
      <c r="B16" s="14" t="inlineStr">
        <is>
          <t>AMC/011</t>
        </is>
      </c>
      <c r="C16" s="15" t="inlineStr"/>
      <c r="D16" s="15" t="inlineStr"/>
      <c r="E16" s="16" t="inlineStr"/>
      <c r="F16" s="16" t="inlineStr"/>
      <c r="G16" s="16" t="inlineStr"/>
      <c r="H16" s="16" t="inlineStr">
        <is>
          <t>On-call Basis</t>
        </is>
      </c>
      <c r="I16" s="16" t="inlineStr"/>
      <c r="J16" s="16" t="inlineStr">
        <is>
          <t>Active</t>
        </is>
      </c>
    </row>
    <row r="17" ht="22" customHeight="1">
      <c r="B17" s="8" t="inlineStr">
        <is>
          <t>AMC/012</t>
        </is>
      </c>
      <c r="C17" s="9" t="inlineStr"/>
      <c r="D17" s="9" t="inlineStr"/>
      <c r="E17" s="10" t="inlineStr"/>
      <c r="F17" s="10" t="inlineStr"/>
      <c r="G17" s="10" t="inlineStr"/>
      <c r="H17" s="10" t="inlineStr">
        <is>
          <t>Remote Support Only</t>
        </is>
      </c>
      <c r="I17" s="10" t="inlineStr"/>
      <c r="J17" s="10" t="inlineStr">
        <is>
          <t>Active</t>
        </is>
      </c>
    </row>
    <row r="18" ht="22" customHeight="1"/>
    <row r="19" ht="24" customHeight="1">
      <c r="B19" s="38" t="inlineStr">
        <is>
          <t>BREAKDOWN &amp; REPAIR LOG</t>
        </is>
      </c>
    </row>
    <row r="20" ht="22" customHeight="1">
      <c r="B20" s="39" t="inlineStr">
        <is>
          <t>Incident
Ref.</t>
        </is>
      </c>
      <c r="C20" s="39" t="inlineStr">
        <is>
          <t>Asset Ref. / Description</t>
        </is>
      </c>
      <c r="D20" s="39" t="inlineStr">
        <is>
          <t>Fault Description</t>
        </is>
      </c>
      <c r="E20" s="39" t="inlineStr">
        <is>
          <t>Date
Reported</t>
        </is>
      </c>
      <c r="F20" s="39" t="inlineStr">
        <is>
          <t>Vendor
Informed</t>
        </is>
      </c>
      <c r="G20" s="39" t="inlineStr">
        <is>
          <t>Date
Resolved</t>
        </is>
      </c>
      <c r="H20" s="39" t="inlineStr">
        <is>
          <t>Cost (₹)</t>
        </is>
      </c>
      <c r="I20" s="39" t="inlineStr">
        <is>
          <t>Under
AMC/Warranty</t>
        </is>
      </c>
      <c r="J20" s="39" t="inlineStr">
        <is>
          <t>Status</t>
        </is>
      </c>
    </row>
    <row r="21" ht="22" customHeight="1">
      <c r="B21" s="40" t="inlineStr">
        <is>
          <t>BRK/001</t>
        </is>
      </c>
      <c r="C21" s="41" t="inlineStr"/>
      <c r="D21" s="41" t="inlineStr"/>
      <c r="E21" s="42" t="inlineStr"/>
      <c r="F21" s="42" t="inlineStr"/>
      <c r="G21" s="42" t="inlineStr"/>
      <c r="H21" s="42" t="inlineStr"/>
      <c r="I21" s="42" t="inlineStr">
        <is>
          <t>Y</t>
        </is>
      </c>
      <c r="J21" s="42" t="inlineStr">
        <is>
          <t>Resolved</t>
        </is>
      </c>
    </row>
    <row r="22" ht="22" customHeight="1">
      <c r="B22" s="8" t="inlineStr">
        <is>
          <t>BRK/002</t>
        </is>
      </c>
      <c r="C22" s="9" t="inlineStr"/>
      <c r="D22" s="9" t="inlineStr"/>
      <c r="E22" s="10" t="inlineStr"/>
      <c r="F22" s="10" t="inlineStr"/>
      <c r="G22" s="10" t="inlineStr"/>
      <c r="H22" s="10" t="inlineStr"/>
      <c r="I22" s="10" t="inlineStr">
        <is>
          <t>Y</t>
        </is>
      </c>
      <c r="J22" s="10" t="inlineStr">
        <is>
          <t>Resolved</t>
        </is>
      </c>
    </row>
    <row r="23" ht="22" customHeight="1">
      <c r="B23" s="40" t="inlineStr">
        <is>
          <t>BRK/003</t>
        </is>
      </c>
      <c r="C23" s="41" t="inlineStr"/>
      <c r="D23" s="41" t="inlineStr"/>
      <c r="E23" s="42" t="inlineStr"/>
      <c r="F23" s="42" t="inlineStr"/>
      <c r="G23" s="42" t="inlineStr"/>
      <c r="H23" s="42" t="inlineStr"/>
      <c r="I23" s="42" t="inlineStr">
        <is>
          <t>Y</t>
        </is>
      </c>
      <c r="J23" s="42" t="inlineStr">
        <is>
          <t>Resolved</t>
        </is>
      </c>
    </row>
    <row r="24" ht="22" customHeight="1">
      <c r="B24" s="8" t="inlineStr">
        <is>
          <t>BRK/004</t>
        </is>
      </c>
      <c r="C24" s="9" t="inlineStr"/>
      <c r="D24" s="9" t="inlineStr"/>
      <c r="E24" s="10" t="inlineStr"/>
      <c r="F24" s="10" t="inlineStr"/>
      <c r="G24" s="10" t="inlineStr"/>
      <c r="H24" s="10" t="inlineStr"/>
      <c r="I24" s="10" t="inlineStr">
        <is>
          <t>Y</t>
        </is>
      </c>
      <c r="J24" s="10" t="inlineStr">
        <is>
          <t>Resolved</t>
        </is>
      </c>
    </row>
    <row r="25" ht="22" customHeight="1">
      <c r="B25" s="40" t="inlineStr">
        <is>
          <t>BRK/005</t>
        </is>
      </c>
      <c r="C25" s="41" t="inlineStr"/>
      <c r="D25" s="41" t="inlineStr"/>
      <c r="E25" s="42" t="inlineStr"/>
      <c r="F25" s="42" t="inlineStr"/>
      <c r="G25" s="42" t="inlineStr"/>
      <c r="H25" s="42" t="inlineStr"/>
      <c r="I25" s="42" t="inlineStr">
        <is>
          <t>Y</t>
        </is>
      </c>
      <c r="J25" s="42" t="inlineStr">
        <is>
          <t>Resolved</t>
        </is>
      </c>
    </row>
    <row r="26" ht="22" customHeight="1">
      <c r="B26" s="8" t="inlineStr">
        <is>
          <t>BRK/006</t>
        </is>
      </c>
      <c r="C26" s="9" t="inlineStr"/>
      <c r="D26" s="9" t="inlineStr"/>
      <c r="E26" s="10" t="inlineStr"/>
      <c r="F26" s="10" t="inlineStr"/>
      <c r="G26" s="10" t="inlineStr"/>
      <c r="H26" s="10" t="inlineStr"/>
      <c r="I26" s="10" t="inlineStr">
        <is>
          <t>Y</t>
        </is>
      </c>
      <c r="J26" s="10" t="inlineStr">
        <is>
          <t>Resolved</t>
        </is>
      </c>
    </row>
    <row r="27" ht="22" customHeight="1">
      <c r="B27" s="40" t="inlineStr">
        <is>
          <t>BRK/007</t>
        </is>
      </c>
      <c r="C27" s="41" t="inlineStr"/>
      <c r="D27" s="41" t="inlineStr"/>
      <c r="E27" s="42" t="inlineStr"/>
      <c r="F27" s="42" t="inlineStr"/>
      <c r="G27" s="42" t="inlineStr"/>
      <c r="H27" s="42" t="inlineStr"/>
      <c r="I27" s="42" t="inlineStr">
        <is>
          <t>Y</t>
        </is>
      </c>
      <c r="J27" s="42" t="inlineStr">
        <is>
          <t>Resolved</t>
        </is>
      </c>
    </row>
    <row r="28" ht="22" customHeight="1">
      <c r="B28" s="8" t="inlineStr">
        <is>
          <t>BRK/008</t>
        </is>
      </c>
      <c r="C28" s="9" t="inlineStr"/>
      <c r="D28" s="9" t="inlineStr"/>
      <c r="E28" s="10" t="inlineStr"/>
      <c r="F28" s="10" t="inlineStr"/>
      <c r="G28" s="10" t="inlineStr"/>
      <c r="H28" s="10" t="inlineStr"/>
      <c r="I28" s="10" t="inlineStr">
        <is>
          <t>Y</t>
        </is>
      </c>
      <c r="J28" s="10" t="inlineStr">
        <is>
          <t>Resolved</t>
        </is>
      </c>
    </row>
    <row r="29" ht="22" customHeight="1">
      <c r="B29" s="40" t="inlineStr">
        <is>
          <t>BRK/009</t>
        </is>
      </c>
      <c r="C29" s="41" t="inlineStr"/>
      <c r="D29" s="41" t="inlineStr"/>
      <c r="E29" s="42" t="inlineStr"/>
      <c r="F29" s="42" t="inlineStr"/>
      <c r="G29" s="42" t="inlineStr"/>
      <c r="H29" s="42" t="inlineStr"/>
      <c r="I29" s="42" t="inlineStr">
        <is>
          <t>Y</t>
        </is>
      </c>
      <c r="J29" s="42" t="inlineStr">
        <is>
          <t>Resolved</t>
        </is>
      </c>
    </row>
    <row r="30" ht="22" customHeight="1">
      <c r="B30" s="8" t="inlineStr">
        <is>
          <t>BRK/010</t>
        </is>
      </c>
      <c r="C30" s="9" t="inlineStr"/>
      <c r="D30" s="9" t="inlineStr"/>
      <c r="E30" s="10" t="inlineStr"/>
      <c r="F30" s="10" t="inlineStr"/>
      <c r="G30" s="10" t="inlineStr"/>
      <c r="H30" s="10" t="inlineStr"/>
      <c r="I30" s="10" t="inlineStr">
        <is>
          <t>Y</t>
        </is>
      </c>
      <c r="J30" s="10" t="inlineStr">
        <is>
          <t>Resolved</t>
        </is>
      </c>
    </row>
    <row r="31" ht="22" customHeight="1">
      <c r="B31" s="40" t="inlineStr">
        <is>
          <t>BRK/011</t>
        </is>
      </c>
      <c r="C31" s="41" t="inlineStr"/>
      <c r="D31" s="41" t="inlineStr"/>
      <c r="E31" s="42" t="inlineStr"/>
      <c r="F31" s="42" t="inlineStr"/>
      <c r="G31" s="42" t="inlineStr"/>
      <c r="H31" s="42" t="inlineStr"/>
      <c r="I31" s="42" t="inlineStr">
        <is>
          <t>Y</t>
        </is>
      </c>
      <c r="J31" s="42" t="inlineStr">
        <is>
          <t>Resolved</t>
        </is>
      </c>
    </row>
    <row r="32" ht="22" customHeight="1">
      <c r="B32" s="8" t="inlineStr">
        <is>
          <t>BRK/012</t>
        </is>
      </c>
      <c r="C32" s="9" t="inlineStr"/>
      <c r="D32" s="9" t="inlineStr"/>
      <c r="E32" s="10" t="inlineStr"/>
      <c r="F32" s="10" t="inlineStr"/>
      <c r="G32" s="10" t="inlineStr"/>
      <c r="H32" s="10" t="inlineStr"/>
      <c r="I32" s="10" t="inlineStr">
        <is>
          <t>Y</t>
        </is>
      </c>
      <c r="J32" s="10" t="inlineStr">
        <is>
          <t>Resolved</t>
        </is>
      </c>
    </row>
    <row r="33" ht="22" customHeight="1">
      <c r="B33" s="40" t="inlineStr">
        <is>
          <t>BRK/013</t>
        </is>
      </c>
      <c r="C33" s="41" t="inlineStr"/>
      <c r="D33" s="41" t="inlineStr"/>
      <c r="E33" s="42" t="inlineStr"/>
      <c r="F33" s="42" t="inlineStr"/>
      <c r="G33" s="42" t="inlineStr"/>
      <c r="H33" s="42" t="inlineStr"/>
      <c r="I33" s="42" t="inlineStr">
        <is>
          <t>Y</t>
        </is>
      </c>
      <c r="J33" s="42" t="inlineStr">
        <is>
          <t>Resolved</t>
        </is>
      </c>
    </row>
    <row r="34" ht="22" customHeight="1">
      <c r="B34" s="8" t="inlineStr">
        <is>
          <t>BRK/014</t>
        </is>
      </c>
      <c r="C34" s="9" t="inlineStr"/>
      <c r="D34" s="9" t="inlineStr"/>
      <c r="E34" s="10" t="inlineStr"/>
      <c r="F34" s="10" t="inlineStr"/>
      <c r="G34" s="10" t="inlineStr"/>
      <c r="H34" s="10" t="inlineStr"/>
      <c r="I34" s="10" t="inlineStr">
        <is>
          <t>Y</t>
        </is>
      </c>
      <c r="J34" s="10" t="inlineStr">
        <is>
          <t>Resolved</t>
        </is>
      </c>
    </row>
    <row r="35" ht="22" customHeight="1"/>
    <row r="36" ht="24" customHeight="1">
      <c r="B36" s="20" t="inlineStr">
        <is>
          <t>AMC COST SUMMARY</t>
        </is>
      </c>
    </row>
    <row r="37" ht="22" customHeight="1">
      <c r="B37" s="21" t="inlineStr">
        <is>
          <t>Equipment Category</t>
        </is>
      </c>
      <c r="C37" s="21" t="inlineStr">
        <is>
          <t>No. of Items</t>
        </is>
      </c>
      <c r="D37" s="21" t="inlineStr">
        <is>
          <t>AMC Covered</t>
        </is>
      </c>
      <c r="E37" s="21" t="inlineStr">
        <is>
          <t>AMC Cost
(₹L)</t>
        </is>
      </c>
      <c r="F37" s="21" t="inlineStr">
        <is>
          <t>Out-of-Warranty</t>
        </is>
      </c>
      <c r="G37" s="21" t="inlineStr">
        <is>
          <t>Repair Cost
This Year (₹L)</t>
        </is>
      </c>
      <c r="H37" s="21" t="inlineStr">
        <is>
          <t>Total
Maint. Cost (₹L)</t>
        </is>
      </c>
    </row>
    <row r="38" ht="22" customHeight="1">
      <c r="B38" s="43" t="inlineStr">
        <is>
          <t>Computers</t>
        </is>
      </c>
      <c r="C38" s="22" t="inlineStr"/>
      <c r="D38" s="22" t="inlineStr"/>
      <c r="E38" s="22" t="inlineStr"/>
      <c r="F38" s="22" t="inlineStr"/>
      <c r="G38" s="22" t="inlineStr"/>
      <c r="H38" s="22">
        <f>IFERROR(E38+G38,"")</f>
        <v/>
      </c>
      <c r="I38" s="44" t="n"/>
      <c r="J38" s="44" t="n"/>
    </row>
    <row r="39" ht="22" customHeight="1">
      <c r="B39" s="9" t="inlineStr">
        <is>
          <t>Servers &amp; Network</t>
        </is>
      </c>
      <c r="C39" s="10" t="inlineStr"/>
      <c r="D39" s="10" t="inlineStr"/>
      <c r="E39" s="10" t="inlineStr"/>
      <c r="F39" s="10" t="inlineStr"/>
      <c r="G39" s="10" t="inlineStr"/>
      <c r="H39" s="10">
        <f>IFERROR(E39+G39,"")</f>
        <v/>
      </c>
      <c r="I39" s="45" t="n"/>
      <c r="J39" s="45" t="n"/>
    </row>
    <row r="40">
      <c r="B40" s="43" t="inlineStr">
        <is>
          <t>Printers &amp; Peripherals</t>
        </is>
      </c>
      <c r="C40" s="22" t="inlineStr"/>
      <c r="D40" s="22" t="inlineStr"/>
      <c r="E40" s="22" t="inlineStr"/>
      <c r="F40" s="22" t="inlineStr"/>
      <c r="G40" s="22" t="inlineStr"/>
      <c r="H40" s="22">
        <f>IFERROR(E40+G40,"")</f>
        <v/>
      </c>
      <c r="I40" s="44" t="n"/>
      <c r="J40" s="44" t="n"/>
    </row>
    <row r="41">
      <c r="B41" s="9" t="inlineStr">
        <is>
          <t>AV / Projectors</t>
        </is>
      </c>
      <c r="C41" s="10" t="inlineStr"/>
      <c r="D41" s="10" t="inlineStr"/>
      <c r="E41" s="10" t="inlineStr"/>
      <c r="F41" s="10" t="inlineStr"/>
      <c r="G41" s="10" t="inlineStr"/>
      <c r="H41" s="10">
        <f>IFERROR(E41+G41,"")</f>
        <v/>
      </c>
      <c r="I41" s="45" t="n"/>
      <c r="J41" s="45" t="n"/>
    </row>
    <row r="42">
      <c r="B42" s="43" t="inlineStr">
        <is>
          <t>UPS &amp; Power</t>
        </is>
      </c>
      <c r="C42" s="22" t="inlineStr"/>
      <c r="D42" s="22" t="inlineStr"/>
      <c r="E42" s="22" t="inlineStr"/>
      <c r="F42" s="22" t="inlineStr"/>
      <c r="G42" s="22" t="inlineStr"/>
      <c r="H42" s="22">
        <f>IFERROR(E42+G42,"")</f>
        <v/>
      </c>
      <c r="I42" s="44" t="n"/>
      <c r="J42" s="44" t="n"/>
    </row>
    <row r="43">
      <c r="B43" s="9" t="inlineStr">
        <is>
          <t>Security Systems</t>
        </is>
      </c>
      <c r="C43" s="10" t="inlineStr"/>
      <c r="D43" s="10" t="inlineStr"/>
      <c r="E43" s="10" t="inlineStr"/>
      <c r="F43" s="10" t="inlineStr"/>
      <c r="G43" s="10" t="inlineStr"/>
      <c r="H43" s="10">
        <f>IFERROR(E43+G43,"")</f>
        <v/>
      </c>
      <c r="I43" s="45" t="n"/>
      <c r="J43" s="45" t="n"/>
    </row>
    <row r="44">
      <c r="B44" s="46" t="inlineStr">
        <is>
          <t>TOTAL</t>
        </is>
      </c>
      <c r="C44" s="47" t="inlineStr"/>
      <c r="D44" s="47" t="inlineStr"/>
      <c r="E44" s="47" t="inlineStr"/>
      <c r="F44" s="47" t="inlineStr"/>
      <c r="G44" s="47" t="inlineStr"/>
      <c r="H44" s="47">
        <f>IFERROR(E44+G44,"")</f>
        <v/>
      </c>
      <c r="I44" s="48" t="n"/>
      <c r="J44" s="48" t="n"/>
    </row>
  </sheetData>
  <mergeCells count="5">
    <mergeCell ref="B3:J3"/>
    <mergeCell ref="B19:J19"/>
    <mergeCell ref="B36:J36"/>
    <mergeCell ref="B4:J4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ICT-09: SOFTWARE ASSET &amp; LICENCE REGISTER</t>
        </is>
      </c>
    </row>
    <row r="3" ht="25" customHeight="1">
      <c r="B3" s="2" t="inlineStr">
        <is>
          <t>A.Y.: _______  IT Officer: ___________________  Finance / Procurement Officer: ___________________</t>
        </is>
      </c>
    </row>
    <row r="4" ht="25" customHeight="1">
      <c r="B4" s="13" t="inlineStr">
        <is>
          <t>Lic.
Ref.</t>
        </is>
      </c>
      <c r="C4" s="13" t="inlineStr">
        <is>
          <t>Software / Platform Name</t>
        </is>
      </c>
      <c r="D4" s="13" t="inlineStr">
        <is>
          <t>Vendor</t>
        </is>
      </c>
      <c r="E4" s="13" t="inlineStr">
        <is>
          <t>Category</t>
        </is>
      </c>
      <c r="F4" s="13" t="inlineStr">
        <is>
          <t>No. of
Licences</t>
        </is>
      </c>
      <c r="G4" s="13" t="inlineStr">
        <is>
          <t>Licence Type</t>
        </is>
      </c>
      <c r="H4" s="13" t="inlineStr">
        <is>
          <t>Expiry
Date</t>
        </is>
      </c>
      <c r="I4" s="13" t="inlineStr">
        <is>
          <t>Annual Cost
(₹L)</t>
        </is>
      </c>
      <c r="J4" s="13" t="inlineStr">
        <is>
          <t>Status</t>
        </is>
      </c>
    </row>
    <row r="5" ht="22" customHeight="1">
      <c r="B5" s="14" t="inlineStr">
        <is>
          <t>SW/001</t>
        </is>
      </c>
      <c r="C5" s="15" t="inlineStr"/>
      <c r="D5" s="16" t="inlineStr"/>
      <c r="E5" s="16" t="inlineStr">
        <is>
          <t>Operating System</t>
        </is>
      </c>
      <c r="F5" s="16" t="inlineStr"/>
      <c r="G5" s="16" t="inlineStr">
        <is>
          <t>Perpetual</t>
        </is>
      </c>
      <c r="H5" s="16" t="inlineStr"/>
      <c r="I5" s="16" t="inlineStr"/>
      <c r="J5" s="16" t="inlineStr">
        <is>
          <t>Active</t>
        </is>
      </c>
    </row>
    <row r="6" ht="22" customHeight="1">
      <c r="B6" s="8" t="inlineStr">
        <is>
          <t>SW/002</t>
        </is>
      </c>
      <c r="C6" s="9" t="inlineStr"/>
      <c r="D6" s="10" t="inlineStr"/>
      <c r="E6" s="10" t="inlineStr">
        <is>
          <t>Productivity Suite</t>
        </is>
      </c>
      <c r="F6" s="10" t="inlineStr"/>
      <c r="G6" s="10" t="inlineStr">
        <is>
          <t>Annual Subscription</t>
        </is>
      </c>
      <c r="H6" s="10" t="inlineStr"/>
      <c r="I6" s="10" t="inlineStr"/>
      <c r="J6" s="10" t="inlineStr">
        <is>
          <t>Active</t>
        </is>
      </c>
    </row>
    <row r="7" ht="22" customHeight="1">
      <c r="B7" s="14" t="inlineStr">
        <is>
          <t>SW/003</t>
        </is>
      </c>
      <c r="C7" s="15" t="inlineStr"/>
      <c r="D7" s="16" t="inlineStr"/>
      <c r="E7" s="16" t="inlineStr">
        <is>
          <t>Antivirus / Endpoint</t>
        </is>
      </c>
      <c r="F7" s="16" t="inlineStr"/>
      <c r="G7" s="16" t="inlineStr">
        <is>
          <t>Volume Licence</t>
        </is>
      </c>
      <c r="H7" s="16" t="inlineStr"/>
      <c r="I7" s="16" t="inlineStr"/>
      <c r="J7" s="16" t="inlineStr">
        <is>
          <t>Active</t>
        </is>
      </c>
    </row>
    <row r="8" ht="22" customHeight="1">
      <c r="B8" s="8" t="inlineStr">
        <is>
          <t>SW/004</t>
        </is>
      </c>
      <c r="C8" s="9" t="inlineStr"/>
      <c r="D8" s="10" t="inlineStr"/>
      <c r="E8" s="10" t="inlineStr">
        <is>
          <t>Design / CAD / Simulation</t>
        </is>
      </c>
      <c r="F8" s="10" t="inlineStr"/>
      <c r="G8" s="10" t="inlineStr">
        <is>
          <t>Site Licence</t>
        </is>
      </c>
      <c r="H8" s="10" t="inlineStr"/>
      <c r="I8" s="10" t="inlineStr"/>
      <c r="J8" s="10" t="inlineStr">
        <is>
          <t>Active</t>
        </is>
      </c>
    </row>
    <row r="9" ht="22" customHeight="1">
      <c r="B9" s="14" t="inlineStr">
        <is>
          <t>SW/005</t>
        </is>
      </c>
      <c r="C9" s="15" t="inlineStr"/>
      <c r="D9" s="16" t="inlineStr"/>
      <c r="E9" s="16" t="inlineStr">
        <is>
          <t>Database</t>
        </is>
      </c>
      <c r="F9" s="16" t="inlineStr"/>
      <c r="G9" s="16" t="inlineStr">
        <is>
          <t>Academic Licence</t>
        </is>
      </c>
      <c r="H9" s="16" t="inlineStr"/>
      <c r="I9" s="16" t="inlineStr"/>
      <c r="J9" s="16" t="inlineStr">
        <is>
          <t>Active</t>
        </is>
      </c>
    </row>
    <row r="10" ht="22" customHeight="1">
      <c r="B10" s="8" t="inlineStr">
        <is>
          <t>SW/006</t>
        </is>
      </c>
      <c r="C10" s="9" t="inlineStr"/>
      <c r="D10" s="10" t="inlineStr"/>
      <c r="E10" s="10" t="inlineStr">
        <is>
          <t>IDE / Development</t>
        </is>
      </c>
      <c r="F10" s="10" t="inlineStr"/>
      <c r="G10" s="10" t="inlineStr">
        <is>
          <t>Open Source / Free</t>
        </is>
      </c>
      <c r="H10" s="10" t="inlineStr"/>
      <c r="I10" s="10" t="inlineStr"/>
      <c r="J10" s="10" t="inlineStr">
        <is>
          <t>Active</t>
        </is>
      </c>
    </row>
    <row r="11" ht="22" customHeight="1">
      <c r="B11" s="14" t="inlineStr">
        <is>
          <t>SW/007</t>
        </is>
      </c>
      <c r="C11" s="15" t="inlineStr"/>
      <c r="D11" s="16" t="inlineStr"/>
      <c r="E11" s="16" t="inlineStr">
        <is>
          <t>Statistical / Analytics</t>
        </is>
      </c>
      <c r="F11" s="16" t="inlineStr"/>
      <c r="G11" s="16" t="inlineStr">
        <is>
          <t>OEM</t>
        </is>
      </c>
      <c r="H11" s="16" t="inlineStr"/>
      <c r="I11" s="16" t="inlineStr"/>
      <c r="J11" s="16" t="inlineStr">
        <is>
          <t>Active</t>
        </is>
      </c>
    </row>
    <row r="12" ht="22" customHeight="1">
      <c r="B12" s="8" t="inlineStr">
        <is>
          <t>SW/008</t>
        </is>
      </c>
      <c r="C12" s="9" t="inlineStr"/>
      <c r="D12" s="10" t="inlineStr"/>
      <c r="E12" s="10" t="inlineStr">
        <is>
          <t>Accounting / ERP</t>
        </is>
      </c>
      <c r="F12" s="10" t="inlineStr"/>
      <c r="G12" s="10" t="inlineStr">
        <is>
          <t>Perpetual</t>
        </is>
      </c>
      <c r="H12" s="10" t="inlineStr"/>
      <c r="I12" s="10" t="inlineStr"/>
      <c r="J12" s="10" t="inlineStr">
        <is>
          <t>Active</t>
        </is>
      </c>
    </row>
    <row r="13" ht="22" customHeight="1">
      <c r="B13" s="14" t="inlineStr">
        <is>
          <t>SW/009</t>
        </is>
      </c>
      <c r="C13" s="15" t="inlineStr"/>
      <c r="D13" s="16" t="inlineStr"/>
      <c r="E13" s="16" t="inlineStr">
        <is>
          <t>LMS Platform</t>
        </is>
      </c>
      <c r="F13" s="16" t="inlineStr"/>
      <c r="G13" s="16" t="inlineStr">
        <is>
          <t>Annual Subscription</t>
        </is>
      </c>
      <c r="H13" s="16" t="inlineStr"/>
      <c r="I13" s="16" t="inlineStr"/>
      <c r="J13" s="16" t="inlineStr">
        <is>
          <t>Active</t>
        </is>
      </c>
    </row>
    <row r="14" ht="22" customHeight="1">
      <c r="B14" s="8" t="inlineStr">
        <is>
          <t>SW/010</t>
        </is>
      </c>
      <c r="C14" s="9" t="inlineStr"/>
      <c r="D14" s="10" t="inlineStr"/>
      <c r="E14" s="10" t="inlineStr">
        <is>
          <t>Video Conferencing</t>
        </is>
      </c>
      <c r="F14" s="10" t="inlineStr"/>
      <c r="G14" s="10" t="inlineStr">
        <is>
          <t>Volume Licence</t>
        </is>
      </c>
      <c r="H14" s="10" t="inlineStr"/>
      <c r="I14" s="10" t="inlineStr"/>
      <c r="J14" s="10" t="inlineStr">
        <is>
          <t>Active</t>
        </is>
      </c>
    </row>
    <row r="15" ht="22" customHeight="1">
      <c r="B15" s="14" t="inlineStr">
        <is>
          <t>SW/011</t>
        </is>
      </c>
      <c r="C15" s="15" t="inlineStr"/>
      <c r="D15" s="16" t="inlineStr"/>
      <c r="E15" s="16" t="inlineStr">
        <is>
          <t>Cloud Platform</t>
        </is>
      </c>
      <c r="F15" s="16" t="inlineStr"/>
      <c r="G15" s="16" t="inlineStr">
        <is>
          <t>Site Licence</t>
        </is>
      </c>
      <c r="H15" s="16" t="inlineStr"/>
      <c r="I15" s="16" t="inlineStr"/>
      <c r="J15" s="16" t="inlineStr">
        <is>
          <t>Active</t>
        </is>
      </c>
    </row>
    <row r="16" ht="22" customHeight="1">
      <c r="B16" s="8" t="inlineStr">
        <is>
          <t>SW/012</t>
        </is>
      </c>
      <c r="C16" s="9" t="inlineStr"/>
      <c r="D16" s="10" t="inlineStr"/>
      <c r="E16" s="10" t="inlineStr">
        <is>
          <t>e-Learning Authoring</t>
        </is>
      </c>
      <c r="F16" s="10" t="inlineStr"/>
      <c r="G16" s="10" t="inlineStr">
        <is>
          <t>Academic Licence</t>
        </is>
      </c>
      <c r="H16" s="10" t="inlineStr"/>
      <c r="I16" s="10" t="inlineStr"/>
      <c r="J16" s="10" t="inlineStr">
        <is>
          <t>Active</t>
        </is>
      </c>
    </row>
    <row r="17" ht="22" customHeight="1">
      <c r="B17" s="14" t="inlineStr">
        <is>
          <t>SW/013</t>
        </is>
      </c>
      <c r="C17" s="15" t="inlineStr"/>
      <c r="D17" s="16" t="inlineStr"/>
      <c r="E17" s="16" t="inlineStr">
        <is>
          <t>Other</t>
        </is>
      </c>
      <c r="F17" s="16" t="inlineStr"/>
      <c r="G17" s="16" t="inlineStr">
        <is>
          <t>Open Source / Free</t>
        </is>
      </c>
      <c r="H17" s="16" t="inlineStr"/>
      <c r="I17" s="16" t="inlineStr"/>
      <c r="J17" s="16" t="inlineStr">
        <is>
          <t>Active</t>
        </is>
      </c>
    </row>
    <row r="18" ht="22" customHeight="1">
      <c r="B18" s="8" t="inlineStr">
        <is>
          <t>SW/014</t>
        </is>
      </c>
      <c r="C18" s="9" t="inlineStr"/>
      <c r="D18" s="10" t="inlineStr"/>
      <c r="E18" s="10" t="inlineStr">
        <is>
          <t>Operating System</t>
        </is>
      </c>
      <c r="F18" s="10" t="inlineStr"/>
      <c r="G18" s="10" t="inlineStr">
        <is>
          <t>OEM</t>
        </is>
      </c>
      <c r="H18" s="10" t="inlineStr"/>
      <c r="I18" s="10" t="inlineStr"/>
      <c r="J18" s="10" t="inlineStr">
        <is>
          <t>Active</t>
        </is>
      </c>
    </row>
    <row r="19" ht="22" customHeight="1">
      <c r="B19" s="14" t="inlineStr">
        <is>
          <t>SW/015</t>
        </is>
      </c>
      <c r="C19" s="15" t="inlineStr"/>
      <c r="D19" s="16" t="inlineStr"/>
      <c r="E19" s="16" t="inlineStr">
        <is>
          <t>Productivity Suite</t>
        </is>
      </c>
      <c r="F19" s="16" t="inlineStr"/>
      <c r="G19" s="16" t="inlineStr">
        <is>
          <t>Perpetual</t>
        </is>
      </c>
      <c r="H19" s="16" t="inlineStr"/>
      <c r="I19" s="16" t="inlineStr"/>
      <c r="J19" s="16" t="inlineStr">
        <is>
          <t>Active</t>
        </is>
      </c>
    </row>
    <row r="20" ht="22" customHeight="1">
      <c r="B20" s="8" t="inlineStr">
        <is>
          <t>SW/016</t>
        </is>
      </c>
      <c r="C20" s="9" t="inlineStr"/>
      <c r="D20" s="10" t="inlineStr"/>
      <c r="E20" s="10" t="inlineStr">
        <is>
          <t>Antivirus / Endpoint</t>
        </is>
      </c>
      <c r="F20" s="10" t="inlineStr"/>
      <c r="G20" s="10" t="inlineStr">
        <is>
          <t>Annual Subscription</t>
        </is>
      </c>
      <c r="H20" s="10" t="inlineStr"/>
      <c r="I20" s="10" t="inlineStr"/>
      <c r="J20" s="10" t="inlineStr">
        <is>
          <t>Active</t>
        </is>
      </c>
    </row>
    <row r="21" ht="22" customHeight="1">
      <c r="B21" s="14" t="inlineStr">
        <is>
          <t>SW/017</t>
        </is>
      </c>
      <c r="C21" s="15" t="inlineStr"/>
      <c r="D21" s="16" t="inlineStr"/>
      <c r="E21" s="16" t="inlineStr">
        <is>
          <t>Design / CAD / Simulation</t>
        </is>
      </c>
      <c r="F21" s="16" t="inlineStr"/>
      <c r="G21" s="16" t="inlineStr">
        <is>
          <t>Volume Licence</t>
        </is>
      </c>
      <c r="H21" s="16" t="inlineStr"/>
      <c r="I21" s="16" t="inlineStr"/>
      <c r="J21" s="16" t="inlineStr">
        <is>
          <t>Active</t>
        </is>
      </c>
    </row>
    <row r="22" ht="22" customHeight="1">
      <c r="B22" s="8" t="inlineStr">
        <is>
          <t>SW/018</t>
        </is>
      </c>
      <c r="C22" s="9" t="inlineStr"/>
      <c r="D22" s="10" t="inlineStr"/>
      <c r="E22" s="10" t="inlineStr">
        <is>
          <t>Database</t>
        </is>
      </c>
      <c r="F22" s="10" t="inlineStr"/>
      <c r="G22" s="10" t="inlineStr">
        <is>
          <t>Site Licence</t>
        </is>
      </c>
      <c r="H22" s="10" t="inlineStr"/>
      <c r="I22" s="10" t="inlineStr"/>
      <c r="J22" s="10" t="inlineStr">
        <is>
          <t>Active</t>
        </is>
      </c>
    </row>
    <row r="23" ht="22" customHeight="1">
      <c r="B23" s="14" t="inlineStr">
        <is>
          <t>SW/019</t>
        </is>
      </c>
      <c r="C23" s="15" t="inlineStr"/>
      <c r="D23" s="16" t="inlineStr"/>
      <c r="E23" s="16" t="inlineStr">
        <is>
          <t>IDE / Development</t>
        </is>
      </c>
      <c r="F23" s="16" t="inlineStr"/>
      <c r="G23" s="16" t="inlineStr">
        <is>
          <t>Academic Licence</t>
        </is>
      </c>
      <c r="H23" s="16" t="inlineStr"/>
      <c r="I23" s="16" t="inlineStr"/>
      <c r="J23" s="16" t="inlineStr">
        <is>
          <t>Active</t>
        </is>
      </c>
    </row>
    <row r="24" ht="22" customHeight="1">
      <c r="B24" s="8" t="inlineStr">
        <is>
          <t>SW/020</t>
        </is>
      </c>
      <c r="C24" s="9" t="inlineStr"/>
      <c r="D24" s="10" t="inlineStr"/>
      <c r="E24" s="10" t="inlineStr">
        <is>
          <t>Statistical / Analytics</t>
        </is>
      </c>
      <c r="F24" s="10" t="inlineStr"/>
      <c r="G24" s="10" t="inlineStr">
        <is>
          <t>Open Source / Free</t>
        </is>
      </c>
      <c r="H24" s="10" t="inlineStr"/>
      <c r="I24" s="10" t="inlineStr"/>
      <c r="J24" s="10" t="inlineStr">
        <is>
          <t>Active</t>
        </is>
      </c>
    </row>
    <row r="25" ht="22" customHeight="1">
      <c r="B25" s="14" t="inlineStr">
        <is>
          <t>SW/021</t>
        </is>
      </c>
      <c r="C25" s="15" t="inlineStr"/>
      <c r="D25" s="16" t="inlineStr"/>
      <c r="E25" s="16" t="inlineStr">
        <is>
          <t>Accounting / ERP</t>
        </is>
      </c>
      <c r="F25" s="16" t="inlineStr"/>
      <c r="G25" s="16" t="inlineStr">
        <is>
          <t>OEM</t>
        </is>
      </c>
      <c r="H25" s="16" t="inlineStr"/>
      <c r="I25" s="16" t="inlineStr"/>
      <c r="J25" s="16" t="inlineStr">
        <is>
          <t>Active</t>
        </is>
      </c>
    </row>
    <row r="26" ht="22" customHeight="1">
      <c r="B26" s="8" t="inlineStr">
        <is>
          <t>SW/022</t>
        </is>
      </c>
      <c r="C26" s="9" t="inlineStr"/>
      <c r="D26" s="10" t="inlineStr"/>
      <c r="E26" s="10" t="inlineStr">
        <is>
          <t>LMS Platform</t>
        </is>
      </c>
      <c r="F26" s="10" t="inlineStr"/>
      <c r="G26" s="10" t="inlineStr">
        <is>
          <t>Perpetual</t>
        </is>
      </c>
      <c r="H26" s="10" t="inlineStr"/>
      <c r="I26" s="10" t="inlineStr"/>
      <c r="J26" s="10" t="inlineStr">
        <is>
          <t>Active</t>
        </is>
      </c>
    </row>
    <row r="27" ht="22" customHeight="1">
      <c r="B27" s="14" t="inlineStr">
        <is>
          <t>SW/023</t>
        </is>
      </c>
      <c r="C27" s="15" t="inlineStr"/>
      <c r="D27" s="16" t="inlineStr"/>
      <c r="E27" s="16" t="inlineStr">
        <is>
          <t>Video Conferencing</t>
        </is>
      </c>
      <c r="F27" s="16" t="inlineStr"/>
      <c r="G27" s="16" t="inlineStr">
        <is>
          <t>Annual Subscription</t>
        </is>
      </c>
      <c r="H27" s="16" t="inlineStr"/>
      <c r="I27" s="16" t="inlineStr"/>
      <c r="J27" s="16" t="inlineStr">
        <is>
          <t>Active</t>
        </is>
      </c>
    </row>
    <row r="28" ht="22" customHeight="1">
      <c r="B28" s="8" t="inlineStr">
        <is>
          <t>SW/024</t>
        </is>
      </c>
      <c r="C28" s="9" t="inlineStr"/>
      <c r="D28" s="10" t="inlineStr"/>
      <c r="E28" s="10" t="inlineStr">
        <is>
          <t>Cloud Platform</t>
        </is>
      </c>
      <c r="F28" s="10" t="inlineStr"/>
      <c r="G28" s="10" t="inlineStr">
        <is>
          <t>Volume Licence</t>
        </is>
      </c>
      <c r="H28" s="10" t="inlineStr"/>
      <c r="I28" s="10" t="inlineStr"/>
      <c r="J28" s="10" t="inlineStr">
        <is>
          <t>Active</t>
        </is>
      </c>
    </row>
    <row r="29" ht="22" customHeight="1"/>
    <row r="30" ht="24" customHeight="1">
      <c r="B30" s="20" t="inlineStr">
        <is>
          <t>LICENCE COST SUMMARY &amp; RENEWAL SCHEDULE</t>
        </is>
      </c>
    </row>
    <row r="31" ht="22" customHeight="1">
      <c r="B31" s="21" t="inlineStr">
        <is>
          <t>Category</t>
        </is>
      </c>
      <c r="C31" s="21" t="inlineStr">
        <is>
          <t>No. of Products</t>
        </is>
      </c>
      <c r="D31" s="21" t="inlineStr">
        <is>
          <t>Total Licences</t>
        </is>
      </c>
      <c r="E31" s="21" t="inlineStr">
        <is>
          <t>Annual Cost
(₹L)</t>
        </is>
      </c>
      <c r="F31" s="21" t="inlineStr">
        <is>
          <t>Renewal
Due (Q)</t>
        </is>
      </c>
      <c r="G31" s="21" t="inlineStr">
        <is>
          <t>Budget
Provision</t>
        </is>
      </c>
      <c r="H31" s="21" t="inlineStr">
        <is>
          <t>Status</t>
        </is>
      </c>
    </row>
    <row r="32" ht="22" customHeight="1">
      <c r="B32" s="43" t="inlineStr">
        <is>
          <t>Operating Systems</t>
        </is>
      </c>
      <c r="C32" s="22" t="inlineStr"/>
      <c r="D32" s="22" t="inlineStr"/>
      <c r="E32" s="22" t="inlineStr"/>
      <c r="F32" s="22" t="inlineStr"/>
      <c r="G32" s="22" t="inlineStr"/>
      <c r="H32" s="22" t="inlineStr"/>
      <c r="I32" s="44" t="n"/>
      <c r="J32" s="44" t="n"/>
    </row>
    <row r="33" ht="22" customHeight="1">
      <c r="B33" s="9" t="inlineStr">
        <is>
          <t>Productivity / Office</t>
        </is>
      </c>
      <c r="C33" s="10" t="inlineStr"/>
      <c r="D33" s="10" t="inlineStr"/>
      <c r="E33" s="10" t="inlineStr"/>
      <c r="F33" s="10" t="inlineStr"/>
      <c r="G33" s="10" t="inlineStr"/>
      <c r="H33" s="10" t="inlineStr"/>
      <c r="I33" s="45" t="n"/>
      <c r="J33" s="45" t="n"/>
    </row>
    <row r="34" ht="22" customHeight="1">
      <c r="B34" s="43" t="inlineStr">
        <is>
          <t>Security / Antivirus</t>
        </is>
      </c>
      <c r="C34" s="22" t="inlineStr"/>
      <c r="D34" s="22" t="inlineStr"/>
      <c r="E34" s="22" t="inlineStr"/>
      <c r="F34" s="22" t="inlineStr"/>
      <c r="G34" s="22" t="inlineStr"/>
      <c r="H34" s="22" t="inlineStr"/>
      <c r="I34" s="44" t="n"/>
      <c r="J34" s="44" t="n"/>
    </row>
    <row r="35" ht="22" customHeight="1">
      <c r="B35" s="9" t="inlineStr">
        <is>
          <t>Academic / Subject-specific</t>
        </is>
      </c>
      <c r="C35" s="10" t="inlineStr"/>
      <c r="D35" s="10" t="inlineStr"/>
      <c r="E35" s="10" t="inlineStr"/>
      <c r="F35" s="10" t="inlineStr"/>
      <c r="G35" s="10" t="inlineStr"/>
      <c r="H35" s="10" t="inlineStr"/>
      <c r="I35" s="45" t="n"/>
      <c r="J35" s="45" t="n"/>
    </row>
    <row r="36" ht="22" customHeight="1">
      <c r="B36" s="43" t="inlineStr">
        <is>
          <t>Infrastructure / Server</t>
        </is>
      </c>
      <c r="C36" s="22" t="inlineStr"/>
      <c r="D36" s="22" t="inlineStr"/>
      <c r="E36" s="22" t="inlineStr"/>
      <c r="F36" s="22" t="inlineStr"/>
      <c r="G36" s="22" t="inlineStr"/>
      <c r="H36" s="22" t="inlineStr"/>
      <c r="I36" s="44" t="n"/>
      <c r="J36" s="44" t="n"/>
    </row>
    <row r="37" ht="22" customHeight="1">
      <c r="B37" s="9" t="inlineStr">
        <is>
          <t>Cloud Services</t>
        </is>
      </c>
      <c r="C37" s="10" t="inlineStr"/>
      <c r="D37" s="10" t="inlineStr"/>
      <c r="E37" s="10" t="inlineStr"/>
      <c r="F37" s="10" t="inlineStr"/>
      <c r="G37" s="10" t="inlineStr"/>
      <c r="H37" s="10" t="inlineStr"/>
      <c r="I37" s="45" t="n"/>
      <c r="J37" s="45" t="n"/>
    </row>
    <row r="38">
      <c r="B38" s="46" t="inlineStr">
        <is>
          <t>TOTAL</t>
        </is>
      </c>
      <c r="C38" s="47" t="inlineStr"/>
      <c r="D38" s="47" t="inlineStr"/>
      <c r="E38" s="47" t="inlineStr"/>
      <c r="F38" s="47" t="inlineStr"/>
      <c r="G38" s="47" t="inlineStr"/>
      <c r="H38" s="47" t="inlineStr"/>
      <c r="I38" s="48" t="n"/>
      <c r="J38" s="48" t="n"/>
    </row>
  </sheetData>
  <mergeCells count="3">
    <mergeCell ref="B3:J3"/>
    <mergeCell ref="B30:J30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H5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8" customHeight="1">
      <c r="B2" s="12" t="inlineStr">
        <is>
          <t>ICT-12: CYBERSECURITY AUDIT CHECKLIST</t>
        </is>
      </c>
    </row>
    <row r="3" ht="25" customHeight="1">
      <c r="B3" s="2" t="inlineStr">
        <is>
          <t>A.Y.: _______  Auditor: ___________________  Audit Date: _______  Last Audit: _______</t>
        </is>
      </c>
    </row>
    <row r="4" ht="24" customHeight="1">
      <c r="B4" s="19" t="inlineStr">
        <is>
          <t>A. NETWORK SECURITY</t>
        </is>
      </c>
    </row>
    <row r="5" ht="22" customHeight="1">
      <c r="B5" s="13" t="inlineStr">
        <is>
          <t>Sl.</t>
        </is>
      </c>
      <c r="C5" s="13" t="inlineStr">
        <is>
          <t>Security Control / Requirement</t>
        </is>
      </c>
      <c r="D5" s="13" t="inlineStr">
        <is>
          <t>Standard / Benchmark</t>
        </is>
      </c>
      <c r="E5" s="13" t="inlineStr">
        <is>
          <t>Status
(Complied/Partial/Fail)</t>
        </is>
      </c>
      <c r="F5" s="13" t="inlineStr">
        <is>
          <t>Evidence Ref.</t>
        </is>
      </c>
      <c r="G5" s="13" t="inlineStr">
        <is>
          <t>Risk Level
(H/M/L)</t>
        </is>
      </c>
      <c r="H5" s="13" t="inlineStr">
        <is>
          <t>Action Required</t>
        </is>
      </c>
    </row>
    <row r="6" ht="22" customHeight="1">
      <c r="B6" s="14" t="n">
        <v>1</v>
      </c>
      <c r="C6" s="15" t="inlineStr">
        <is>
          <t>Firewall installed and configured</t>
        </is>
      </c>
      <c r="D6" s="15" t="inlineStr">
        <is>
          <t>Firewall policy reviewed quarterly</t>
        </is>
      </c>
      <c r="E6" s="16" t="inlineStr">
        <is>
          <t>Complied</t>
        </is>
      </c>
      <c r="F6" s="15" t="inlineStr"/>
      <c r="G6" s="16" t="inlineStr">
        <is>
          <t>M</t>
        </is>
      </c>
      <c r="H6" s="15" t="inlineStr"/>
    </row>
    <row r="7" ht="22" customHeight="1">
      <c r="B7" s="8" t="n">
        <v>2</v>
      </c>
      <c r="C7" s="9" t="inlineStr">
        <is>
          <t>Intrusion Detection / Prevention System (IDS/IPS)</t>
        </is>
      </c>
      <c r="D7" s="9" t="inlineStr">
        <is>
          <t>Active monitoring enabled</t>
        </is>
      </c>
      <c r="E7" s="10" t="inlineStr">
        <is>
          <t>Complied</t>
        </is>
      </c>
      <c r="F7" s="9" t="inlineStr"/>
      <c r="G7" s="10" t="inlineStr">
        <is>
          <t>M</t>
        </is>
      </c>
      <c r="H7" s="9" t="inlineStr"/>
    </row>
    <row r="8" ht="22" customHeight="1">
      <c r="B8" s="14" t="n">
        <v>3</v>
      </c>
      <c r="C8" s="15" t="inlineStr">
        <is>
          <t>Network segmentation (VLAN) implemented</t>
        </is>
      </c>
      <c r="D8" s="15" t="inlineStr">
        <is>
          <t>Academic, Admin, Guest separated</t>
        </is>
      </c>
      <c r="E8" s="16" t="inlineStr">
        <is>
          <t>Complied</t>
        </is>
      </c>
      <c r="F8" s="15" t="inlineStr"/>
      <c r="G8" s="16" t="inlineStr">
        <is>
          <t>M</t>
        </is>
      </c>
      <c r="H8" s="15" t="inlineStr"/>
    </row>
    <row r="9" ht="22" customHeight="1">
      <c r="B9" s="8" t="n">
        <v>4</v>
      </c>
      <c r="C9" s="9" t="inlineStr">
        <is>
          <t>Wi-Fi security — WPA3 / enterprise auth</t>
        </is>
      </c>
      <c r="D9" s="9" t="inlineStr">
        <is>
          <t>Guest Wi-Fi isolated from main network</t>
        </is>
      </c>
      <c r="E9" s="10" t="inlineStr">
        <is>
          <t>Complied</t>
        </is>
      </c>
      <c r="F9" s="9" t="inlineStr"/>
      <c r="G9" s="10" t="inlineStr">
        <is>
          <t>M</t>
        </is>
      </c>
      <c r="H9" s="9" t="inlineStr"/>
    </row>
    <row r="10" ht="22" customHeight="1">
      <c r="B10" s="14" t="n">
        <v>5</v>
      </c>
      <c r="C10" s="15" t="inlineStr">
        <is>
          <t>VPN for remote access</t>
        </is>
      </c>
      <c r="D10" s="15" t="inlineStr">
        <is>
          <t>MFA enabled for VPN</t>
        </is>
      </c>
      <c r="E10" s="16" t="inlineStr">
        <is>
          <t>Complied</t>
        </is>
      </c>
      <c r="F10" s="15" t="inlineStr"/>
      <c r="G10" s="16" t="inlineStr">
        <is>
          <t>M</t>
        </is>
      </c>
      <c r="H10" s="15" t="inlineStr"/>
    </row>
    <row r="11" ht="22" customHeight="1">
      <c r="B11" s="8" t="n">
        <v>6</v>
      </c>
      <c r="C11" s="9" t="inlineStr">
        <is>
          <t>Regular network vulnerability scans</t>
        </is>
      </c>
      <c r="D11" s="9" t="inlineStr">
        <is>
          <t>Quarterly scan reports available</t>
        </is>
      </c>
      <c r="E11" s="10" t="inlineStr">
        <is>
          <t>Complied</t>
        </is>
      </c>
      <c r="F11" s="9" t="inlineStr"/>
      <c r="G11" s="10" t="inlineStr">
        <is>
          <t>M</t>
        </is>
      </c>
      <c r="H11" s="9" t="inlineStr"/>
    </row>
    <row r="12" ht="22" customHeight="1"/>
    <row r="13" ht="24" customHeight="1">
      <c r="B13" s="38" t="inlineStr">
        <is>
          <t>B. ENDPOINT &amp; DEVICE SECURITY</t>
        </is>
      </c>
    </row>
    <row r="14" ht="22" customHeight="1">
      <c r="B14" s="39" t="inlineStr">
        <is>
          <t>Sl.</t>
        </is>
      </c>
      <c r="C14" s="39" t="inlineStr">
        <is>
          <t>Security Control / Requirement</t>
        </is>
      </c>
      <c r="D14" s="39" t="inlineStr">
        <is>
          <t>Standard / Benchmark</t>
        </is>
      </c>
      <c r="E14" s="39" t="inlineStr">
        <is>
          <t>Status
(Complied/Partial/Fail)</t>
        </is>
      </c>
      <c r="F14" s="39" t="inlineStr">
        <is>
          <t>Evidence Ref.</t>
        </is>
      </c>
      <c r="G14" s="39" t="inlineStr">
        <is>
          <t>Risk Level
(H/M/L)</t>
        </is>
      </c>
      <c r="H14" s="39" t="inlineStr">
        <is>
          <t>Action Required</t>
        </is>
      </c>
    </row>
    <row r="15" ht="22" customHeight="1">
      <c r="B15" s="40" t="n">
        <v>1</v>
      </c>
      <c r="C15" s="41" t="inlineStr">
        <is>
          <t>Antivirus / Endpoint Protection on all devices</t>
        </is>
      </c>
      <c r="D15" s="41" t="inlineStr">
        <is>
          <t>Definitions updated automatically</t>
        </is>
      </c>
      <c r="E15" s="42" t="inlineStr">
        <is>
          <t>Complied</t>
        </is>
      </c>
      <c r="F15" s="41" t="inlineStr"/>
      <c r="G15" s="42" t="inlineStr">
        <is>
          <t>M</t>
        </is>
      </c>
      <c r="H15" s="41" t="inlineStr"/>
    </row>
    <row r="16" ht="22" customHeight="1">
      <c r="B16" s="8" t="n">
        <v>2</v>
      </c>
      <c r="C16" s="9" t="inlineStr">
        <is>
          <t>OS and software patches — current</t>
        </is>
      </c>
      <c r="D16" s="9" t="inlineStr">
        <is>
          <t>Auto-update policy enforced</t>
        </is>
      </c>
      <c r="E16" s="10" t="inlineStr">
        <is>
          <t>Complied</t>
        </is>
      </c>
      <c r="F16" s="9" t="inlineStr"/>
      <c r="G16" s="10" t="inlineStr">
        <is>
          <t>M</t>
        </is>
      </c>
      <c r="H16" s="9" t="inlineStr"/>
    </row>
    <row r="17" ht="22" customHeight="1">
      <c r="B17" s="40" t="n">
        <v>3</v>
      </c>
      <c r="C17" s="41" t="inlineStr">
        <is>
          <t>USB / removable media policy enforced</t>
        </is>
      </c>
      <c r="D17" s="41" t="inlineStr">
        <is>
          <t>Unauthorised USB blocked</t>
        </is>
      </c>
      <c r="E17" s="42" t="inlineStr">
        <is>
          <t>Complied</t>
        </is>
      </c>
      <c r="F17" s="41" t="inlineStr"/>
      <c r="G17" s="42" t="inlineStr">
        <is>
          <t>M</t>
        </is>
      </c>
      <c r="H17" s="41" t="inlineStr"/>
    </row>
    <row r="18" ht="22" customHeight="1">
      <c r="B18" s="8" t="n">
        <v>4</v>
      </c>
      <c r="C18" s="9" t="inlineStr">
        <is>
          <t>Device encryption (laptops / mobiles)</t>
        </is>
      </c>
      <c r="D18" s="9" t="inlineStr">
        <is>
          <t>BitLocker / FileVault enabled</t>
        </is>
      </c>
      <c r="E18" s="10" t="inlineStr">
        <is>
          <t>Complied</t>
        </is>
      </c>
      <c r="F18" s="9" t="inlineStr"/>
      <c r="G18" s="10" t="inlineStr">
        <is>
          <t>M</t>
        </is>
      </c>
      <c r="H18" s="9" t="inlineStr"/>
    </row>
    <row r="19" ht="22" customHeight="1">
      <c r="B19" s="40" t="n">
        <v>5</v>
      </c>
      <c r="C19" s="41" t="inlineStr">
        <is>
          <t>Screen lock / password policy enforced</t>
        </is>
      </c>
      <c r="D19" s="41" t="inlineStr">
        <is>
          <t>Min 8 chars, complexity rules</t>
        </is>
      </c>
      <c r="E19" s="42" t="inlineStr">
        <is>
          <t>Complied</t>
        </is>
      </c>
      <c r="F19" s="41" t="inlineStr"/>
      <c r="G19" s="42" t="inlineStr">
        <is>
          <t>M</t>
        </is>
      </c>
      <c r="H19" s="41" t="inlineStr"/>
    </row>
    <row r="20" ht="22" customHeight="1">
      <c r="B20" s="8" t="n">
        <v>6</v>
      </c>
      <c r="C20" s="9" t="inlineStr">
        <is>
          <t>BYOD policy defined and communicated</t>
        </is>
      </c>
      <c r="D20" s="9" t="inlineStr"/>
      <c r="E20" s="10" t="inlineStr">
        <is>
          <t>Complied</t>
        </is>
      </c>
      <c r="F20" s="9" t="inlineStr"/>
      <c r="G20" s="10" t="inlineStr">
        <is>
          <t>M</t>
        </is>
      </c>
      <c r="H20" s="9" t="inlineStr"/>
    </row>
    <row r="21" ht="22" customHeight="1"/>
    <row r="22" ht="24" customHeight="1">
      <c r="B22" s="34" t="inlineStr">
        <is>
          <t>C. DATA SECURITY &amp; BACKUP</t>
        </is>
      </c>
    </row>
    <row r="23" ht="22" customHeight="1">
      <c r="B23" s="30" t="inlineStr">
        <is>
          <t>Sl.</t>
        </is>
      </c>
      <c r="C23" s="30" t="inlineStr">
        <is>
          <t>Security Control / Requirement</t>
        </is>
      </c>
      <c r="D23" s="30" t="inlineStr">
        <is>
          <t>Standard / Benchmark</t>
        </is>
      </c>
      <c r="E23" s="30" t="inlineStr">
        <is>
          <t>Status
(Complied/Partial/Fail)</t>
        </is>
      </c>
      <c r="F23" s="30" t="inlineStr">
        <is>
          <t>Evidence Ref.</t>
        </is>
      </c>
      <c r="G23" s="30" t="inlineStr">
        <is>
          <t>Risk Level
(H/M/L)</t>
        </is>
      </c>
      <c r="H23" s="30" t="inlineStr">
        <is>
          <t>Action Required</t>
        </is>
      </c>
    </row>
    <row r="24" ht="22" customHeight="1">
      <c r="B24" s="31" t="n">
        <v>1</v>
      </c>
      <c r="C24" s="32" t="inlineStr">
        <is>
          <t>Data classification policy implemented</t>
        </is>
      </c>
      <c r="D24" s="32" t="inlineStr">
        <is>
          <t>Sensitive, Internal, Public tiers</t>
        </is>
      </c>
      <c r="E24" s="33" t="inlineStr">
        <is>
          <t>Complied</t>
        </is>
      </c>
      <c r="F24" s="32" t="inlineStr"/>
      <c r="G24" s="33" t="inlineStr">
        <is>
          <t>M</t>
        </is>
      </c>
      <c r="H24" s="32" t="inlineStr"/>
    </row>
    <row r="25" ht="22" customHeight="1">
      <c r="B25" s="8" t="n">
        <v>2</v>
      </c>
      <c r="C25" s="9" t="inlineStr">
        <is>
          <t>Regular data backup — automated</t>
        </is>
      </c>
      <c r="D25" s="9" t="inlineStr">
        <is>
          <t>Daily incremental, Weekly full</t>
        </is>
      </c>
      <c r="E25" s="10" t="inlineStr">
        <is>
          <t>Complied</t>
        </is>
      </c>
      <c r="F25" s="9" t="inlineStr"/>
      <c r="G25" s="10" t="inlineStr">
        <is>
          <t>M</t>
        </is>
      </c>
      <c r="H25" s="9" t="inlineStr"/>
    </row>
    <row r="26" ht="22" customHeight="1">
      <c r="B26" s="31" t="n">
        <v>3</v>
      </c>
      <c r="C26" s="32" t="inlineStr">
        <is>
          <t>Backup restoration tested</t>
        </is>
      </c>
      <c r="D26" s="32" t="inlineStr">
        <is>
          <t>Quarterly restore test done</t>
        </is>
      </c>
      <c r="E26" s="33" t="inlineStr">
        <is>
          <t>Complied</t>
        </is>
      </c>
      <c r="F26" s="32" t="inlineStr"/>
      <c r="G26" s="33" t="inlineStr">
        <is>
          <t>M</t>
        </is>
      </c>
      <c r="H26" s="32" t="inlineStr"/>
    </row>
    <row r="27" ht="22" customHeight="1">
      <c r="B27" s="8" t="n">
        <v>4</v>
      </c>
      <c r="C27" s="9" t="inlineStr">
        <is>
          <t>Data stored with access controls</t>
        </is>
      </c>
      <c r="D27" s="9" t="inlineStr">
        <is>
          <t>Role-based access enforced</t>
        </is>
      </c>
      <c r="E27" s="10" t="inlineStr">
        <is>
          <t>Complied</t>
        </is>
      </c>
      <c r="F27" s="9" t="inlineStr"/>
      <c r="G27" s="10" t="inlineStr">
        <is>
          <t>M</t>
        </is>
      </c>
      <c r="H27" s="9" t="inlineStr"/>
    </row>
    <row r="28" ht="22" customHeight="1">
      <c r="B28" s="31" t="n">
        <v>5</v>
      </c>
      <c r="C28" s="32" t="inlineStr">
        <is>
          <t>Cloud data storage policy defined</t>
        </is>
      </c>
      <c r="D28" s="32" t="inlineStr">
        <is>
          <t>Approved cloud vendors list</t>
        </is>
      </c>
      <c r="E28" s="33" t="inlineStr">
        <is>
          <t>Complied</t>
        </is>
      </c>
      <c r="F28" s="32" t="inlineStr"/>
      <c r="G28" s="33" t="inlineStr">
        <is>
          <t>M</t>
        </is>
      </c>
      <c r="H28" s="32" t="inlineStr"/>
    </row>
    <row r="29" ht="22" customHeight="1">
      <c r="B29" s="8" t="n">
        <v>6</v>
      </c>
      <c r="C29" s="9" t="inlineStr">
        <is>
          <t>Data retention and disposal policy</t>
        </is>
      </c>
      <c r="D29" s="9" t="inlineStr">
        <is>
          <t>As per PDPB / institutional policy</t>
        </is>
      </c>
      <c r="E29" s="10" t="inlineStr">
        <is>
          <t>Complied</t>
        </is>
      </c>
      <c r="F29" s="9" t="inlineStr"/>
      <c r="G29" s="10" t="inlineStr">
        <is>
          <t>M</t>
        </is>
      </c>
      <c r="H29" s="9" t="inlineStr"/>
    </row>
    <row r="30" ht="22" customHeight="1"/>
    <row r="31" ht="24" customHeight="1">
      <c r="B31" s="49" t="inlineStr">
        <is>
          <t>D. ACCESS CONTROL &amp; IDENTITY</t>
        </is>
      </c>
    </row>
    <row r="32" ht="22" customHeight="1">
      <c r="B32" s="50" t="inlineStr">
        <is>
          <t>Sl.</t>
        </is>
      </c>
      <c r="C32" s="50" t="inlineStr">
        <is>
          <t>Security Control / Requirement</t>
        </is>
      </c>
      <c r="D32" s="50" t="inlineStr">
        <is>
          <t>Standard / Benchmark</t>
        </is>
      </c>
      <c r="E32" s="50" t="inlineStr">
        <is>
          <t>Status
(Complied/Partial/Fail)</t>
        </is>
      </c>
      <c r="F32" s="50" t="inlineStr">
        <is>
          <t>Evidence Ref.</t>
        </is>
      </c>
      <c r="G32" s="50" t="inlineStr">
        <is>
          <t>Risk Level
(H/M/L)</t>
        </is>
      </c>
      <c r="H32" s="50" t="inlineStr">
        <is>
          <t>Action Required</t>
        </is>
      </c>
    </row>
    <row r="33" ht="22" customHeight="1">
      <c r="B33" s="51" t="n">
        <v>1</v>
      </c>
      <c r="C33" s="52" t="inlineStr">
        <is>
          <t>Multi-Factor Authentication (MFA) for critical systems</t>
        </is>
      </c>
      <c r="D33" s="52" t="inlineStr">
        <is>
          <t>Admin, ERP, Email</t>
        </is>
      </c>
      <c r="E33" s="53" t="inlineStr">
        <is>
          <t>Complied</t>
        </is>
      </c>
      <c r="F33" s="52" t="inlineStr"/>
      <c r="G33" s="53" t="inlineStr">
        <is>
          <t>M</t>
        </is>
      </c>
      <c r="H33" s="52" t="inlineStr"/>
    </row>
    <row r="34" ht="22" customHeight="1">
      <c r="B34" s="8" t="n">
        <v>2</v>
      </c>
      <c r="C34" s="9" t="inlineStr">
        <is>
          <t>Privileged Access Management (PAM)</t>
        </is>
      </c>
      <c r="D34" s="9" t="inlineStr">
        <is>
          <t>Admin accounts reviewed quarterly</t>
        </is>
      </c>
      <c r="E34" s="10" t="inlineStr">
        <is>
          <t>Complied</t>
        </is>
      </c>
      <c r="F34" s="9" t="inlineStr"/>
      <c r="G34" s="10" t="inlineStr">
        <is>
          <t>M</t>
        </is>
      </c>
      <c r="H34" s="9" t="inlineStr"/>
    </row>
    <row r="35" ht="22" customHeight="1">
      <c r="B35" s="51" t="n">
        <v>3</v>
      </c>
      <c r="C35" s="52" t="inlineStr">
        <is>
          <t>Password policy enforced (complexity, expiry)</t>
        </is>
      </c>
      <c r="D35" s="52" t="inlineStr">
        <is>
          <t>Min 90-day change cycle</t>
        </is>
      </c>
      <c r="E35" s="53" t="inlineStr">
        <is>
          <t>Complied</t>
        </is>
      </c>
      <c r="F35" s="52" t="inlineStr"/>
      <c r="G35" s="53" t="inlineStr">
        <is>
          <t>M</t>
        </is>
      </c>
      <c r="H35" s="52" t="inlineStr"/>
    </row>
    <row r="36" ht="22" customHeight="1">
      <c r="B36" s="8" t="n">
        <v>4</v>
      </c>
      <c r="C36" s="9" t="inlineStr">
        <is>
          <t>User access reviews conducted</t>
        </is>
      </c>
      <c r="D36" s="9" t="inlineStr">
        <is>
          <t>Semi-annual access review done</t>
        </is>
      </c>
      <c r="E36" s="10" t="inlineStr">
        <is>
          <t>Complied</t>
        </is>
      </c>
      <c r="F36" s="9" t="inlineStr"/>
      <c r="G36" s="10" t="inlineStr">
        <is>
          <t>M</t>
        </is>
      </c>
      <c r="H36" s="9" t="inlineStr"/>
    </row>
    <row r="37" ht="22" customHeight="1">
      <c r="B37" s="51" t="n">
        <v>5</v>
      </c>
      <c r="C37" s="52" t="inlineStr">
        <is>
          <t>Terminated employee access revoked within 24 hrs</t>
        </is>
      </c>
      <c r="D37" s="52" t="inlineStr">
        <is>
          <t>HR-IT offboarding checklist</t>
        </is>
      </c>
      <c r="E37" s="53" t="inlineStr">
        <is>
          <t>Complied</t>
        </is>
      </c>
      <c r="F37" s="52" t="inlineStr"/>
      <c r="G37" s="53" t="inlineStr">
        <is>
          <t>M</t>
        </is>
      </c>
      <c r="H37" s="52" t="inlineStr"/>
    </row>
    <row r="38" ht="22" customHeight="1">
      <c r="B38" s="8" t="n">
        <v>6</v>
      </c>
      <c r="C38" s="9" t="inlineStr">
        <is>
          <t>Single Sign-On (SSO) implemented</t>
        </is>
      </c>
      <c r="D38" s="9" t="inlineStr">
        <is>
          <t>Centralised identity management</t>
        </is>
      </c>
      <c r="E38" s="10" t="inlineStr">
        <is>
          <t>Complied</t>
        </is>
      </c>
      <c r="F38" s="9" t="inlineStr"/>
      <c r="G38" s="10" t="inlineStr">
        <is>
          <t>M</t>
        </is>
      </c>
      <c r="H38" s="9" t="inlineStr"/>
    </row>
    <row r="39" ht="22" customHeight="1"/>
    <row r="40" ht="24" customHeight="1">
      <c r="B40" s="20" t="inlineStr">
        <is>
          <t>E. SECURITY AWARENESS &amp; INCIDENT RESPONSE</t>
        </is>
      </c>
    </row>
    <row r="41" ht="22" customHeight="1">
      <c r="B41" s="21" t="inlineStr">
        <is>
          <t>Sl.</t>
        </is>
      </c>
      <c r="C41" s="21" t="inlineStr">
        <is>
          <t>Security Control / Requirement</t>
        </is>
      </c>
      <c r="D41" s="21" t="inlineStr">
        <is>
          <t>Standard / Benchmark</t>
        </is>
      </c>
      <c r="E41" s="21" t="inlineStr">
        <is>
          <t>Status
(Complied/Partial/Fail)</t>
        </is>
      </c>
      <c r="F41" s="21" t="inlineStr">
        <is>
          <t>Evidence Ref.</t>
        </is>
      </c>
      <c r="G41" s="21" t="inlineStr">
        <is>
          <t>Risk Level
(H/M/L)</t>
        </is>
      </c>
      <c r="H41" s="21" t="inlineStr">
        <is>
          <t>Action Required</t>
        </is>
      </c>
    </row>
    <row r="42" ht="22" customHeight="1">
      <c r="B42" s="54" t="n">
        <v>1</v>
      </c>
      <c r="C42" s="43" t="inlineStr">
        <is>
          <t>Annual cybersecurity awareness training</t>
        </is>
      </c>
      <c r="D42" s="43" t="inlineStr">
        <is>
          <t>All staff completed</t>
        </is>
      </c>
      <c r="E42" s="22" t="inlineStr">
        <is>
          <t>Complied</t>
        </is>
      </c>
      <c r="F42" s="43" t="inlineStr"/>
      <c r="G42" s="22" t="inlineStr">
        <is>
          <t>M</t>
        </is>
      </c>
      <c r="H42" s="43" t="inlineStr"/>
    </row>
    <row r="43" ht="22" customHeight="1">
      <c r="B43" s="8" t="n">
        <v>2</v>
      </c>
      <c r="C43" s="9" t="inlineStr">
        <is>
          <t>Phishing simulation exercises conducted</t>
        </is>
      </c>
      <c r="D43" s="9" t="inlineStr">
        <is>
          <t>Quarterly phishing tests</t>
        </is>
      </c>
      <c r="E43" s="10" t="inlineStr">
        <is>
          <t>Complied</t>
        </is>
      </c>
      <c r="F43" s="9" t="inlineStr"/>
      <c r="G43" s="10" t="inlineStr">
        <is>
          <t>M</t>
        </is>
      </c>
      <c r="H43" s="9" t="inlineStr"/>
    </row>
    <row r="44" ht="22" customHeight="1">
      <c r="B44" s="54" t="n">
        <v>3</v>
      </c>
      <c r="C44" s="43" t="inlineStr">
        <is>
          <t>Incident Response Plan (IRP) documented</t>
        </is>
      </c>
      <c r="D44" s="43" t="inlineStr">
        <is>
          <t>Tested annually via tabletop</t>
        </is>
      </c>
      <c r="E44" s="22" t="inlineStr">
        <is>
          <t>Complied</t>
        </is>
      </c>
      <c r="F44" s="43" t="inlineStr"/>
      <c r="G44" s="22" t="inlineStr">
        <is>
          <t>M</t>
        </is>
      </c>
      <c r="H44" s="43" t="inlineStr"/>
    </row>
    <row r="45" ht="22" customHeight="1">
      <c r="B45" s="8" t="n">
        <v>4</v>
      </c>
      <c r="C45" s="9" t="inlineStr">
        <is>
          <t>Cybersecurity incidents reported and logged</t>
        </is>
      </c>
      <c r="D45" s="9" t="inlineStr">
        <is>
          <t>Incident register maintained</t>
        </is>
      </c>
      <c r="E45" s="10" t="inlineStr">
        <is>
          <t>Complied</t>
        </is>
      </c>
      <c r="F45" s="9" t="inlineStr"/>
      <c r="G45" s="10" t="inlineStr">
        <is>
          <t>M</t>
        </is>
      </c>
      <c r="H45" s="9" t="inlineStr"/>
    </row>
    <row r="46" ht="22" customHeight="1">
      <c r="B46" s="54" t="n">
        <v>5</v>
      </c>
      <c r="C46" s="43" t="inlineStr">
        <is>
          <t>Business Continuity Plan (BCP) available</t>
        </is>
      </c>
      <c r="D46" s="43" t="inlineStr">
        <is>
          <t>Reviewed and updated annually</t>
        </is>
      </c>
      <c r="E46" s="22" t="inlineStr">
        <is>
          <t>Complied</t>
        </is>
      </c>
      <c r="F46" s="43" t="inlineStr"/>
      <c r="G46" s="22" t="inlineStr">
        <is>
          <t>M</t>
        </is>
      </c>
      <c r="H46" s="43" t="inlineStr"/>
    </row>
    <row r="47" ht="22" customHeight="1">
      <c r="B47" s="8" t="n">
        <v>6</v>
      </c>
      <c r="C47" s="9" t="inlineStr">
        <is>
          <t>Cyber insurance coverage</t>
        </is>
      </c>
      <c r="D47" s="9" t="inlineStr">
        <is>
          <t>Coverage reviewed annually</t>
        </is>
      </c>
      <c r="E47" s="10" t="inlineStr">
        <is>
          <t>Complied</t>
        </is>
      </c>
      <c r="F47" s="9" t="inlineStr"/>
      <c r="G47" s="10" t="inlineStr">
        <is>
          <t>M</t>
        </is>
      </c>
      <c r="H47" s="9" t="inlineStr"/>
    </row>
    <row r="48" ht="22" customHeight="1"/>
    <row r="49" ht="24" customHeight="1">
      <c r="B49" s="55" t="inlineStr">
        <is>
          <t>F. COMPLIANCE &amp; GOVERNANCE</t>
        </is>
      </c>
    </row>
    <row r="50" ht="22" customHeight="1">
      <c r="B50" s="56" t="inlineStr">
        <is>
          <t>Sl.</t>
        </is>
      </c>
      <c r="C50" s="56" t="inlineStr">
        <is>
          <t>Security Control / Requirement</t>
        </is>
      </c>
      <c r="D50" s="56" t="inlineStr">
        <is>
          <t>Standard / Benchmark</t>
        </is>
      </c>
      <c r="E50" s="56" t="inlineStr">
        <is>
          <t>Status
(Complied/Partial/Fail)</t>
        </is>
      </c>
      <c r="F50" s="56" t="inlineStr">
        <is>
          <t>Evidence Ref.</t>
        </is>
      </c>
      <c r="G50" s="56" t="inlineStr">
        <is>
          <t>Risk Level
(H/M/L)</t>
        </is>
      </c>
      <c r="H50" s="56" t="inlineStr">
        <is>
          <t>Action Required</t>
        </is>
      </c>
    </row>
    <row r="51" ht="22" customHeight="1">
      <c r="B51" s="57" t="n">
        <v>1</v>
      </c>
      <c r="C51" s="58" t="inlineStr">
        <is>
          <t>IT Acceptable Use Policy signed by all users</t>
        </is>
      </c>
      <c r="D51" s="58" t="inlineStr">
        <is>
          <t>Annual refresh done</t>
        </is>
      </c>
      <c r="E51" s="59" t="inlineStr">
        <is>
          <t>Complied</t>
        </is>
      </c>
      <c r="F51" s="58" t="inlineStr"/>
      <c r="G51" s="59" t="inlineStr">
        <is>
          <t>M</t>
        </is>
      </c>
      <c r="H51" s="58" t="inlineStr"/>
    </row>
    <row r="52" ht="22" customHeight="1">
      <c r="B52" s="8" t="n">
        <v>2</v>
      </c>
      <c r="C52" s="9" t="inlineStr">
        <is>
          <t>Personal Data Protection compliance (PDPB)</t>
        </is>
      </c>
      <c r="D52" s="9" t="inlineStr">
        <is>
          <t>Data inventory maintained</t>
        </is>
      </c>
      <c r="E52" s="10" t="inlineStr">
        <is>
          <t>Complied</t>
        </is>
      </c>
      <c r="F52" s="9" t="inlineStr"/>
      <c r="G52" s="10" t="inlineStr">
        <is>
          <t>M</t>
        </is>
      </c>
      <c r="H52" s="9" t="inlineStr"/>
    </row>
    <row r="53" ht="22" customHeight="1">
      <c r="B53" s="57" t="n">
        <v>3</v>
      </c>
      <c r="C53" s="58" t="inlineStr">
        <is>
          <t>CERT-In compliance (incident reporting)</t>
        </is>
      </c>
      <c r="D53" s="58" t="inlineStr">
        <is>
          <t>6-hour reporting window known</t>
        </is>
      </c>
      <c r="E53" s="59" t="inlineStr">
        <is>
          <t>Complied</t>
        </is>
      </c>
      <c r="F53" s="58" t="inlineStr"/>
      <c r="G53" s="59" t="inlineStr">
        <is>
          <t>M</t>
        </is>
      </c>
      <c r="H53" s="58" t="inlineStr"/>
    </row>
    <row r="54" ht="22" customHeight="1">
      <c r="B54" s="8" t="n">
        <v>4</v>
      </c>
      <c r="C54" s="9" t="inlineStr">
        <is>
          <t>Third-party / vendor security assessment</t>
        </is>
      </c>
      <c r="D54" s="9" t="inlineStr">
        <is>
          <t>Vendor risk form completed</t>
        </is>
      </c>
      <c r="E54" s="10" t="inlineStr">
        <is>
          <t>Complied</t>
        </is>
      </c>
      <c r="F54" s="9" t="inlineStr"/>
      <c r="G54" s="10" t="inlineStr">
        <is>
          <t>M</t>
        </is>
      </c>
      <c r="H54" s="9" t="inlineStr"/>
    </row>
    <row r="55" ht="22" customHeight="1">
      <c r="B55" s="57" t="n">
        <v>5</v>
      </c>
      <c r="C55" s="58" t="inlineStr">
        <is>
          <t>Penetration testing conducted</t>
        </is>
      </c>
      <c r="D55" s="58" t="inlineStr">
        <is>
          <t>Annual pentest report available</t>
        </is>
      </c>
      <c r="E55" s="59" t="inlineStr">
        <is>
          <t>Complied</t>
        </is>
      </c>
      <c r="F55" s="58" t="inlineStr"/>
      <c r="G55" s="59" t="inlineStr">
        <is>
          <t>M</t>
        </is>
      </c>
      <c r="H55" s="58" t="inlineStr"/>
    </row>
    <row r="56" ht="22" customHeight="1">
      <c r="B56" s="8" t="n">
        <v>6</v>
      </c>
      <c r="C56" s="9" t="inlineStr">
        <is>
          <t>Security governance committee active</t>
        </is>
      </c>
      <c r="D56" s="9" t="inlineStr">
        <is>
          <t>Minutes maintained</t>
        </is>
      </c>
      <c r="E56" s="10" t="inlineStr">
        <is>
          <t>Complied</t>
        </is>
      </c>
      <c r="F56" s="9" t="inlineStr"/>
      <c r="G56" s="10" t="inlineStr">
        <is>
          <t>M</t>
        </is>
      </c>
      <c r="H56" s="9" t="inlineStr"/>
    </row>
    <row r="57" ht="22" customHeight="1"/>
    <row r="58" ht="20" customHeight="1">
      <c r="B58" s="17" t="inlineStr">
        <is>
          <t>Cybersecurity Audit Score: _____ / 100    Risk Level: [ ] Low   [ ] Medium   [ ] High    Next Audit Due: _______    Auditor Signature: ___________________</t>
        </is>
      </c>
    </row>
    <row r="59" ht="22" customHeight="1"/>
    <row r="60" ht="22" customHeight="1"/>
    <row r="61" ht="22" customHeight="1"/>
    <row r="62" ht="22" customHeight="1"/>
    <row r="63" ht="22" customHeight="1"/>
    <row r="64" ht="22" customHeight="1"/>
  </sheetData>
  <mergeCells count="9">
    <mergeCell ref="B22:H22"/>
    <mergeCell ref="B40:H40"/>
    <mergeCell ref="B58:H58"/>
    <mergeCell ref="B13:H13"/>
    <mergeCell ref="B49:H49"/>
    <mergeCell ref="B4:H4"/>
    <mergeCell ref="B2:H2"/>
    <mergeCell ref="B3:H3"/>
    <mergeCell ref="B31:H3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6" customWidth="1" min="3" max="3"/>
    <col width="16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ICT-13: CYBERSECURITY INCIDENT REGISTER</t>
        </is>
      </c>
    </row>
    <row r="3" ht="25" customHeight="1">
      <c r="B3" s="60" t="inlineStr">
        <is>
          <t>RESTRICTED ACCESS — Maintain as per data sensitivity. Report critical incidents within 6 hours (CERT-In mandate).</t>
        </is>
      </c>
    </row>
    <row r="4" ht="25" customHeight="1">
      <c r="B4" s="39" t="inlineStr">
        <is>
          <t>Incident
Ref.</t>
        </is>
      </c>
      <c r="C4" s="39" t="inlineStr">
        <is>
          <t>Incident Description</t>
        </is>
      </c>
      <c r="D4" s="39" t="inlineStr">
        <is>
          <t>Category</t>
        </is>
      </c>
      <c r="E4" s="39" t="inlineStr">
        <is>
          <t>Date / Time
Detected</t>
        </is>
      </c>
      <c r="F4" s="39" t="inlineStr">
        <is>
          <t>Severity
(C/H/M/L)</t>
        </is>
      </c>
      <c r="G4" s="39" t="inlineStr">
        <is>
          <t>Systems
Affected</t>
        </is>
      </c>
      <c r="H4" s="39" t="inlineStr">
        <is>
          <t>Date
Contained</t>
        </is>
      </c>
      <c r="I4" s="39" t="inlineStr">
        <is>
          <t>Root Cause</t>
        </is>
      </c>
      <c r="J4" s="39" t="inlineStr">
        <is>
          <t>Action Taken</t>
        </is>
      </c>
    </row>
    <row r="5" ht="24" customHeight="1">
      <c r="B5" s="40" t="inlineStr">
        <is>
          <t>INC/2024/001</t>
        </is>
      </c>
      <c r="C5" s="41" t="inlineStr"/>
      <c r="D5" s="42" t="inlineStr">
        <is>
          <t>Phishing / Social Engineering</t>
        </is>
      </c>
      <c r="E5" s="42" t="inlineStr"/>
      <c r="F5" s="40" t="inlineStr">
        <is>
          <t>C</t>
        </is>
      </c>
      <c r="G5" s="42" t="inlineStr"/>
      <c r="H5" s="42" t="inlineStr"/>
      <c r="I5" s="41" t="inlineStr"/>
      <c r="J5" s="41" t="inlineStr"/>
    </row>
    <row r="6" ht="24" customHeight="1">
      <c r="B6" s="8" t="inlineStr">
        <is>
          <t>INC/2024/002</t>
        </is>
      </c>
      <c r="C6" s="9" t="inlineStr"/>
      <c r="D6" s="10" t="inlineStr">
        <is>
          <t>Malware / Ransomware</t>
        </is>
      </c>
      <c r="E6" s="10" t="inlineStr"/>
      <c r="F6" s="8" t="inlineStr">
        <is>
          <t>H</t>
        </is>
      </c>
      <c r="G6" s="10" t="inlineStr"/>
      <c r="H6" s="10" t="inlineStr"/>
      <c r="I6" s="9" t="inlineStr"/>
      <c r="J6" s="9" t="inlineStr"/>
    </row>
    <row r="7" ht="24" customHeight="1">
      <c r="B7" s="40" t="inlineStr">
        <is>
          <t>INC/2024/003</t>
        </is>
      </c>
      <c r="C7" s="41" t="inlineStr"/>
      <c r="D7" s="42" t="inlineStr">
        <is>
          <t>Data Breach / Leak</t>
        </is>
      </c>
      <c r="E7" s="42" t="inlineStr"/>
      <c r="F7" s="40" t="inlineStr">
        <is>
          <t>M</t>
        </is>
      </c>
      <c r="G7" s="42" t="inlineStr"/>
      <c r="H7" s="42" t="inlineStr"/>
      <c r="I7" s="41" t="inlineStr"/>
      <c r="J7" s="41" t="inlineStr"/>
    </row>
    <row r="8" ht="24" customHeight="1">
      <c r="B8" s="8" t="inlineStr">
        <is>
          <t>INC/2024/004</t>
        </is>
      </c>
      <c r="C8" s="9" t="inlineStr"/>
      <c r="D8" s="10" t="inlineStr">
        <is>
          <t>Unauthorised Access</t>
        </is>
      </c>
      <c r="E8" s="10" t="inlineStr"/>
      <c r="F8" s="8" t="inlineStr">
        <is>
          <t>L</t>
        </is>
      </c>
      <c r="G8" s="10" t="inlineStr"/>
      <c r="H8" s="10" t="inlineStr"/>
      <c r="I8" s="9" t="inlineStr"/>
      <c r="J8" s="9" t="inlineStr"/>
    </row>
    <row r="9" ht="24" customHeight="1">
      <c r="B9" s="40" t="inlineStr">
        <is>
          <t>INC/2024/005</t>
        </is>
      </c>
      <c r="C9" s="41" t="inlineStr"/>
      <c r="D9" s="42" t="inlineStr">
        <is>
          <t>DDoS / Service Disruption</t>
        </is>
      </c>
      <c r="E9" s="42" t="inlineStr"/>
      <c r="F9" s="40" t="inlineStr">
        <is>
          <t>M</t>
        </is>
      </c>
      <c r="G9" s="42" t="inlineStr"/>
      <c r="H9" s="42" t="inlineStr"/>
      <c r="I9" s="41" t="inlineStr"/>
      <c r="J9" s="41" t="inlineStr"/>
    </row>
    <row r="10" ht="24" customHeight="1">
      <c r="B10" s="8" t="inlineStr">
        <is>
          <t>INC/2024/006</t>
        </is>
      </c>
      <c r="C10" s="9" t="inlineStr"/>
      <c r="D10" s="10" t="inlineStr">
        <is>
          <t>Account Compromise</t>
        </is>
      </c>
      <c r="E10" s="10" t="inlineStr"/>
      <c r="F10" s="8" t="inlineStr">
        <is>
          <t>C</t>
        </is>
      </c>
      <c r="G10" s="10" t="inlineStr"/>
      <c r="H10" s="10" t="inlineStr"/>
      <c r="I10" s="9" t="inlineStr"/>
      <c r="J10" s="9" t="inlineStr"/>
    </row>
    <row r="11" ht="24" customHeight="1">
      <c r="B11" s="40" t="inlineStr">
        <is>
          <t>INC/2024/007</t>
        </is>
      </c>
      <c r="C11" s="41" t="inlineStr"/>
      <c r="D11" s="42" t="inlineStr">
        <is>
          <t>Insider Threat</t>
        </is>
      </c>
      <c r="E11" s="42" t="inlineStr"/>
      <c r="F11" s="40" t="inlineStr">
        <is>
          <t>H</t>
        </is>
      </c>
      <c r="G11" s="42" t="inlineStr"/>
      <c r="H11" s="42" t="inlineStr"/>
      <c r="I11" s="41" t="inlineStr"/>
      <c r="J11" s="41" t="inlineStr"/>
    </row>
    <row r="12" ht="24" customHeight="1">
      <c r="B12" s="8" t="inlineStr">
        <is>
          <t>INC/2024/008</t>
        </is>
      </c>
      <c r="C12" s="9" t="inlineStr"/>
      <c r="D12" s="10" t="inlineStr">
        <is>
          <t>Physical Security</t>
        </is>
      </c>
      <c r="E12" s="10" t="inlineStr"/>
      <c r="F12" s="8" t="inlineStr">
        <is>
          <t>M</t>
        </is>
      </c>
      <c r="G12" s="10" t="inlineStr"/>
      <c r="H12" s="10" t="inlineStr"/>
      <c r="I12" s="9" t="inlineStr"/>
      <c r="J12" s="9" t="inlineStr"/>
    </row>
    <row r="13" ht="24" customHeight="1">
      <c r="B13" s="40" t="inlineStr">
        <is>
          <t>INC/2024/009</t>
        </is>
      </c>
      <c r="C13" s="41" t="inlineStr"/>
      <c r="D13" s="42" t="inlineStr">
        <is>
          <t>Third-party / Vendor Incident</t>
        </is>
      </c>
      <c r="E13" s="42" t="inlineStr"/>
      <c r="F13" s="40" t="inlineStr">
        <is>
          <t>L</t>
        </is>
      </c>
      <c r="G13" s="42" t="inlineStr"/>
      <c r="H13" s="42" t="inlineStr"/>
      <c r="I13" s="41" t="inlineStr"/>
      <c r="J13" s="41" t="inlineStr"/>
    </row>
    <row r="14" ht="24" customHeight="1">
      <c r="B14" s="8" t="inlineStr">
        <is>
          <t>INC/2025/010</t>
        </is>
      </c>
      <c r="C14" s="9" t="inlineStr"/>
      <c r="D14" s="10" t="inlineStr">
        <is>
          <t>Policy Violation</t>
        </is>
      </c>
      <c r="E14" s="10" t="inlineStr"/>
      <c r="F14" s="8" t="inlineStr">
        <is>
          <t>M</t>
        </is>
      </c>
      <c r="G14" s="10" t="inlineStr"/>
      <c r="H14" s="10" t="inlineStr"/>
      <c r="I14" s="9" t="inlineStr"/>
      <c r="J14" s="9" t="inlineStr"/>
    </row>
    <row r="15" ht="24" customHeight="1">
      <c r="B15" s="40" t="inlineStr">
        <is>
          <t>INC/2025/011</t>
        </is>
      </c>
      <c r="C15" s="41" t="inlineStr"/>
      <c r="D15" s="42" t="inlineStr">
        <is>
          <t>Other</t>
        </is>
      </c>
      <c r="E15" s="42" t="inlineStr"/>
      <c r="F15" s="40" t="inlineStr">
        <is>
          <t>C</t>
        </is>
      </c>
      <c r="G15" s="42" t="inlineStr"/>
      <c r="H15" s="42" t="inlineStr"/>
      <c r="I15" s="41" t="inlineStr"/>
      <c r="J15" s="41" t="inlineStr"/>
    </row>
    <row r="16" ht="24" customHeight="1">
      <c r="B16" s="8" t="inlineStr">
        <is>
          <t>INC/2025/012</t>
        </is>
      </c>
      <c r="C16" s="9" t="inlineStr"/>
      <c r="D16" s="10" t="inlineStr">
        <is>
          <t>Phishing / Social Engineering</t>
        </is>
      </c>
      <c r="E16" s="10" t="inlineStr"/>
      <c r="F16" s="8" t="inlineStr">
        <is>
          <t>H</t>
        </is>
      </c>
      <c r="G16" s="10" t="inlineStr"/>
      <c r="H16" s="10" t="inlineStr"/>
      <c r="I16" s="9" t="inlineStr"/>
      <c r="J16" s="9" t="inlineStr"/>
    </row>
    <row r="17" ht="24" customHeight="1">
      <c r="B17" s="40" t="inlineStr">
        <is>
          <t>INC/2025/013</t>
        </is>
      </c>
      <c r="C17" s="41" t="inlineStr"/>
      <c r="D17" s="42" t="inlineStr">
        <is>
          <t>Malware / Ransomware</t>
        </is>
      </c>
      <c r="E17" s="42" t="inlineStr"/>
      <c r="F17" s="40" t="inlineStr">
        <is>
          <t>M</t>
        </is>
      </c>
      <c r="G17" s="42" t="inlineStr"/>
      <c r="H17" s="42" t="inlineStr"/>
      <c r="I17" s="41" t="inlineStr"/>
      <c r="J17" s="41" t="inlineStr"/>
    </row>
    <row r="18" ht="24" customHeight="1">
      <c r="B18" s="8" t="inlineStr">
        <is>
          <t>INC/2025/014</t>
        </is>
      </c>
      <c r="C18" s="9" t="inlineStr"/>
      <c r="D18" s="10" t="inlineStr">
        <is>
          <t>Data Breach / Leak</t>
        </is>
      </c>
      <c r="E18" s="10" t="inlineStr"/>
      <c r="F18" s="8" t="inlineStr">
        <is>
          <t>L</t>
        </is>
      </c>
      <c r="G18" s="10" t="inlineStr"/>
      <c r="H18" s="10" t="inlineStr"/>
      <c r="I18" s="9" t="inlineStr"/>
      <c r="J18" s="9" t="inlineStr"/>
    </row>
    <row r="19" ht="24" customHeight="1">
      <c r="B19" s="40" t="inlineStr">
        <is>
          <t>INC/2025/015</t>
        </is>
      </c>
      <c r="C19" s="41" t="inlineStr"/>
      <c r="D19" s="42" t="inlineStr">
        <is>
          <t>Unauthorised Access</t>
        </is>
      </c>
      <c r="E19" s="42" t="inlineStr"/>
      <c r="F19" s="40" t="inlineStr">
        <is>
          <t>M</t>
        </is>
      </c>
      <c r="G19" s="42" t="inlineStr"/>
      <c r="H19" s="42" t="inlineStr"/>
      <c r="I19" s="41" t="inlineStr"/>
      <c r="J19" s="41" t="inlineStr"/>
    </row>
    <row r="20" ht="24" customHeight="1">
      <c r="B20" s="8" t="inlineStr">
        <is>
          <t>INC/2025/016</t>
        </is>
      </c>
      <c r="C20" s="9" t="inlineStr"/>
      <c r="D20" s="10" t="inlineStr">
        <is>
          <t>DDoS / Service Disruption</t>
        </is>
      </c>
      <c r="E20" s="10" t="inlineStr"/>
      <c r="F20" s="8" t="inlineStr">
        <is>
          <t>C</t>
        </is>
      </c>
      <c r="G20" s="10" t="inlineStr"/>
      <c r="H20" s="10" t="inlineStr"/>
      <c r="I20" s="9" t="inlineStr"/>
      <c r="J20" s="9" t="inlineStr"/>
    </row>
    <row r="21" ht="24" customHeight="1">
      <c r="B21" s="40" t="inlineStr">
        <is>
          <t>INC/2025/017</t>
        </is>
      </c>
      <c r="C21" s="41" t="inlineStr"/>
      <c r="D21" s="42" t="inlineStr">
        <is>
          <t>Account Compromise</t>
        </is>
      </c>
      <c r="E21" s="42" t="inlineStr"/>
      <c r="F21" s="40" t="inlineStr">
        <is>
          <t>H</t>
        </is>
      </c>
      <c r="G21" s="42" t="inlineStr"/>
      <c r="H21" s="42" t="inlineStr"/>
      <c r="I21" s="41" t="inlineStr"/>
      <c r="J21" s="41" t="inlineStr"/>
    </row>
    <row r="22" ht="24" customHeight="1">
      <c r="B22" s="8" t="inlineStr">
        <is>
          <t>INC/2025/018</t>
        </is>
      </c>
      <c r="C22" s="9" t="inlineStr"/>
      <c r="D22" s="10" t="inlineStr">
        <is>
          <t>Insider Threat</t>
        </is>
      </c>
      <c r="E22" s="10" t="inlineStr"/>
      <c r="F22" s="8" t="inlineStr">
        <is>
          <t>M</t>
        </is>
      </c>
      <c r="G22" s="10" t="inlineStr"/>
      <c r="H22" s="10" t="inlineStr"/>
      <c r="I22" s="9" t="inlineStr"/>
      <c r="J22" s="9" t="inlineStr"/>
    </row>
    <row r="23" ht="24" customHeight="1"/>
    <row r="24" ht="24" customHeight="1">
      <c r="B24" s="38" t="inlineStr">
        <is>
          <t>INCIDENT STATISTICS</t>
        </is>
      </c>
    </row>
    <row r="25" ht="24" customHeight="1">
      <c r="B25" s="61" t="inlineStr">
        <is>
          <t>Total Incidents This Year</t>
        </is>
      </c>
      <c r="F25" s="36">
        <f>COUNTA(B5:B22)</f>
        <v/>
      </c>
    </row>
    <row r="26" ht="24" customHeight="1">
      <c r="B26" s="25" t="inlineStr">
        <is>
          <t>Critical (C)</t>
        </is>
      </c>
      <c r="F26" s="37">
        <f>COUNTIF(F5:F22,"C")</f>
        <v/>
      </c>
    </row>
    <row r="27" ht="24" customHeight="1">
      <c r="B27" s="61" t="inlineStr">
        <is>
          <t>High (H)</t>
        </is>
      </c>
      <c r="F27" s="36">
        <f>COUNTIF(F5:F22,"H")</f>
        <v/>
      </c>
    </row>
    <row r="28" ht="24" customHeight="1">
      <c r="B28" s="25" t="inlineStr">
        <is>
          <t>Medium (M)</t>
        </is>
      </c>
      <c r="F28" s="37">
        <f>COUNTIF(F5:F22,"M")</f>
        <v/>
      </c>
    </row>
    <row r="29" ht="24" customHeight="1">
      <c r="B29" s="61" t="inlineStr">
        <is>
          <t>Resolved Within SLA</t>
        </is>
      </c>
      <c r="F29" s="36" t="inlineStr"/>
    </row>
    <row r="30" ht="24" customHeight="1">
      <c r="B30" s="25" t="inlineStr">
        <is>
          <t>Mean Time to Detect (Hrs)</t>
        </is>
      </c>
      <c r="F30" s="37" t="inlineStr"/>
    </row>
    <row r="31" ht="24" customHeight="1">
      <c r="B31" s="61" t="inlineStr">
        <is>
          <t>Mean Time to Resolve (Hrs)</t>
        </is>
      </c>
      <c r="F31" s="36" t="inlineStr"/>
    </row>
  </sheetData>
  <mergeCells count="17">
    <mergeCell ref="B31:E31"/>
    <mergeCell ref="B26:E26"/>
    <mergeCell ref="B27:E27"/>
    <mergeCell ref="B3:J3"/>
    <mergeCell ref="F29:J29"/>
    <mergeCell ref="F30:J30"/>
    <mergeCell ref="F26:J26"/>
    <mergeCell ref="B30:E30"/>
    <mergeCell ref="F25:J25"/>
    <mergeCell ref="F27:J27"/>
    <mergeCell ref="B25:E25"/>
    <mergeCell ref="F28:J28"/>
    <mergeCell ref="B29:E29"/>
    <mergeCell ref="F31:J31"/>
    <mergeCell ref="B28:E28"/>
    <mergeCell ref="B24:J24"/>
    <mergeCell ref="B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H5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8" customHeight="1">
      <c r="B2" s="12" t="inlineStr">
        <is>
          <t>ICT-16: INSTITUTIONAL WEBSITE AUDIT &amp; COMPLIANCE FORM</t>
        </is>
      </c>
    </row>
    <row r="3" ht="25" customHeight="1">
      <c r="B3" s="2" t="inlineStr">
        <is>
          <t>URL: _______________________  Audit Date: _______  Auditor: ___________________  Frequency: Semi-Annual</t>
        </is>
      </c>
    </row>
    <row r="4" ht="24" customHeight="1">
      <c r="B4" s="19" t="inlineStr">
        <is>
          <t>A. AICTE / UGC MANDATORY DISCLOSURE</t>
        </is>
      </c>
    </row>
    <row r="5" ht="22" customHeight="1">
      <c r="B5" s="13" t="inlineStr">
        <is>
          <t>Sl.</t>
        </is>
      </c>
      <c r="C5" s="13" t="inlineStr">
        <is>
          <t>Audit Parameter</t>
        </is>
      </c>
      <c r="D5" s="13" t="inlineStr">
        <is>
          <t>Required Standard</t>
        </is>
      </c>
      <c r="E5" s="13" t="inlineStr">
        <is>
          <t>Status
(Pass/Fail/NA)</t>
        </is>
      </c>
      <c r="F5" s="13" t="inlineStr">
        <is>
          <t>Last Updated</t>
        </is>
      </c>
      <c r="G5" s="13" t="inlineStr">
        <is>
          <t>Responsible
Owner</t>
        </is>
      </c>
      <c r="H5" s="13" t="inlineStr">
        <is>
          <t>Action Required</t>
        </is>
      </c>
    </row>
    <row r="6" ht="22" customHeight="1">
      <c r="B6" s="14" t="n">
        <v>1</v>
      </c>
      <c r="C6" s="15" t="inlineStr">
        <is>
          <t>Programme details (name, duration, intake, fees) published</t>
        </is>
      </c>
      <c r="D6" s="16" t="inlineStr"/>
      <c r="E6" s="16" t="inlineStr">
        <is>
          <t>Pass</t>
        </is>
      </c>
      <c r="F6" s="16" t="inlineStr"/>
      <c r="G6" s="16" t="inlineStr"/>
      <c r="H6" s="15" t="inlineStr"/>
    </row>
    <row r="7" ht="22" customHeight="1">
      <c r="B7" s="8" t="n">
        <v>2</v>
      </c>
      <c r="C7" s="9" t="inlineStr">
        <is>
          <t>Faculty list with qualifications &amp; designation published</t>
        </is>
      </c>
      <c r="D7" s="10" t="inlineStr"/>
      <c r="E7" s="10" t="inlineStr">
        <is>
          <t>Pass</t>
        </is>
      </c>
      <c r="F7" s="10" t="inlineStr"/>
      <c r="G7" s="10" t="inlineStr"/>
      <c r="H7" s="9" t="inlineStr"/>
    </row>
    <row r="8" ht="22" customHeight="1">
      <c r="B8" s="14" t="n">
        <v>3</v>
      </c>
      <c r="C8" s="15" t="inlineStr">
        <is>
          <t>Approved intake &amp; actual admission data published</t>
        </is>
      </c>
      <c r="D8" s="16" t="inlineStr"/>
      <c r="E8" s="16" t="inlineStr">
        <is>
          <t>Pass</t>
        </is>
      </c>
      <c r="F8" s="16" t="inlineStr"/>
      <c r="G8" s="16" t="inlineStr"/>
      <c r="H8" s="15" t="inlineStr"/>
    </row>
    <row r="9" ht="22" customHeight="1">
      <c r="B9" s="8" t="n">
        <v>4</v>
      </c>
      <c r="C9" s="9" t="inlineStr">
        <is>
          <t>Placement / career outcomes data (last 3 years) published</t>
        </is>
      </c>
      <c r="D9" s="10" t="inlineStr"/>
      <c r="E9" s="10" t="inlineStr">
        <is>
          <t>Pass</t>
        </is>
      </c>
      <c r="F9" s="10" t="inlineStr"/>
      <c r="G9" s="10" t="inlineStr"/>
      <c r="H9" s="9" t="inlineStr"/>
    </row>
    <row r="10" ht="22" customHeight="1">
      <c r="B10" s="14" t="n">
        <v>5</v>
      </c>
      <c r="C10" s="15" t="inlineStr">
        <is>
          <t>Accreditation status (NAAC grade, NBA) displayed</t>
        </is>
      </c>
      <c r="D10" s="16" t="inlineStr"/>
      <c r="E10" s="16" t="inlineStr">
        <is>
          <t>Pass</t>
        </is>
      </c>
      <c r="F10" s="16" t="inlineStr"/>
      <c r="G10" s="16" t="inlineStr"/>
      <c r="H10" s="15" t="inlineStr"/>
    </row>
    <row r="11" ht="22" customHeight="1">
      <c r="B11" s="8" t="n">
        <v>6</v>
      </c>
      <c r="C11" s="9" t="inlineStr">
        <is>
          <t>Anti-ragging helpline number prominently displayed</t>
        </is>
      </c>
      <c r="D11" s="10" t="inlineStr"/>
      <c r="E11" s="10" t="inlineStr">
        <is>
          <t>Pass</t>
        </is>
      </c>
      <c r="F11" s="10" t="inlineStr"/>
      <c r="G11" s="10" t="inlineStr"/>
      <c r="H11" s="9" t="inlineStr"/>
    </row>
    <row r="12" ht="22" customHeight="1">
      <c r="B12" s="14" t="n">
        <v>7</v>
      </c>
      <c r="C12" s="15" t="inlineStr">
        <is>
          <t>ICC / POSH information and contact displayed</t>
        </is>
      </c>
      <c r="D12" s="16" t="inlineStr"/>
      <c r="E12" s="16" t="inlineStr">
        <is>
          <t>Pass</t>
        </is>
      </c>
      <c r="F12" s="16" t="inlineStr"/>
      <c r="G12" s="16" t="inlineStr"/>
      <c r="H12" s="15" t="inlineStr"/>
    </row>
    <row r="13" ht="22" customHeight="1">
      <c r="B13" s="8" t="n">
        <v>8</v>
      </c>
      <c r="C13" s="9" t="inlineStr">
        <is>
          <t>Fee refund policy published</t>
        </is>
      </c>
      <c r="D13" s="10" t="inlineStr"/>
      <c r="E13" s="10" t="inlineStr">
        <is>
          <t>Pass</t>
        </is>
      </c>
      <c r="F13" s="10" t="inlineStr"/>
      <c r="G13" s="10" t="inlineStr"/>
      <c r="H13" s="9" t="inlineStr"/>
    </row>
    <row r="14" ht="22" customHeight="1">
      <c r="B14" s="14" t="n">
        <v>9</v>
      </c>
      <c r="C14" s="15" t="inlineStr">
        <is>
          <t>Scholarship / financial aid information available</t>
        </is>
      </c>
      <c r="D14" s="16" t="inlineStr"/>
      <c r="E14" s="16" t="inlineStr">
        <is>
          <t>Pass</t>
        </is>
      </c>
      <c r="F14" s="16" t="inlineStr"/>
      <c r="G14" s="16" t="inlineStr"/>
      <c r="H14" s="15" t="inlineStr"/>
    </row>
    <row r="15" ht="22" customHeight="1">
      <c r="B15" s="8" t="n">
        <v>10</v>
      </c>
      <c r="C15" s="9" t="inlineStr">
        <is>
          <t>Annual Report / Mandatory Disclosure PDF link active</t>
        </is>
      </c>
      <c r="D15" s="10" t="inlineStr"/>
      <c r="E15" s="10" t="inlineStr">
        <is>
          <t>Pass</t>
        </is>
      </c>
      <c r="F15" s="10" t="inlineStr"/>
      <c r="G15" s="10" t="inlineStr"/>
      <c r="H15" s="9" t="inlineStr"/>
    </row>
    <row r="16" ht="22" customHeight="1"/>
    <row r="17" ht="24" customHeight="1">
      <c r="B17" s="34" t="inlineStr">
        <is>
          <t>B. CONTENT &amp; ACCURACY</t>
        </is>
      </c>
    </row>
    <row r="18" ht="22" customHeight="1">
      <c r="B18" s="30" t="inlineStr">
        <is>
          <t>Sl.</t>
        </is>
      </c>
      <c r="C18" s="30" t="inlineStr">
        <is>
          <t>Audit Parameter</t>
        </is>
      </c>
      <c r="D18" s="30" t="inlineStr">
        <is>
          <t>Required Standard</t>
        </is>
      </c>
      <c r="E18" s="30" t="inlineStr">
        <is>
          <t>Status
(Pass/Fail/NA)</t>
        </is>
      </c>
      <c r="F18" s="30" t="inlineStr">
        <is>
          <t>Last Updated</t>
        </is>
      </c>
      <c r="G18" s="30" t="inlineStr">
        <is>
          <t>Responsible
Owner</t>
        </is>
      </c>
      <c r="H18" s="30" t="inlineStr">
        <is>
          <t>Action Required</t>
        </is>
      </c>
    </row>
    <row r="19" ht="22" customHeight="1">
      <c r="B19" s="31" t="n">
        <v>1</v>
      </c>
      <c r="C19" s="32" t="inlineStr">
        <is>
          <t>All contact details (phone, email, address) are current</t>
        </is>
      </c>
      <c r="D19" s="33" t="inlineStr"/>
      <c r="E19" s="33" t="inlineStr">
        <is>
          <t>Pass</t>
        </is>
      </c>
      <c r="F19" s="33" t="inlineStr"/>
      <c r="G19" s="33" t="inlineStr"/>
      <c r="H19" s="32" t="inlineStr"/>
    </row>
    <row r="20" ht="22" customHeight="1">
      <c r="B20" s="8" t="n">
        <v>2</v>
      </c>
      <c r="C20" s="9" t="inlineStr">
        <is>
          <t>Academic calendar for current A.Y. is published</t>
        </is>
      </c>
      <c r="D20" s="10" t="inlineStr"/>
      <c r="E20" s="10" t="inlineStr">
        <is>
          <t>Pass</t>
        </is>
      </c>
      <c r="F20" s="10" t="inlineStr"/>
      <c r="G20" s="10" t="inlineStr"/>
      <c r="H20" s="9" t="inlineStr"/>
    </row>
    <row r="21" ht="22" customHeight="1">
      <c r="B21" s="31" t="n">
        <v>3</v>
      </c>
      <c r="C21" s="32" t="inlineStr">
        <is>
          <t>Examination schedule published and current</t>
        </is>
      </c>
      <c r="D21" s="33" t="inlineStr"/>
      <c r="E21" s="33" t="inlineStr">
        <is>
          <t>Pass</t>
        </is>
      </c>
      <c r="F21" s="33" t="inlineStr"/>
      <c r="G21" s="33" t="inlineStr"/>
      <c r="H21" s="32" t="inlineStr"/>
    </row>
    <row r="22" ht="22" customHeight="1">
      <c r="B22" s="8" t="n">
        <v>4</v>
      </c>
      <c r="C22" s="9" t="inlineStr">
        <is>
          <t>Research publications / patents section updated</t>
        </is>
      </c>
      <c r="D22" s="10" t="inlineStr"/>
      <c r="E22" s="10" t="inlineStr">
        <is>
          <t>Pass</t>
        </is>
      </c>
      <c r="F22" s="10" t="inlineStr"/>
      <c r="G22" s="10" t="inlineStr"/>
      <c r="H22" s="9" t="inlineStr"/>
    </row>
    <row r="23" ht="22" customHeight="1">
      <c r="B23" s="31" t="n">
        <v>5</v>
      </c>
      <c r="C23" s="32" t="inlineStr">
        <is>
          <t>Events / notices / news section is updated (last 30 days)</t>
        </is>
      </c>
      <c r="D23" s="33" t="inlineStr"/>
      <c r="E23" s="33" t="inlineStr">
        <is>
          <t>Pass</t>
        </is>
      </c>
      <c r="F23" s="33" t="inlineStr"/>
      <c r="G23" s="33" t="inlineStr"/>
      <c r="H23" s="32" t="inlineStr"/>
    </row>
    <row r="24" ht="22" customHeight="1">
      <c r="B24" s="8" t="n">
        <v>6</v>
      </c>
      <c r="C24" s="9" t="inlineStr">
        <is>
          <t>Alumni success stories / testimonials — current</t>
        </is>
      </c>
      <c r="D24" s="10" t="inlineStr"/>
      <c r="E24" s="10" t="inlineStr">
        <is>
          <t>Pass</t>
        </is>
      </c>
      <c r="F24" s="10" t="inlineStr"/>
      <c r="G24" s="10" t="inlineStr"/>
      <c r="H24" s="9" t="inlineStr"/>
    </row>
    <row r="25" ht="22" customHeight="1">
      <c r="B25" s="31" t="n">
        <v>7</v>
      </c>
      <c r="C25" s="32" t="inlineStr">
        <is>
          <t>Photo gallery — current and appropriate</t>
        </is>
      </c>
      <c r="D25" s="33" t="inlineStr"/>
      <c r="E25" s="33" t="inlineStr">
        <is>
          <t>Pass</t>
        </is>
      </c>
      <c r="F25" s="33" t="inlineStr"/>
      <c r="G25" s="33" t="inlineStr"/>
      <c r="H25" s="32" t="inlineStr"/>
    </row>
    <row r="26" ht="22" customHeight="1">
      <c r="B26" s="8" t="n">
        <v>8</v>
      </c>
      <c r="C26" s="9" t="inlineStr">
        <is>
          <t>Vision, Mission, Values — prominently displayed</t>
        </is>
      </c>
      <c r="D26" s="10" t="inlineStr"/>
      <c r="E26" s="10" t="inlineStr">
        <is>
          <t>Pass</t>
        </is>
      </c>
      <c r="F26" s="10" t="inlineStr"/>
      <c r="G26" s="10" t="inlineStr"/>
      <c r="H26" s="9" t="inlineStr"/>
    </row>
    <row r="27" ht="22" customHeight="1"/>
    <row r="28" ht="24" customHeight="1">
      <c r="B28" s="49" t="inlineStr">
        <is>
          <t>C. TECHNICAL PERFORMANCE</t>
        </is>
      </c>
    </row>
    <row r="29" ht="22" customHeight="1">
      <c r="B29" s="50" t="inlineStr">
        <is>
          <t>Sl.</t>
        </is>
      </c>
      <c r="C29" s="50" t="inlineStr">
        <is>
          <t>Audit Parameter</t>
        </is>
      </c>
      <c r="D29" s="50" t="inlineStr">
        <is>
          <t>Required Standard</t>
        </is>
      </c>
      <c r="E29" s="50" t="inlineStr">
        <is>
          <t>Status
(Pass/Fail/NA)</t>
        </is>
      </c>
      <c r="F29" s="50" t="inlineStr">
        <is>
          <t>Last Updated</t>
        </is>
      </c>
      <c r="G29" s="50" t="inlineStr">
        <is>
          <t>Responsible
Owner</t>
        </is>
      </c>
      <c r="H29" s="50" t="inlineStr">
        <is>
          <t>Action Required</t>
        </is>
      </c>
    </row>
    <row r="30" ht="22" customHeight="1">
      <c r="B30" s="51" t="n">
        <v>1</v>
      </c>
      <c r="C30" s="52" t="inlineStr">
        <is>
          <t>Website uptime &gt; 99.5% (check hosting SLA)</t>
        </is>
      </c>
      <c r="D30" s="53" t="inlineStr"/>
      <c r="E30" s="53" t="inlineStr">
        <is>
          <t>Pass</t>
        </is>
      </c>
      <c r="F30" s="53" t="inlineStr"/>
      <c r="G30" s="53" t="inlineStr"/>
      <c r="H30" s="52" t="inlineStr"/>
    </row>
    <row r="31" ht="22" customHeight="1">
      <c r="B31" s="8" t="n">
        <v>2</v>
      </c>
      <c r="C31" s="9" t="inlineStr">
        <is>
          <t>Page load speed &lt; 3 seconds (Google PageSpeed ≥ 70)</t>
        </is>
      </c>
      <c r="D31" s="10" t="inlineStr"/>
      <c r="E31" s="10" t="inlineStr">
        <is>
          <t>Pass</t>
        </is>
      </c>
      <c r="F31" s="10" t="inlineStr"/>
      <c r="G31" s="10" t="inlineStr"/>
      <c r="H31" s="9" t="inlineStr"/>
    </row>
    <row r="32" ht="22" customHeight="1">
      <c r="B32" s="51" t="n">
        <v>3</v>
      </c>
      <c r="C32" s="52" t="inlineStr">
        <is>
          <t>Mobile-responsive design tested on major devices</t>
        </is>
      </c>
      <c r="D32" s="53" t="inlineStr"/>
      <c r="E32" s="53" t="inlineStr">
        <is>
          <t>Pass</t>
        </is>
      </c>
      <c r="F32" s="53" t="inlineStr"/>
      <c r="G32" s="53" t="inlineStr"/>
      <c r="H32" s="52" t="inlineStr"/>
    </row>
    <row r="33" ht="22" customHeight="1">
      <c r="B33" s="8" t="n">
        <v>4</v>
      </c>
      <c r="C33" s="9" t="inlineStr">
        <is>
          <t>SSL certificate valid and auto-renewed</t>
        </is>
      </c>
      <c r="D33" s="10" t="inlineStr"/>
      <c r="E33" s="10" t="inlineStr">
        <is>
          <t>Pass</t>
        </is>
      </c>
      <c r="F33" s="10" t="inlineStr"/>
      <c r="G33" s="10" t="inlineStr"/>
      <c r="H33" s="9" t="inlineStr"/>
    </row>
    <row r="34" ht="22" customHeight="1">
      <c r="B34" s="51" t="n">
        <v>5</v>
      </c>
      <c r="C34" s="52" t="inlineStr">
        <is>
          <t>Broken links scan completed (&lt; 5 broken links)</t>
        </is>
      </c>
      <c r="D34" s="53" t="inlineStr"/>
      <c r="E34" s="53" t="inlineStr">
        <is>
          <t>Pass</t>
        </is>
      </c>
      <c r="F34" s="53" t="inlineStr"/>
      <c r="G34" s="53" t="inlineStr"/>
      <c r="H34" s="52" t="inlineStr"/>
    </row>
    <row r="35" ht="22" customHeight="1">
      <c r="B35" s="8" t="n">
        <v>6</v>
      </c>
      <c r="C35" s="9" t="inlineStr">
        <is>
          <t>Sitemap.xml submitted to Google Search Console</t>
        </is>
      </c>
      <c r="D35" s="10" t="inlineStr"/>
      <c r="E35" s="10" t="inlineStr">
        <is>
          <t>Pass</t>
        </is>
      </c>
      <c r="F35" s="10" t="inlineStr"/>
      <c r="G35" s="10" t="inlineStr"/>
      <c r="H35" s="9" t="inlineStr"/>
    </row>
    <row r="36" ht="22" customHeight="1">
      <c r="B36" s="51" t="n">
        <v>7</v>
      </c>
      <c r="C36" s="52" t="inlineStr">
        <is>
          <t>robots.txt configured correctly</t>
        </is>
      </c>
      <c r="D36" s="53" t="inlineStr"/>
      <c r="E36" s="53" t="inlineStr">
        <is>
          <t>Pass</t>
        </is>
      </c>
      <c r="F36" s="53" t="inlineStr"/>
      <c r="G36" s="53" t="inlineStr"/>
      <c r="H36" s="52" t="inlineStr"/>
    </row>
    <row r="37" ht="22" customHeight="1">
      <c r="B37" s="8" t="n">
        <v>8</v>
      </c>
      <c r="C37" s="9" t="inlineStr">
        <is>
          <t>HTTPS enforced for all pages</t>
        </is>
      </c>
      <c r="D37" s="10" t="inlineStr"/>
      <c r="E37" s="10" t="inlineStr">
        <is>
          <t>Pass</t>
        </is>
      </c>
      <c r="F37" s="10" t="inlineStr"/>
      <c r="G37" s="10" t="inlineStr"/>
      <c r="H37" s="9" t="inlineStr"/>
    </row>
    <row r="38" ht="22" customHeight="1"/>
    <row r="39" ht="24" customHeight="1">
      <c r="B39" s="55" t="inlineStr">
        <is>
          <t>D. ACCESSIBILITY (WCAG 2.1 AA)</t>
        </is>
      </c>
    </row>
    <row r="40" ht="22" customHeight="1">
      <c r="B40" s="56" t="inlineStr">
        <is>
          <t>Sl.</t>
        </is>
      </c>
      <c r="C40" s="56" t="inlineStr">
        <is>
          <t>Audit Parameter</t>
        </is>
      </c>
      <c r="D40" s="56" t="inlineStr">
        <is>
          <t>Required Standard</t>
        </is>
      </c>
      <c r="E40" s="56" t="inlineStr">
        <is>
          <t>Status
(Pass/Fail/NA)</t>
        </is>
      </c>
      <c r="F40" s="56" t="inlineStr">
        <is>
          <t>Last Updated</t>
        </is>
      </c>
      <c r="G40" s="56" t="inlineStr">
        <is>
          <t>Responsible
Owner</t>
        </is>
      </c>
      <c r="H40" s="56" t="inlineStr">
        <is>
          <t>Action Required</t>
        </is>
      </c>
    </row>
    <row r="41" ht="22" customHeight="1">
      <c r="B41" s="57" t="n">
        <v>1</v>
      </c>
      <c r="C41" s="58" t="inlineStr">
        <is>
          <t>Alt text provided for all images</t>
        </is>
      </c>
      <c r="D41" s="59" t="inlineStr"/>
      <c r="E41" s="59" t="inlineStr">
        <is>
          <t>Pass</t>
        </is>
      </c>
      <c r="F41" s="59" t="inlineStr"/>
      <c r="G41" s="59" t="inlineStr"/>
      <c r="H41" s="58" t="inlineStr"/>
    </row>
    <row r="42" ht="22" customHeight="1">
      <c r="B42" s="8" t="n">
        <v>2</v>
      </c>
      <c r="C42" s="9" t="inlineStr">
        <is>
          <t>Keyboard navigation functional throughout site</t>
        </is>
      </c>
      <c r="D42" s="10" t="inlineStr"/>
      <c r="E42" s="10" t="inlineStr">
        <is>
          <t>Pass</t>
        </is>
      </c>
      <c r="F42" s="10" t="inlineStr"/>
      <c r="G42" s="10" t="inlineStr"/>
      <c r="H42" s="9" t="inlineStr"/>
    </row>
    <row r="43" ht="22" customHeight="1">
      <c r="B43" s="57" t="n">
        <v>3</v>
      </c>
      <c r="C43" s="58" t="inlineStr">
        <is>
          <t>Colour contrast ratio meets WCAG AA (4.5:1 minimum)</t>
        </is>
      </c>
      <c r="D43" s="59" t="inlineStr"/>
      <c r="E43" s="59" t="inlineStr">
        <is>
          <t>Pass</t>
        </is>
      </c>
      <c r="F43" s="59" t="inlineStr"/>
      <c r="G43" s="59" t="inlineStr"/>
      <c r="H43" s="58" t="inlineStr"/>
    </row>
    <row r="44" ht="22" customHeight="1">
      <c r="B44" s="8" t="n">
        <v>4</v>
      </c>
      <c r="C44" s="9" t="inlineStr">
        <is>
          <t>Form labels and ARIA roles properly implemented</t>
        </is>
      </c>
      <c r="D44" s="10" t="inlineStr"/>
      <c r="E44" s="10" t="inlineStr">
        <is>
          <t>Pass</t>
        </is>
      </c>
      <c r="F44" s="10" t="inlineStr"/>
      <c r="G44" s="10" t="inlineStr"/>
      <c r="H44" s="9" t="inlineStr"/>
    </row>
    <row r="45" ht="22" customHeight="1">
      <c r="B45" s="57" t="n">
        <v>5</v>
      </c>
      <c r="C45" s="58" t="inlineStr">
        <is>
          <t>Videos have captions / transcripts available</t>
        </is>
      </c>
      <c r="D45" s="59" t="inlineStr"/>
      <c r="E45" s="59" t="inlineStr">
        <is>
          <t>Pass</t>
        </is>
      </c>
      <c r="F45" s="59" t="inlineStr"/>
      <c r="G45" s="59" t="inlineStr"/>
      <c r="H45" s="58" t="inlineStr"/>
    </row>
    <row r="46" ht="22" customHeight="1">
      <c r="B46" s="8" t="n">
        <v>6</v>
      </c>
      <c r="C46" s="9" t="inlineStr">
        <is>
          <t>Skip navigation link provided</t>
        </is>
      </c>
      <c r="D46" s="10" t="inlineStr"/>
      <c r="E46" s="10" t="inlineStr">
        <is>
          <t>Pass</t>
        </is>
      </c>
      <c r="F46" s="10" t="inlineStr"/>
      <c r="G46" s="10" t="inlineStr"/>
      <c r="H46" s="9" t="inlineStr"/>
    </row>
    <row r="47" ht="22" customHeight="1">
      <c r="B47" s="57" t="n">
        <v>7</v>
      </c>
      <c r="C47" s="58" t="inlineStr">
        <is>
          <t>GIGW (Govt. of India Website Guidelines) compliance checked</t>
        </is>
      </c>
      <c r="D47" s="59" t="inlineStr"/>
      <c r="E47" s="59" t="inlineStr">
        <is>
          <t>Pass</t>
        </is>
      </c>
      <c r="F47" s="59" t="inlineStr"/>
      <c r="G47" s="59" t="inlineStr"/>
      <c r="H47" s="58" t="inlineStr"/>
    </row>
    <row r="48" ht="22" customHeight="1"/>
    <row r="49" ht="24" customHeight="1">
      <c r="B49" s="38" t="inlineStr">
        <is>
          <t>E. SECURITY &amp; LEGAL</t>
        </is>
      </c>
    </row>
    <row r="50" ht="22" customHeight="1">
      <c r="B50" s="39" t="inlineStr">
        <is>
          <t>Sl.</t>
        </is>
      </c>
      <c r="C50" s="39" t="inlineStr">
        <is>
          <t>Audit Parameter</t>
        </is>
      </c>
      <c r="D50" s="39" t="inlineStr">
        <is>
          <t>Required Standard</t>
        </is>
      </c>
      <c r="E50" s="39" t="inlineStr">
        <is>
          <t>Status
(Pass/Fail/NA)</t>
        </is>
      </c>
      <c r="F50" s="39" t="inlineStr">
        <is>
          <t>Last Updated</t>
        </is>
      </c>
      <c r="G50" s="39" t="inlineStr">
        <is>
          <t>Responsible
Owner</t>
        </is>
      </c>
      <c r="H50" s="39" t="inlineStr">
        <is>
          <t>Action Required</t>
        </is>
      </c>
    </row>
    <row r="51" ht="22" customHeight="1">
      <c r="B51" s="40" t="n">
        <v>1</v>
      </c>
      <c r="C51" s="41" t="inlineStr">
        <is>
          <t>Privacy Policy page published and current</t>
        </is>
      </c>
      <c r="D51" s="42" t="inlineStr"/>
      <c r="E51" s="42" t="inlineStr">
        <is>
          <t>Pass</t>
        </is>
      </c>
      <c r="F51" s="42" t="inlineStr"/>
      <c r="G51" s="42" t="inlineStr"/>
      <c r="H51" s="41" t="inlineStr"/>
    </row>
    <row r="52" ht="22" customHeight="1">
      <c r="B52" s="8" t="n">
        <v>2</v>
      </c>
      <c r="C52" s="9" t="inlineStr">
        <is>
          <t>Cookie consent / GDPR notice implemented</t>
        </is>
      </c>
      <c r="D52" s="10" t="inlineStr"/>
      <c r="E52" s="10" t="inlineStr">
        <is>
          <t>Pass</t>
        </is>
      </c>
      <c r="F52" s="10" t="inlineStr"/>
      <c r="G52" s="10" t="inlineStr"/>
      <c r="H52" s="9" t="inlineStr"/>
    </row>
    <row r="53" ht="22" customHeight="1">
      <c r="B53" s="40" t="n">
        <v>3</v>
      </c>
      <c r="C53" s="41" t="inlineStr">
        <is>
          <t>Copyright notices are current</t>
        </is>
      </c>
      <c r="D53" s="42" t="inlineStr"/>
      <c r="E53" s="42" t="inlineStr">
        <is>
          <t>Pass</t>
        </is>
      </c>
      <c r="F53" s="42" t="inlineStr"/>
      <c r="G53" s="42" t="inlineStr"/>
      <c r="H53" s="41" t="inlineStr"/>
    </row>
    <row r="54" ht="22" customHeight="1">
      <c r="B54" s="8" t="n">
        <v>4</v>
      </c>
      <c r="C54" s="9" t="inlineStr">
        <is>
          <t>Terms of Use / Disclaimer page available</t>
        </is>
      </c>
      <c r="D54" s="10" t="inlineStr"/>
      <c r="E54" s="10" t="inlineStr">
        <is>
          <t>Pass</t>
        </is>
      </c>
      <c r="F54" s="10" t="inlineStr"/>
      <c r="G54" s="10" t="inlineStr"/>
      <c r="H54" s="9" t="inlineStr"/>
    </row>
    <row r="55" ht="22" customHeight="1">
      <c r="B55" s="40" t="n">
        <v>5</v>
      </c>
      <c r="C55" s="41" t="inlineStr">
        <is>
          <t>Login pages protected with CAPTCHA / rate limiting</t>
        </is>
      </c>
      <c r="D55" s="42" t="inlineStr"/>
      <c r="E55" s="42" t="inlineStr">
        <is>
          <t>Pass</t>
        </is>
      </c>
      <c r="F55" s="42" t="inlineStr"/>
      <c r="G55" s="42" t="inlineStr"/>
      <c r="H55" s="41" t="inlineStr"/>
    </row>
    <row r="56" ht="22" customHeight="1">
      <c r="B56" s="8" t="n">
        <v>6</v>
      </c>
      <c r="C56" s="9" t="inlineStr">
        <is>
          <t>No sensitive data (Aadhaar, bank details) on public pages</t>
        </is>
      </c>
      <c r="D56" s="10" t="inlineStr"/>
      <c r="E56" s="10" t="inlineStr">
        <is>
          <t>Pass</t>
        </is>
      </c>
      <c r="F56" s="10" t="inlineStr"/>
      <c r="G56" s="10" t="inlineStr"/>
      <c r="H56" s="9" t="inlineStr"/>
    </row>
    <row r="57" ht="22" customHeight="1"/>
    <row r="58" ht="22" customHeight="1">
      <c r="B58" s="62" t="inlineStr">
        <is>
          <t>Website Audit Score: _____ / 100    Overall Status: [ ] Compliant   [ ] Needs Improvement   [ ] Non-Compliant    Next Audit: _______</t>
        </is>
      </c>
    </row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</sheetData>
  <mergeCells count="8">
    <mergeCell ref="B17:H17"/>
    <mergeCell ref="B58:H58"/>
    <mergeCell ref="B49:H49"/>
    <mergeCell ref="B4:H4"/>
    <mergeCell ref="B39:H39"/>
    <mergeCell ref="B2:H2"/>
    <mergeCell ref="B3:H3"/>
    <mergeCell ref="B28:H2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I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ICT-18: WEBSITE PERFORMANCE &amp; ANALYTICS REGISTER</t>
        </is>
      </c>
    </row>
    <row r="3" ht="25" customHeight="1">
      <c r="B3" s="2" t="inlineStr">
        <is>
          <t>Website URL: _______  Reporting Period: Monthly / Quarterly  Analyst: ___________________</t>
        </is>
      </c>
    </row>
    <row r="4" ht="24" customHeight="1">
      <c r="B4" s="19" t="inlineStr">
        <is>
          <t>MONTHLY TRAFFIC &amp; PERFORMANCE METRICS</t>
        </is>
      </c>
    </row>
    <row r="5" ht="22" customHeight="1">
      <c r="B5" s="13" t="inlineStr">
        <is>
          <t>Month</t>
        </is>
      </c>
      <c r="C5" s="13" t="inlineStr">
        <is>
          <t>Unique Visitors</t>
        </is>
      </c>
      <c r="D5" s="13" t="inlineStr">
        <is>
          <t>Page Views</t>
        </is>
      </c>
      <c r="E5" s="13" t="inlineStr">
        <is>
          <t>Avg. Session
Duration (min)</t>
        </is>
      </c>
      <c r="F5" s="13" t="inlineStr">
        <is>
          <t>Bounce
Rate %</t>
        </is>
      </c>
      <c r="G5" s="13" t="inlineStr">
        <is>
          <t>Top Landing
Page</t>
        </is>
      </c>
      <c r="H5" s="13" t="inlineStr">
        <is>
          <t>Uptime
%</t>
        </is>
      </c>
      <c r="I5" s="13" t="inlineStr">
        <is>
          <t>Avg. Load
Time (sec)</t>
        </is>
      </c>
    </row>
    <row r="6" ht="22" customHeight="1">
      <c r="B6" s="14" t="inlineStr">
        <is>
          <t>April</t>
        </is>
      </c>
      <c r="C6" s="16" t="inlineStr"/>
      <c r="D6" s="16" t="inlineStr"/>
      <c r="E6" s="16" t="inlineStr"/>
      <c r="F6" s="16" t="inlineStr"/>
      <c r="G6" s="15" t="inlineStr"/>
      <c r="H6" s="16" t="inlineStr"/>
      <c r="I6" s="16" t="inlineStr"/>
    </row>
    <row r="7" ht="22" customHeight="1">
      <c r="B7" s="8" t="inlineStr">
        <is>
          <t>May</t>
        </is>
      </c>
      <c r="C7" s="10" t="inlineStr"/>
      <c r="D7" s="10" t="inlineStr"/>
      <c r="E7" s="10" t="inlineStr"/>
      <c r="F7" s="10" t="inlineStr"/>
      <c r="G7" s="9" t="inlineStr"/>
      <c r="H7" s="10" t="inlineStr"/>
      <c r="I7" s="10" t="inlineStr"/>
    </row>
    <row r="8" ht="22" customHeight="1">
      <c r="B8" s="14" t="inlineStr">
        <is>
          <t>June</t>
        </is>
      </c>
      <c r="C8" s="16" t="inlineStr"/>
      <c r="D8" s="16" t="inlineStr"/>
      <c r="E8" s="16" t="inlineStr"/>
      <c r="F8" s="16" t="inlineStr"/>
      <c r="G8" s="15" t="inlineStr"/>
      <c r="H8" s="16" t="inlineStr"/>
      <c r="I8" s="16" t="inlineStr"/>
    </row>
    <row r="9" ht="22" customHeight="1">
      <c r="B9" s="8" t="inlineStr">
        <is>
          <t>July</t>
        </is>
      </c>
      <c r="C9" s="10" t="inlineStr"/>
      <c r="D9" s="10" t="inlineStr"/>
      <c r="E9" s="10" t="inlineStr"/>
      <c r="F9" s="10" t="inlineStr"/>
      <c r="G9" s="9" t="inlineStr"/>
      <c r="H9" s="10" t="inlineStr"/>
      <c r="I9" s="10" t="inlineStr"/>
    </row>
    <row r="10" ht="22" customHeight="1">
      <c r="B10" s="14" t="inlineStr">
        <is>
          <t>August</t>
        </is>
      </c>
      <c r="C10" s="16" t="inlineStr"/>
      <c r="D10" s="16" t="inlineStr"/>
      <c r="E10" s="16" t="inlineStr"/>
      <c r="F10" s="16" t="inlineStr"/>
      <c r="G10" s="15" t="inlineStr"/>
      <c r="H10" s="16" t="inlineStr"/>
      <c r="I10" s="16" t="inlineStr"/>
    </row>
    <row r="11" ht="22" customHeight="1">
      <c r="B11" s="8" t="inlineStr">
        <is>
          <t>September</t>
        </is>
      </c>
      <c r="C11" s="10" t="inlineStr"/>
      <c r="D11" s="10" t="inlineStr"/>
      <c r="E11" s="10" t="inlineStr"/>
      <c r="F11" s="10" t="inlineStr"/>
      <c r="G11" s="9" t="inlineStr"/>
      <c r="H11" s="10" t="inlineStr"/>
      <c r="I11" s="10" t="inlineStr"/>
    </row>
    <row r="12" ht="22" customHeight="1">
      <c r="B12" s="14" t="inlineStr">
        <is>
          <t>October</t>
        </is>
      </c>
      <c r="C12" s="16" t="inlineStr"/>
      <c r="D12" s="16" t="inlineStr"/>
      <c r="E12" s="16" t="inlineStr"/>
      <c r="F12" s="16" t="inlineStr"/>
      <c r="G12" s="15" t="inlineStr"/>
      <c r="H12" s="16" t="inlineStr"/>
      <c r="I12" s="16" t="inlineStr"/>
    </row>
    <row r="13" ht="22" customHeight="1">
      <c r="B13" s="8" t="inlineStr">
        <is>
          <t>November</t>
        </is>
      </c>
      <c r="C13" s="10" t="inlineStr"/>
      <c r="D13" s="10" t="inlineStr"/>
      <c r="E13" s="10" t="inlineStr"/>
      <c r="F13" s="10" t="inlineStr"/>
      <c r="G13" s="9" t="inlineStr"/>
      <c r="H13" s="10" t="inlineStr"/>
      <c r="I13" s="10" t="inlineStr"/>
    </row>
    <row r="14" ht="22" customHeight="1">
      <c r="B14" s="14" t="inlineStr">
        <is>
          <t>December</t>
        </is>
      </c>
      <c r="C14" s="16" t="inlineStr"/>
      <c r="D14" s="16" t="inlineStr"/>
      <c r="E14" s="16" t="inlineStr"/>
      <c r="F14" s="16" t="inlineStr"/>
      <c r="G14" s="15" t="inlineStr"/>
      <c r="H14" s="16" t="inlineStr"/>
      <c r="I14" s="16" t="inlineStr"/>
    </row>
    <row r="15" ht="22" customHeight="1">
      <c r="B15" s="8" t="inlineStr">
        <is>
          <t>January</t>
        </is>
      </c>
      <c r="C15" s="10" t="inlineStr"/>
      <c r="D15" s="10" t="inlineStr"/>
      <c r="E15" s="10" t="inlineStr"/>
      <c r="F15" s="10" t="inlineStr"/>
      <c r="G15" s="9" t="inlineStr"/>
      <c r="H15" s="10" t="inlineStr"/>
      <c r="I15" s="10" t="inlineStr"/>
    </row>
    <row r="16" ht="22" customHeight="1">
      <c r="B16" s="14" t="inlineStr">
        <is>
          <t>February</t>
        </is>
      </c>
      <c r="C16" s="16" t="inlineStr"/>
      <c r="D16" s="16" t="inlineStr"/>
      <c r="E16" s="16" t="inlineStr"/>
      <c r="F16" s="16" t="inlineStr"/>
      <c r="G16" s="15" t="inlineStr"/>
      <c r="H16" s="16" t="inlineStr"/>
      <c r="I16" s="16" t="inlineStr"/>
    </row>
    <row r="17" ht="22" customHeight="1">
      <c r="B17" s="8" t="inlineStr">
        <is>
          <t>March</t>
        </is>
      </c>
      <c r="C17" s="10" t="inlineStr"/>
      <c r="D17" s="10" t="inlineStr"/>
      <c r="E17" s="10" t="inlineStr"/>
      <c r="F17" s="10" t="inlineStr"/>
      <c r="G17" s="9" t="inlineStr"/>
      <c r="H17" s="10" t="inlineStr"/>
      <c r="I17" s="10" t="inlineStr"/>
    </row>
    <row r="18" ht="22" customHeight="1"/>
    <row r="19" ht="24" customHeight="1">
      <c r="B19" s="34" t="inlineStr">
        <is>
          <t>SEO &amp; DIGITAL PRESENCE METRICS</t>
        </is>
      </c>
    </row>
    <row r="20" ht="22" customHeight="1">
      <c r="B20" s="30" t="inlineStr">
        <is>
          <t>Metric</t>
        </is>
      </c>
      <c r="C20" s="30" t="inlineStr">
        <is>
          <t>Tool / Source</t>
        </is>
      </c>
      <c r="D20" s="30" t="inlineStr">
        <is>
          <t>Previous
Quarter</t>
        </is>
      </c>
      <c r="E20" s="30" t="inlineStr">
        <is>
          <t>Current
Quarter</t>
        </is>
      </c>
      <c r="F20" s="30" t="inlineStr">
        <is>
          <t>Change</t>
        </is>
      </c>
      <c r="G20" s="30" t="inlineStr">
        <is>
          <t>Target</t>
        </is>
      </c>
      <c r="H20" s="30" t="inlineStr">
        <is>
          <t>Status</t>
        </is>
      </c>
      <c r="I20" s="30" t="inlineStr">
        <is>
          <t>Action</t>
        </is>
      </c>
    </row>
    <row r="21" ht="22" customHeight="1">
      <c r="B21" s="35" t="inlineStr">
        <is>
          <t>Google PageSpeed Score (Desktop)</t>
        </is>
      </c>
      <c r="C21" s="33" t="inlineStr">
        <is>
          <t>PageSpeed Insights</t>
        </is>
      </c>
      <c r="D21" s="33" t="inlineStr"/>
      <c r="E21" s="33" t="inlineStr"/>
      <c r="F21" s="33">
        <f>IFERROR(ROUND(E21-D21,2),"")</f>
        <v/>
      </c>
      <c r="G21" s="33" t="inlineStr"/>
      <c r="H21" s="33" t="inlineStr"/>
      <c r="I21" s="32" t="inlineStr"/>
    </row>
    <row r="22" ht="22" customHeight="1">
      <c r="B22" s="25" t="inlineStr">
        <is>
          <t>Google PageSpeed Score (Mobile)</t>
        </is>
      </c>
      <c r="C22" s="10" t="inlineStr">
        <is>
          <t>PageSpeed Insights</t>
        </is>
      </c>
      <c r="D22" s="10" t="inlineStr"/>
      <c r="E22" s="10" t="inlineStr"/>
      <c r="F22" s="10">
        <f>IFERROR(ROUND(E22-D22,2),"")</f>
        <v/>
      </c>
      <c r="G22" s="10" t="inlineStr"/>
      <c r="H22" s="10" t="inlineStr"/>
      <c r="I22" s="9" t="inlineStr"/>
    </row>
    <row r="23" ht="22" customHeight="1">
      <c r="B23" s="35" t="inlineStr">
        <is>
          <t>Domain Authority / Rating</t>
        </is>
      </c>
      <c r="C23" s="33" t="inlineStr">
        <is>
          <t>Ahrefs / Moz</t>
        </is>
      </c>
      <c r="D23" s="33" t="inlineStr"/>
      <c r="E23" s="33" t="inlineStr"/>
      <c r="F23" s="33">
        <f>IFERROR(ROUND(E23-D23,2),"")</f>
        <v/>
      </c>
      <c r="G23" s="33" t="inlineStr"/>
      <c r="H23" s="33" t="inlineStr"/>
      <c r="I23" s="32" t="inlineStr"/>
    </row>
    <row r="24" ht="22" customHeight="1">
      <c r="B24" s="25" t="inlineStr">
        <is>
          <t>Organic Search Ranking — Key Terms</t>
        </is>
      </c>
      <c r="C24" s="10" t="inlineStr">
        <is>
          <t>Google Search Console</t>
        </is>
      </c>
      <c r="D24" s="10" t="inlineStr"/>
      <c r="E24" s="10" t="inlineStr"/>
      <c r="F24" s="10">
        <f>IFERROR(ROUND(E24-D24,2),"")</f>
        <v/>
      </c>
      <c r="G24" s="10" t="inlineStr"/>
      <c r="H24" s="10" t="inlineStr"/>
      <c r="I24" s="9" t="inlineStr"/>
    </row>
    <row r="25" ht="22" customHeight="1">
      <c r="B25" s="35" t="inlineStr">
        <is>
          <t>Inbound Backlinks</t>
        </is>
      </c>
      <c r="C25" s="33" t="inlineStr">
        <is>
          <t>Google Search Console</t>
        </is>
      </c>
      <c r="D25" s="33" t="inlineStr"/>
      <c r="E25" s="33" t="inlineStr"/>
      <c r="F25" s="33">
        <f>IFERROR(ROUND(E25-D25,2),"")</f>
        <v/>
      </c>
      <c r="G25" s="33" t="inlineStr"/>
      <c r="H25" s="33" t="inlineStr"/>
      <c r="I25" s="32" t="inlineStr"/>
    </row>
    <row r="26" ht="22" customHeight="1">
      <c r="B26" s="25" t="inlineStr">
        <is>
          <t>Core Web Vitals — LCP (sec)</t>
        </is>
      </c>
      <c r="C26" s="10" t="inlineStr">
        <is>
          <t>Google</t>
        </is>
      </c>
      <c r="D26" s="10" t="inlineStr"/>
      <c r="E26" s="10" t="inlineStr"/>
      <c r="F26" s="10">
        <f>IFERROR(ROUND(E26-D26,2),"")</f>
        <v/>
      </c>
      <c r="G26" s="10" t="inlineStr"/>
      <c r="H26" s="10" t="inlineStr"/>
      <c r="I26" s="9" t="inlineStr"/>
    </row>
    <row r="27" ht="22" customHeight="1">
      <c r="B27" s="35" t="inlineStr">
        <is>
          <t>Core Web Vitals — CLS Score</t>
        </is>
      </c>
      <c r="C27" s="33" t="inlineStr">
        <is>
          <t>Google</t>
        </is>
      </c>
      <c r="D27" s="33" t="inlineStr"/>
      <c r="E27" s="33" t="inlineStr"/>
      <c r="F27" s="33">
        <f>IFERROR(ROUND(E27-D27,2),"")</f>
        <v/>
      </c>
      <c r="G27" s="33" t="inlineStr"/>
      <c r="H27" s="33" t="inlineStr"/>
      <c r="I27" s="32" t="inlineStr"/>
    </row>
    <row r="28" ht="22" customHeight="1">
      <c r="B28" s="25" t="inlineStr">
        <is>
          <t>Google My Business Rating</t>
        </is>
      </c>
      <c r="C28" s="10" t="inlineStr">
        <is>
          <t>Google Maps</t>
        </is>
      </c>
      <c r="D28" s="10" t="inlineStr"/>
      <c r="E28" s="10" t="inlineStr"/>
      <c r="F28" s="10">
        <f>IFERROR(ROUND(E28-D28,2),"")</f>
        <v/>
      </c>
      <c r="G28" s="10" t="inlineStr"/>
      <c r="H28" s="10" t="inlineStr"/>
      <c r="I28" s="9" t="inlineStr"/>
    </row>
    <row r="29" ht="22" customHeight="1">
      <c r="B29" s="35" t="inlineStr">
        <is>
          <t>Social Media Followers (combined)</t>
        </is>
      </c>
      <c r="C29" s="33" t="inlineStr">
        <is>
          <t>Platform Analytics</t>
        </is>
      </c>
      <c r="D29" s="33" t="inlineStr"/>
      <c r="E29" s="33" t="inlineStr"/>
      <c r="F29" s="33">
        <f>IFERROR(ROUND(E29-D29,2),"")</f>
        <v/>
      </c>
      <c r="G29" s="33" t="inlineStr"/>
      <c r="H29" s="33" t="inlineStr"/>
      <c r="I29" s="32" t="inlineStr"/>
    </row>
    <row r="30" ht="22" customHeight="1">
      <c r="B30" s="25" t="inlineStr">
        <is>
          <t>NAAC/NIRF search visibility</t>
        </is>
      </c>
      <c r="C30" s="10" t="inlineStr">
        <is>
          <t>Manual check</t>
        </is>
      </c>
      <c r="D30" s="10" t="inlineStr"/>
      <c r="E30" s="10" t="inlineStr"/>
      <c r="F30" s="10">
        <f>IFERROR(ROUND(E30-D30,2),"")</f>
        <v/>
      </c>
      <c r="G30" s="10" t="inlineStr"/>
      <c r="H30" s="10" t="inlineStr"/>
      <c r="I30" s="9" t="inlineStr"/>
    </row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</sheetData>
  <mergeCells count="4">
    <mergeCell ref="B3:I3"/>
    <mergeCell ref="B19:I19"/>
    <mergeCell ref="B2:I2"/>
    <mergeCell ref="B4:I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ICT-20: ERP / MIS MODULE DEPLOYMENT &amp; ADOPTION TRACKER</t>
        </is>
      </c>
    </row>
    <row r="3" ht="25" customHeight="1">
      <c r="B3" s="2" t="inlineStr">
        <is>
          <t>ERP Platform: _______________________  A.Y.: _______  System Admin: ___________________</t>
        </is>
      </c>
    </row>
    <row r="4" ht="25" customHeight="1">
      <c r="B4" s="13" t="inlineStr">
        <is>
          <t>Module
Ref.</t>
        </is>
      </c>
      <c r="C4" s="13" t="inlineStr">
        <is>
          <t>ERP / MIS Module</t>
        </is>
      </c>
      <c r="D4" s="13" t="inlineStr">
        <is>
          <t>Go-Live Date</t>
        </is>
      </c>
      <c r="E4" s="13" t="inlineStr">
        <is>
          <t>User Depts.</t>
        </is>
      </c>
      <c r="F4" s="13" t="inlineStr">
        <is>
          <t>Registered
Users</t>
        </is>
      </c>
      <c r="G4" s="13" t="inlineStr">
        <is>
          <t>Active
Users</t>
        </is>
      </c>
      <c r="H4" s="13" t="inlineStr">
        <is>
          <t>Adoption
%</t>
        </is>
      </c>
      <c r="I4" s="13" t="inlineStr">
        <is>
          <t>Issues / Pending</t>
        </is>
      </c>
      <c r="J4" s="13" t="inlineStr">
        <is>
          <t>Status</t>
        </is>
      </c>
    </row>
    <row r="5" ht="22" customHeight="1">
      <c r="B5" s="14" t="inlineStr">
        <is>
          <t>ERP/01</t>
        </is>
      </c>
      <c r="C5" s="15" t="inlineStr">
        <is>
          <t>Student Admissions &amp; Enrolment</t>
        </is>
      </c>
      <c r="D5" s="16" t="inlineStr"/>
      <c r="E5" s="16" t="inlineStr"/>
      <c r="F5" s="16" t="inlineStr"/>
      <c r="G5" s="16" t="inlineStr"/>
      <c r="H5" s="63">
        <f>IFERROR(ROUND(G5/F5*100,1),"")</f>
        <v/>
      </c>
      <c r="I5" s="15" t="inlineStr"/>
      <c r="J5" s="16" t="inlineStr">
        <is>
          <t>Live</t>
        </is>
      </c>
    </row>
    <row r="6" ht="22" customHeight="1">
      <c r="B6" s="8" t="inlineStr">
        <is>
          <t>ERP/02</t>
        </is>
      </c>
      <c r="C6" s="9" t="inlineStr">
        <is>
          <t>Student Academic Records (Marks / CGPA)</t>
        </is>
      </c>
      <c r="D6" s="10" t="inlineStr"/>
      <c r="E6" s="10" t="inlineStr"/>
      <c r="F6" s="10" t="inlineStr"/>
      <c r="G6" s="10" t="inlineStr"/>
      <c r="H6" s="37">
        <f>IFERROR(ROUND(G6/F6*100,1),"")</f>
        <v/>
      </c>
      <c r="I6" s="9" t="inlineStr"/>
      <c r="J6" s="10" t="inlineStr">
        <is>
          <t>Live</t>
        </is>
      </c>
    </row>
    <row r="7" ht="22" customHeight="1">
      <c r="B7" s="14" t="inlineStr">
        <is>
          <t>ERP/03</t>
        </is>
      </c>
      <c r="C7" s="15" t="inlineStr">
        <is>
          <t>Timetable &amp; Scheduling</t>
        </is>
      </c>
      <c r="D7" s="16" t="inlineStr"/>
      <c r="E7" s="16" t="inlineStr"/>
      <c r="F7" s="16" t="inlineStr"/>
      <c r="G7" s="16" t="inlineStr"/>
      <c r="H7" s="63">
        <f>IFERROR(ROUND(G7/F7*100,1),"")</f>
        <v/>
      </c>
      <c r="I7" s="15" t="inlineStr"/>
      <c r="J7" s="16" t="inlineStr">
        <is>
          <t>Live</t>
        </is>
      </c>
    </row>
    <row r="8" ht="22" customHeight="1">
      <c r="B8" s="8" t="inlineStr">
        <is>
          <t>ERP/04</t>
        </is>
      </c>
      <c r="C8" s="9" t="inlineStr">
        <is>
          <t>Attendance Management (Student)</t>
        </is>
      </c>
      <c r="D8" s="10" t="inlineStr"/>
      <c r="E8" s="10" t="inlineStr"/>
      <c r="F8" s="10" t="inlineStr"/>
      <c r="G8" s="10" t="inlineStr"/>
      <c r="H8" s="37">
        <f>IFERROR(ROUND(G8/F8*100,1),"")</f>
        <v/>
      </c>
      <c r="I8" s="9" t="inlineStr"/>
      <c r="J8" s="10" t="inlineStr">
        <is>
          <t>Live</t>
        </is>
      </c>
    </row>
    <row r="9" ht="22" customHeight="1">
      <c r="B9" s="14" t="inlineStr">
        <is>
          <t>ERP/05</t>
        </is>
      </c>
      <c r="C9" s="15" t="inlineStr">
        <is>
          <t>Examinations &amp; Results</t>
        </is>
      </c>
      <c r="D9" s="16" t="inlineStr"/>
      <c r="E9" s="16" t="inlineStr"/>
      <c r="F9" s="16" t="inlineStr"/>
      <c r="G9" s="16" t="inlineStr"/>
      <c r="H9" s="63">
        <f>IFERROR(ROUND(G9/F9*100,1),"")</f>
        <v/>
      </c>
      <c r="I9" s="15" t="inlineStr"/>
      <c r="J9" s="16" t="inlineStr">
        <is>
          <t>Live</t>
        </is>
      </c>
    </row>
    <row r="10" ht="22" customHeight="1">
      <c r="B10" s="8" t="inlineStr">
        <is>
          <t>ERP/06</t>
        </is>
      </c>
      <c r="C10" s="9" t="inlineStr">
        <is>
          <t>Fee Management &amp; Receipts</t>
        </is>
      </c>
      <c r="D10" s="10" t="inlineStr"/>
      <c r="E10" s="10" t="inlineStr"/>
      <c r="F10" s="10" t="inlineStr"/>
      <c r="G10" s="10" t="inlineStr"/>
      <c r="H10" s="37">
        <f>IFERROR(ROUND(G10/F10*100,1),"")</f>
        <v/>
      </c>
      <c r="I10" s="9" t="inlineStr"/>
      <c r="J10" s="10" t="inlineStr">
        <is>
          <t>Live</t>
        </is>
      </c>
    </row>
    <row r="11" ht="22" customHeight="1">
      <c r="B11" s="14" t="inlineStr">
        <is>
          <t>ERP/07</t>
        </is>
      </c>
      <c r="C11" s="15" t="inlineStr">
        <is>
          <t>Library Management System (LMS Integration)</t>
        </is>
      </c>
      <c r="D11" s="16" t="inlineStr"/>
      <c r="E11" s="16" t="inlineStr"/>
      <c r="F11" s="16" t="inlineStr"/>
      <c r="G11" s="16" t="inlineStr"/>
      <c r="H11" s="63">
        <f>IFERROR(ROUND(G11/F11*100,1),"")</f>
        <v/>
      </c>
      <c r="I11" s="15" t="inlineStr"/>
      <c r="J11" s="16" t="inlineStr">
        <is>
          <t>Live</t>
        </is>
      </c>
    </row>
    <row r="12" ht="22" customHeight="1">
      <c r="B12" s="8" t="inlineStr">
        <is>
          <t>ERP/08</t>
        </is>
      </c>
      <c r="C12" s="9" t="inlineStr">
        <is>
          <t>HR &amp; Payroll</t>
        </is>
      </c>
      <c r="D12" s="10" t="inlineStr"/>
      <c r="E12" s="10" t="inlineStr"/>
      <c r="F12" s="10" t="inlineStr"/>
      <c r="G12" s="10" t="inlineStr"/>
      <c r="H12" s="37">
        <f>IFERROR(ROUND(G12/F12*100,1),"")</f>
        <v/>
      </c>
      <c r="I12" s="9" t="inlineStr"/>
      <c r="J12" s="10" t="inlineStr">
        <is>
          <t>Live</t>
        </is>
      </c>
    </row>
    <row r="13" ht="22" customHeight="1">
      <c r="B13" s="14" t="inlineStr">
        <is>
          <t>ERP/09</t>
        </is>
      </c>
      <c r="C13" s="15" t="inlineStr">
        <is>
          <t>Leave &amp; Attendance (Staff)</t>
        </is>
      </c>
      <c r="D13" s="16" t="inlineStr"/>
      <c r="E13" s="16" t="inlineStr"/>
      <c r="F13" s="16" t="inlineStr"/>
      <c r="G13" s="16" t="inlineStr"/>
      <c r="H13" s="63">
        <f>IFERROR(ROUND(G13/F13*100,1),"")</f>
        <v/>
      </c>
      <c r="I13" s="15" t="inlineStr"/>
      <c r="J13" s="16" t="inlineStr">
        <is>
          <t>Live</t>
        </is>
      </c>
    </row>
    <row r="14" ht="22" customHeight="1">
      <c r="B14" s="8" t="inlineStr">
        <is>
          <t>ERP/10</t>
        </is>
      </c>
      <c r="C14" s="9" t="inlineStr">
        <is>
          <t>Finance &amp; Accounts</t>
        </is>
      </c>
      <c r="D14" s="10" t="inlineStr"/>
      <c r="E14" s="10" t="inlineStr"/>
      <c r="F14" s="10" t="inlineStr"/>
      <c r="G14" s="10" t="inlineStr"/>
      <c r="H14" s="37">
        <f>IFERROR(ROUND(G14/F14*100,1),"")</f>
        <v/>
      </c>
      <c r="I14" s="9" t="inlineStr"/>
      <c r="J14" s="10" t="inlineStr">
        <is>
          <t>Live</t>
        </is>
      </c>
    </row>
    <row r="15" ht="22" customHeight="1">
      <c r="B15" s="14" t="inlineStr">
        <is>
          <t>ERP/11</t>
        </is>
      </c>
      <c r="C15" s="15" t="inlineStr">
        <is>
          <t>Asset &amp; Inventory Management</t>
        </is>
      </c>
      <c r="D15" s="16" t="inlineStr"/>
      <c r="E15" s="16" t="inlineStr"/>
      <c r="F15" s="16" t="inlineStr"/>
      <c r="G15" s="16" t="inlineStr"/>
      <c r="H15" s="63">
        <f>IFERROR(ROUND(G15/F15*100,1),"")</f>
        <v/>
      </c>
      <c r="I15" s="15" t="inlineStr"/>
      <c r="J15" s="16" t="inlineStr">
        <is>
          <t>Live</t>
        </is>
      </c>
    </row>
    <row r="16" ht="22" customHeight="1">
      <c r="B16" s="8" t="inlineStr">
        <is>
          <t>ERP/12</t>
        </is>
      </c>
      <c r="C16" s="9" t="inlineStr">
        <is>
          <t>Purchase / Procurement</t>
        </is>
      </c>
      <c r="D16" s="10" t="inlineStr"/>
      <c r="E16" s="10" t="inlineStr"/>
      <c r="F16" s="10" t="inlineStr"/>
      <c r="G16" s="10" t="inlineStr"/>
      <c r="H16" s="37">
        <f>IFERROR(ROUND(G16/F16*100,1),"")</f>
        <v/>
      </c>
      <c r="I16" s="9" t="inlineStr"/>
      <c r="J16" s="10" t="inlineStr">
        <is>
          <t>Live</t>
        </is>
      </c>
    </row>
    <row r="17" ht="22" customHeight="1">
      <c r="B17" s="14" t="inlineStr">
        <is>
          <t>ERP/13</t>
        </is>
      </c>
      <c r="C17" s="15" t="inlineStr">
        <is>
          <t>Hostel Management</t>
        </is>
      </c>
      <c r="D17" s="16" t="inlineStr"/>
      <c r="E17" s="16" t="inlineStr"/>
      <c r="F17" s="16" t="inlineStr"/>
      <c r="G17" s="16" t="inlineStr"/>
      <c r="H17" s="63">
        <f>IFERROR(ROUND(G17/F17*100,1),"")</f>
        <v/>
      </c>
      <c r="I17" s="15" t="inlineStr"/>
      <c r="J17" s="16" t="inlineStr">
        <is>
          <t>Live</t>
        </is>
      </c>
    </row>
    <row r="18" ht="22" customHeight="1">
      <c r="B18" s="8" t="inlineStr">
        <is>
          <t>ERP/14</t>
        </is>
      </c>
      <c r="C18" s="9" t="inlineStr">
        <is>
          <t>Transport Management</t>
        </is>
      </c>
      <c r="D18" s="10" t="inlineStr"/>
      <c r="E18" s="10" t="inlineStr"/>
      <c r="F18" s="10" t="inlineStr"/>
      <c r="G18" s="10" t="inlineStr"/>
      <c r="H18" s="37">
        <f>IFERROR(ROUND(G18/F18*100,1),"")</f>
        <v/>
      </c>
      <c r="I18" s="9" t="inlineStr"/>
      <c r="J18" s="10" t="inlineStr">
        <is>
          <t>Live</t>
        </is>
      </c>
    </row>
    <row r="19" ht="22" customHeight="1">
      <c r="B19" s="14" t="inlineStr">
        <is>
          <t>ERP/15</t>
        </is>
      </c>
      <c r="C19" s="15" t="inlineStr">
        <is>
          <t>Alumni Management</t>
        </is>
      </c>
      <c r="D19" s="16" t="inlineStr"/>
      <c r="E19" s="16" t="inlineStr"/>
      <c r="F19" s="16" t="inlineStr"/>
      <c r="G19" s="16" t="inlineStr"/>
      <c r="H19" s="63">
        <f>IFERROR(ROUND(G19/F19*100,1),"")</f>
        <v/>
      </c>
      <c r="I19" s="15" t="inlineStr"/>
      <c r="J19" s="16" t="inlineStr">
        <is>
          <t>Live</t>
        </is>
      </c>
    </row>
    <row r="20" ht="22" customHeight="1">
      <c r="B20" s="8" t="inlineStr">
        <is>
          <t>ERP/16</t>
        </is>
      </c>
      <c r="C20" s="9" t="inlineStr">
        <is>
          <t>Placement Module</t>
        </is>
      </c>
      <c r="D20" s="10" t="inlineStr"/>
      <c r="E20" s="10" t="inlineStr"/>
      <c r="F20" s="10" t="inlineStr"/>
      <c r="G20" s="10" t="inlineStr"/>
      <c r="H20" s="37">
        <f>IFERROR(ROUND(G20/F20*100,1),"")</f>
        <v/>
      </c>
      <c r="I20" s="9" t="inlineStr"/>
      <c r="J20" s="10" t="inlineStr">
        <is>
          <t>Live</t>
        </is>
      </c>
    </row>
    <row r="21" ht="22" customHeight="1">
      <c r="B21" s="14" t="inlineStr">
        <is>
          <t>ERP/17</t>
        </is>
      </c>
      <c r="C21" s="15" t="inlineStr">
        <is>
          <t>Research &amp; Grant Management</t>
        </is>
      </c>
      <c r="D21" s="16" t="inlineStr"/>
      <c r="E21" s="16" t="inlineStr"/>
      <c r="F21" s="16" t="inlineStr"/>
      <c r="G21" s="16" t="inlineStr"/>
      <c r="H21" s="63">
        <f>IFERROR(ROUND(G21/F21*100,1),"")</f>
        <v/>
      </c>
      <c r="I21" s="15" t="inlineStr"/>
      <c r="J21" s="16" t="inlineStr">
        <is>
          <t>Live</t>
        </is>
      </c>
    </row>
    <row r="22" ht="22" customHeight="1">
      <c r="B22" s="8" t="inlineStr">
        <is>
          <t>ERP/18</t>
        </is>
      </c>
      <c r="C22" s="9" t="inlineStr">
        <is>
          <t>IQAC / Quality Dashboard</t>
        </is>
      </c>
      <c r="D22" s="10" t="inlineStr"/>
      <c r="E22" s="10" t="inlineStr"/>
      <c r="F22" s="10" t="inlineStr"/>
      <c r="G22" s="10" t="inlineStr"/>
      <c r="H22" s="37">
        <f>IFERROR(ROUND(G22/F22*100,1),"")</f>
        <v/>
      </c>
      <c r="I22" s="9" t="inlineStr"/>
      <c r="J22" s="10" t="inlineStr">
        <is>
          <t>Live</t>
        </is>
      </c>
    </row>
    <row r="23" ht="22" customHeight="1">
      <c r="B23" s="14" t="inlineStr">
        <is>
          <t>ERP/19</t>
        </is>
      </c>
      <c r="C23" s="15" t="inlineStr">
        <is>
          <t>Helpdesk / Service Desk</t>
        </is>
      </c>
      <c r="D23" s="16" t="inlineStr"/>
      <c r="E23" s="16" t="inlineStr"/>
      <c r="F23" s="16" t="inlineStr"/>
      <c r="G23" s="16" t="inlineStr"/>
      <c r="H23" s="63">
        <f>IFERROR(ROUND(G23/F23*100,1),"")</f>
        <v/>
      </c>
      <c r="I23" s="15" t="inlineStr"/>
      <c r="J23" s="16" t="inlineStr">
        <is>
          <t>Live</t>
        </is>
      </c>
    </row>
    <row r="24" ht="22" customHeight="1">
      <c r="B24" s="8" t="inlineStr">
        <is>
          <t>ERP/20</t>
        </is>
      </c>
      <c r="C24" s="9" t="inlineStr">
        <is>
          <t>Reports &amp; Analytics (BI)</t>
        </is>
      </c>
      <c r="D24" s="10" t="inlineStr"/>
      <c r="E24" s="10" t="inlineStr"/>
      <c r="F24" s="10" t="inlineStr"/>
      <c r="G24" s="10" t="inlineStr"/>
      <c r="H24" s="37">
        <f>IFERROR(ROUND(G24/F24*100,1),"")</f>
        <v/>
      </c>
      <c r="I24" s="9" t="inlineStr"/>
      <c r="J24" s="10" t="inlineStr">
        <is>
          <t>Live</t>
        </is>
      </c>
    </row>
    <row r="25" ht="22" customHeight="1"/>
    <row r="26" ht="24" customHeight="1">
      <c r="B26" s="34" t="inlineStr">
        <is>
          <t>ERP ADOPTION SUMMARY</t>
        </is>
      </c>
    </row>
    <row r="27" ht="22" customHeight="1">
      <c r="B27" s="35" t="inlineStr">
        <is>
          <t>Total Modules Deployed</t>
        </is>
      </c>
      <c r="F27" s="36">
        <f>COUNTIF(J5:J24,"Live")</f>
        <v/>
      </c>
    </row>
    <row r="28" ht="22" customHeight="1">
      <c r="B28" s="25" t="inlineStr">
        <is>
          <t>Fully Adopted (≥80%)</t>
        </is>
      </c>
      <c r="F28" s="37" t="inlineStr"/>
    </row>
    <row r="29" ht="22" customHeight="1">
      <c r="B29" s="35" t="inlineStr">
        <is>
          <t>Partially Adopted (40-79%)</t>
        </is>
      </c>
      <c r="F29" s="36" t="inlineStr"/>
    </row>
    <row r="30" ht="22" customHeight="1">
      <c r="B30" s="25" t="inlineStr">
        <is>
          <t>Low Adoption (&lt;40%)</t>
        </is>
      </c>
      <c r="F30" s="37" t="inlineStr"/>
    </row>
    <row r="31" ht="22" customHeight="1">
      <c r="B31" s="35" t="inlineStr">
        <is>
          <t>Overall System Adoption (%)</t>
        </is>
      </c>
      <c r="F31" s="36" t="inlineStr"/>
    </row>
    <row r="32" ht="22" customHeight="1">
      <c r="B32" s="25" t="inlineStr">
        <is>
          <t>Pending / Planned Modules</t>
        </is>
      </c>
      <c r="F32" s="37">
        <f>COUNTIF(J5:J24,"Planned")</f>
        <v/>
      </c>
    </row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</sheetData>
  <mergeCells count="15">
    <mergeCell ref="B31:E31"/>
    <mergeCell ref="F30:J30"/>
    <mergeCell ref="B27:E27"/>
    <mergeCell ref="B3:J3"/>
    <mergeCell ref="F29:J29"/>
    <mergeCell ref="B28:E28"/>
    <mergeCell ref="B30:E30"/>
    <mergeCell ref="B26:J26"/>
    <mergeCell ref="F28:J28"/>
    <mergeCell ref="B29:E29"/>
    <mergeCell ref="F31:J31"/>
    <mergeCell ref="B2:J2"/>
    <mergeCell ref="F32:J32"/>
    <mergeCell ref="F27:J27"/>
    <mergeCell ref="B32:E3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F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8" customWidth="1" min="4" max="4"/>
    <col width="18" customWidth="1" min="5" max="5"/>
    <col width="18" customWidth="1" min="6" max="6"/>
    <col width="3" customWidth="1" min="7" max="7"/>
  </cols>
  <sheetData>
    <row r="1" ht="10" customHeight="1"/>
    <row r="2" ht="48" customHeight="1">
      <c r="B2" s="12" t="inlineStr">
        <is>
          <t>ICT-23: LMS PLATFORM SETUP &amp; CONFIGURATION REGISTER</t>
        </is>
      </c>
    </row>
    <row r="3" ht="25" customHeight="1">
      <c r="B3" s="2" t="inlineStr">
        <is>
          <t>LMS Platform: _______  Version: _______  URL: _______  Hosted: [ ] On-premise  [ ] Cloud  [ ] Hybrid</t>
        </is>
      </c>
    </row>
    <row r="4" ht="24" customHeight="1">
      <c r="B4" s="19" t="inlineStr">
        <is>
          <t>PLATFORM DETAILS</t>
        </is>
      </c>
    </row>
    <row r="5" ht="30" customHeight="1">
      <c r="B5" s="64" t="inlineStr">
        <is>
          <t>LMS Platform Name:</t>
        </is>
      </c>
      <c r="C5" s="65" t="inlineStr">
        <is>
          <t>[ ] Moodle  [ ] Canvas  [ ] Blackboard  [ ] Google Classroom  [ ] Microsoft Teams EDU  [ ] Other</t>
        </is>
      </c>
    </row>
    <row r="6" ht="30" customHeight="1">
      <c r="B6" s="64" t="inlineStr">
        <is>
          <t>Version / Release:</t>
        </is>
      </c>
      <c r="C6" s="9" t="n"/>
    </row>
    <row r="7" ht="30" customHeight="1">
      <c r="B7" s="64" t="inlineStr">
        <is>
          <t>Hosting Provider / Infrastructure:</t>
        </is>
      </c>
      <c r="C7" s="9" t="n"/>
    </row>
    <row r="8" ht="30" customHeight="1">
      <c r="B8" s="64" t="inlineStr">
        <is>
          <t>Total Storage Capacity:</t>
        </is>
      </c>
      <c r="C8" s="9" t="n"/>
    </row>
    <row r="9" ht="30" customHeight="1">
      <c r="B9" s="64" t="inlineStr">
        <is>
          <t>SSL Certificate:</t>
        </is>
      </c>
      <c r="C9" s="65" t="inlineStr">
        <is>
          <t>[ ] Valid  [ ] Expired  [ ] Not Applicable</t>
        </is>
      </c>
    </row>
    <row r="10" ht="30" customHeight="1">
      <c r="B10" s="64" t="inlineStr">
        <is>
          <t>Admin Login URL:</t>
        </is>
      </c>
      <c r="C10" s="9" t="n"/>
    </row>
    <row r="11" ht="30" customHeight="1">
      <c r="B11" s="64" t="inlineStr">
        <is>
          <t>Support / SLA Agreement:</t>
        </is>
      </c>
      <c r="C11" s="9" t="n"/>
    </row>
    <row r="12" ht="30" customHeight="1">
      <c r="B12" s="64" t="inlineStr">
        <is>
          <t>Backup Frequency:</t>
        </is>
      </c>
      <c r="C12" s="65" t="inlineStr">
        <is>
          <t>[ ] Daily  [ ] Weekly  [ ] Other</t>
        </is>
      </c>
    </row>
    <row r="13" ht="30" customHeight="1">
      <c r="B13" s="64" t="inlineStr">
        <is>
          <t>Disaster Recovery Plan:</t>
        </is>
      </c>
      <c r="C13" s="65" t="inlineStr">
        <is>
          <t>[ ] Documented  [ ] Tested  [ ] Not Available</t>
        </is>
      </c>
    </row>
    <row r="14" ht="30" customHeight="1">
      <c r="B14" s="64" t="inlineStr">
        <is>
          <t>Integration with ERP (Student Data):</t>
        </is>
      </c>
      <c r="C14" s="65" t="inlineStr">
        <is>
          <t>[ ] Yes — API  [ ] Manual Sync  [ ] Not Integrated</t>
        </is>
      </c>
    </row>
    <row r="15" ht="30" customHeight="1">
      <c r="B15" s="64" t="inlineStr">
        <is>
          <t>Integration with Video Platform:</t>
        </is>
      </c>
      <c r="C15" s="65" t="inlineStr">
        <is>
          <t>[ ] YouTube  [ ] Vimeo  [ ] Microsoft Stream  [ ] Zoom  [ ] Other</t>
        </is>
      </c>
    </row>
    <row r="16" ht="30" customHeight="1">
      <c r="B16" s="64" t="inlineStr">
        <is>
          <t>Mobile App Available:</t>
        </is>
      </c>
      <c r="C16" s="65" t="inlineStr">
        <is>
          <t>[ ] Yes — Platform: _______   [ ] No</t>
        </is>
      </c>
    </row>
    <row r="17" ht="28" customHeight="1"/>
    <row r="18" ht="24" customHeight="1">
      <c r="B18" s="34" t="inlineStr">
        <is>
          <t>FEATURE &amp; PLUGIN CONFIGURATION</t>
        </is>
      </c>
    </row>
    <row r="19" ht="28" customHeight="1">
      <c r="B19" s="30" t="inlineStr">
        <is>
          <t>Feature / Plugin</t>
        </is>
      </c>
      <c r="C19" s="30" t="inlineStr">
        <is>
          <t>Available
(Y/N)</t>
        </is>
      </c>
      <c r="D19" s="30" t="inlineStr">
        <is>
          <t>Enabled
(Y/N)</t>
        </is>
      </c>
      <c r="E19" s="30" t="inlineStr">
        <is>
          <t>Configuration Status</t>
        </is>
      </c>
      <c r="F19" s="30" t="inlineStr">
        <is>
          <t>Notes</t>
        </is>
      </c>
    </row>
    <row r="20" ht="28" customHeight="1">
      <c r="B20" s="35" t="inlineStr">
        <is>
          <t>Course Management</t>
        </is>
      </c>
      <c r="C20" s="33" t="inlineStr">
        <is>
          <t>Y</t>
        </is>
      </c>
      <c r="D20" s="33" t="inlineStr">
        <is>
          <t>Y</t>
        </is>
      </c>
      <c r="E20" s="33" t="inlineStr">
        <is>
          <t>Configured</t>
        </is>
      </c>
      <c r="F20" s="32" t="inlineStr"/>
    </row>
    <row r="21" ht="28" customHeight="1">
      <c r="B21" s="25" t="inlineStr">
        <is>
          <t>Quiz / Assessment Engine</t>
        </is>
      </c>
      <c r="C21" s="10" t="inlineStr">
        <is>
          <t>Y</t>
        </is>
      </c>
      <c r="D21" s="10" t="inlineStr">
        <is>
          <t>Y</t>
        </is>
      </c>
      <c r="E21" s="10" t="inlineStr">
        <is>
          <t>Configured</t>
        </is>
      </c>
      <c r="F21" s="9" t="inlineStr"/>
    </row>
    <row r="22" ht="28" customHeight="1">
      <c r="B22" s="35" t="inlineStr">
        <is>
          <t>Assignment Submission</t>
        </is>
      </c>
      <c r="C22" s="33" t="inlineStr">
        <is>
          <t>Y</t>
        </is>
      </c>
      <c r="D22" s="33" t="inlineStr">
        <is>
          <t>Y</t>
        </is>
      </c>
      <c r="E22" s="33" t="inlineStr">
        <is>
          <t>Configured</t>
        </is>
      </c>
      <c r="F22" s="32" t="inlineStr"/>
    </row>
    <row r="23" ht="28" customHeight="1">
      <c r="B23" s="25" t="inlineStr">
        <is>
          <t>Discussion Forums</t>
        </is>
      </c>
      <c r="C23" s="10" t="inlineStr">
        <is>
          <t>Y</t>
        </is>
      </c>
      <c r="D23" s="10" t="inlineStr">
        <is>
          <t>Y</t>
        </is>
      </c>
      <c r="E23" s="10" t="inlineStr">
        <is>
          <t>Configured</t>
        </is>
      </c>
      <c r="F23" s="9" t="inlineStr"/>
    </row>
    <row r="24" ht="28" customHeight="1">
      <c r="B24" s="35" t="inlineStr">
        <is>
          <t>Video Streaming / Recording</t>
        </is>
      </c>
      <c r="C24" s="33" t="inlineStr">
        <is>
          <t>Y</t>
        </is>
      </c>
      <c r="D24" s="33" t="inlineStr">
        <is>
          <t>Y</t>
        </is>
      </c>
      <c r="E24" s="33" t="inlineStr">
        <is>
          <t>Configured</t>
        </is>
      </c>
      <c r="F24" s="32" t="inlineStr"/>
    </row>
    <row r="25" ht="28" customHeight="1">
      <c r="B25" s="25" t="inlineStr">
        <is>
          <t>Live Class (Zoom / Teams integration)</t>
        </is>
      </c>
      <c r="C25" s="10" t="inlineStr">
        <is>
          <t>Y</t>
        </is>
      </c>
      <c r="D25" s="10" t="inlineStr">
        <is>
          <t>Y</t>
        </is>
      </c>
      <c r="E25" s="10" t="inlineStr">
        <is>
          <t>Configured</t>
        </is>
      </c>
      <c r="F25" s="9" t="inlineStr"/>
    </row>
    <row r="26" ht="28" customHeight="1">
      <c r="B26" s="35" t="inlineStr">
        <is>
          <t>Attendance Tracking</t>
        </is>
      </c>
      <c r="C26" s="33" t="inlineStr">
        <is>
          <t>Y</t>
        </is>
      </c>
      <c r="D26" s="33" t="inlineStr">
        <is>
          <t>Y</t>
        </is>
      </c>
      <c r="E26" s="33" t="inlineStr">
        <is>
          <t>Configured</t>
        </is>
      </c>
      <c r="F26" s="32" t="inlineStr"/>
    </row>
    <row r="27" ht="28" customHeight="1">
      <c r="B27" s="25" t="inlineStr">
        <is>
          <t>Grade Book</t>
        </is>
      </c>
      <c r="C27" s="10" t="inlineStr">
        <is>
          <t>Y</t>
        </is>
      </c>
      <c r="D27" s="10" t="inlineStr">
        <is>
          <t>Y</t>
        </is>
      </c>
      <c r="E27" s="10" t="inlineStr">
        <is>
          <t>Configured</t>
        </is>
      </c>
      <c r="F27" s="9" t="inlineStr"/>
    </row>
    <row r="28" ht="28" customHeight="1">
      <c r="B28" s="35" t="inlineStr">
        <is>
          <t>Analytics / Learning Analytics</t>
        </is>
      </c>
      <c r="C28" s="33" t="inlineStr">
        <is>
          <t>Y</t>
        </is>
      </c>
      <c r="D28" s="33" t="inlineStr">
        <is>
          <t>Y</t>
        </is>
      </c>
      <c r="E28" s="33" t="inlineStr">
        <is>
          <t>Configured</t>
        </is>
      </c>
      <c r="F28" s="32" t="inlineStr"/>
    </row>
    <row r="29" ht="28" customHeight="1">
      <c r="B29" s="25" t="inlineStr">
        <is>
          <t>SCORM / xAPI Content Support</t>
        </is>
      </c>
      <c r="C29" s="10" t="inlineStr">
        <is>
          <t>Y</t>
        </is>
      </c>
      <c r="D29" s="10" t="inlineStr">
        <is>
          <t>Y</t>
        </is>
      </c>
      <c r="E29" s="10" t="inlineStr">
        <is>
          <t>Configured</t>
        </is>
      </c>
      <c r="F29" s="9" t="inlineStr"/>
    </row>
    <row r="30" ht="28" customHeight="1">
      <c r="B30" s="35" t="inlineStr">
        <is>
          <t>AI-based Recommendations</t>
        </is>
      </c>
      <c r="C30" s="33" t="inlineStr">
        <is>
          <t>Y</t>
        </is>
      </c>
      <c r="D30" s="33" t="inlineStr">
        <is>
          <t>Y</t>
        </is>
      </c>
      <c r="E30" s="33" t="inlineStr">
        <is>
          <t>Configured</t>
        </is>
      </c>
      <c r="F30" s="32" t="inlineStr"/>
    </row>
    <row r="31" ht="28" customHeight="1">
      <c r="B31" s="25" t="inlineStr">
        <is>
          <t>Plagiarism Detection Integration</t>
        </is>
      </c>
      <c r="C31" s="10" t="inlineStr">
        <is>
          <t>Y</t>
        </is>
      </c>
      <c r="D31" s="10" t="inlineStr">
        <is>
          <t>Y</t>
        </is>
      </c>
      <c r="E31" s="10" t="inlineStr">
        <is>
          <t>Configured</t>
        </is>
      </c>
      <c r="F31" s="9" t="inlineStr"/>
    </row>
    <row r="32" ht="28" customHeight="1">
      <c r="B32" s="35" t="inlineStr">
        <is>
          <t>Gamification / Badges</t>
        </is>
      </c>
      <c r="C32" s="33" t="inlineStr">
        <is>
          <t>Y</t>
        </is>
      </c>
      <c r="D32" s="33" t="inlineStr">
        <is>
          <t>Y</t>
        </is>
      </c>
      <c r="E32" s="33" t="inlineStr">
        <is>
          <t>Configured</t>
        </is>
      </c>
      <c r="F32" s="32" t="inlineStr"/>
    </row>
    <row r="33" ht="28" customHeight="1">
      <c r="B33" s="25" t="inlineStr">
        <is>
          <t>Mobile Push Notifications</t>
        </is>
      </c>
      <c r="C33" s="10" t="inlineStr">
        <is>
          <t>Y</t>
        </is>
      </c>
      <c r="D33" s="10" t="inlineStr">
        <is>
          <t>Y</t>
        </is>
      </c>
      <c r="E33" s="10" t="inlineStr">
        <is>
          <t>Configured</t>
        </is>
      </c>
      <c r="F33" s="9" t="inlineStr"/>
    </row>
    <row r="34" ht="28" customHeight="1">
      <c r="B34" s="35" t="inlineStr">
        <is>
          <t>Accessibility (WCAG 2.1 AA)</t>
        </is>
      </c>
      <c r="C34" s="33" t="inlineStr">
        <is>
          <t>Y</t>
        </is>
      </c>
      <c r="D34" s="33" t="inlineStr">
        <is>
          <t>Y</t>
        </is>
      </c>
      <c r="E34" s="33" t="inlineStr">
        <is>
          <t>Configured</t>
        </is>
      </c>
      <c r="F34" s="32" t="inlineStr"/>
    </row>
    <row r="35" ht="28" customHeight="1">
      <c r="B35" s="25" t="inlineStr">
        <is>
          <t>Multi-language Support</t>
        </is>
      </c>
      <c r="C35" s="10" t="inlineStr">
        <is>
          <t>Y</t>
        </is>
      </c>
      <c r="D35" s="10" t="inlineStr">
        <is>
          <t>Y</t>
        </is>
      </c>
      <c r="E35" s="10" t="inlineStr">
        <is>
          <t>Configured</t>
        </is>
      </c>
      <c r="F35" s="9" t="inlineStr"/>
    </row>
    <row r="36" ht="28" customHeight="1"/>
    <row r="37" ht="28" customHeight="1"/>
    <row r="38" ht="28" customHeight="1"/>
    <row r="39" ht="28" customHeight="1"/>
    <row r="40" ht="28" customHeight="1"/>
    <row r="41" ht="28" customHeight="1"/>
    <row r="42" ht="28" customHeight="1"/>
    <row r="43" ht="28" customHeight="1"/>
    <row r="44" ht="28" customHeight="1"/>
  </sheetData>
  <mergeCells count="16">
    <mergeCell ref="B4:F4"/>
    <mergeCell ref="C13:F13"/>
    <mergeCell ref="C9:F9"/>
    <mergeCell ref="B2:F2"/>
    <mergeCell ref="C8:F8"/>
    <mergeCell ref="C12:F12"/>
    <mergeCell ref="B3:F3"/>
    <mergeCell ref="C6:F6"/>
    <mergeCell ref="C7:F7"/>
    <mergeCell ref="C16:F16"/>
    <mergeCell ref="C15:F15"/>
    <mergeCell ref="C11:F11"/>
    <mergeCell ref="C10:F10"/>
    <mergeCell ref="C5:F5"/>
    <mergeCell ref="B18:F18"/>
    <mergeCell ref="C14:F1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K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" customWidth="1" min="12" max="12"/>
  </cols>
  <sheetData>
    <row r="1" ht="10" customHeight="1"/>
    <row r="2" ht="48" customHeight="1">
      <c r="B2" s="12" t="inlineStr">
        <is>
          <t>ICT-24: COURSE DIGITISATION &amp; LMS UPLOAD REGISTER</t>
        </is>
      </c>
    </row>
    <row r="3" ht="25" customHeight="1">
      <c r="B3" s="2" t="inlineStr">
        <is>
          <t>Semester: _______  A.Y.: _______  LMS Administrator: ___________________</t>
        </is>
      </c>
    </row>
    <row r="4" ht="25" customHeight="1">
      <c r="B4" s="13" t="inlineStr">
        <is>
          <t>Course
Code</t>
        </is>
      </c>
      <c r="C4" s="13" t="inlineStr">
        <is>
          <t>Course Name</t>
        </is>
      </c>
      <c r="D4" s="13" t="inlineStr">
        <is>
          <t>Department</t>
        </is>
      </c>
      <c r="E4" s="13" t="inlineStr">
        <is>
          <t>Faculty</t>
        </is>
      </c>
      <c r="F4" s="13" t="inlineStr">
        <is>
          <t>Videos
Uploaded</t>
        </is>
      </c>
      <c r="G4" s="13" t="inlineStr">
        <is>
          <t>PPT / PDFs
Uploaded</t>
        </is>
      </c>
      <c r="H4" s="13" t="inlineStr">
        <is>
          <t>Quizzes /
Assessments</t>
        </is>
      </c>
      <c r="I4" s="13" t="inlineStr">
        <is>
          <t>Assignments</t>
        </is>
      </c>
      <c r="J4" s="13" t="inlineStr">
        <is>
          <t>CO-Content
Mapped</t>
        </is>
      </c>
      <c r="K4" s="13" t="inlineStr">
        <is>
          <t>Completion
%</t>
        </is>
      </c>
    </row>
    <row r="5" ht="22" customHeight="1">
      <c r="B5" s="14" t="inlineStr">
        <is>
          <t>CS3000</t>
        </is>
      </c>
      <c r="C5" s="15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>
        <is>
          <t>Y</t>
        </is>
      </c>
      <c r="K5" s="14">
        <f>IFERROR(ROUND((F5+G5+H5+I5)/4*25,0),"")</f>
        <v/>
      </c>
    </row>
    <row r="6" ht="22" customHeight="1">
      <c r="B6" s="8" t="inlineStr">
        <is>
          <t>CS3010</t>
        </is>
      </c>
      <c r="C6" s="9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>
        <is>
          <t>Y</t>
        </is>
      </c>
      <c r="K6" s="8">
        <f>IFERROR(ROUND((F6+G6+H6+I6)/4*25,0),"")</f>
        <v/>
      </c>
    </row>
    <row r="7" ht="22" customHeight="1">
      <c r="B7" s="14" t="inlineStr">
        <is>
          <t>CS3020</t>
        </is>
      </c>
      <c r="C7" s="15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>
        <is>
          <t>Y</t>
        </is>
      </c>
      <c r="K7" s="14">
        <f>IFERROR(ROUND((F7+G7+H7+I7)/4*25,0),"")</f>
        <v/>
      </c>
    </row>
    <row r="8" ht="22" customHeight="1">
      <c r="B8" s="8" t="inlineStr">
        <is>
          <t>CS3030</t>
        </is>
      </c>
      <c r="C8" s="9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>
        <is>
          <t>Y</t>
        </is>
      </c>
      <c r="K8" s="8">
        <f>IFERROR(ROUND((F8+G8+H8+I8)/4*25,0),"")</f>
        <v/>
      </c>
    </row>
    <row r="9" ht="22" customHeight="1">
      <c r="B9" s="14" t="inlineStr">
        <is>
          <t>CS3040</t>
        </is>
      </c>
      <c r="C9" s="15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>
        <is>
          <t>Y</t>
        </is>
      </c>
      <c r="K9" s="14">
        <f>IFERROR(ROUND((F9+G9+H9+I9)/4*25,0),"")</f>
        <v/>
      </c>
    </row>
    <row r="10" ht="22" customHeight="1">
      <c r="B10" s="8" t="inlineStr">
        <is>
          <t>CS3050</t>
        </is>
      </c>
      <c r="C10" s="9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>
        <is>
          <t>Y</t>
        </is>
      </c>
      <c r="K10" s="8">
        <f>IFERROR(ROUND((F10+G10+H10+I10)/4*25,0),"")</f>
        <v/>
      </c>
    </row>
    <row r="11" ht="22" customHeight="1">
      <c r="B11" s="14" t="inlineStr">
        <is>
          <t>CS3060</t>
        </is>
      </c>
      <c r="C11" s="15" t="inlineStr"/>
      <c r="D11" s="16" t="inlineStr"/>
      <c r="E11" s="16" t="inlineStr"/>
      <c r="F11" s="16" t="inlineStr"/>
      <c r="G11" s="16" t="inlineStr"/>
      <c r="H11" s="16" t="inlineStr"/>
      <c r="I11" s="16" t="inlineStr"/>
      <c r="J11" s="16" t="inlineStr">
        <is>
          <t>Y</t>
        </is>
      </c>
      <c r="K11" s="14">
        <f>IFERROR(ROUND((F11+G11+H11+I11)/4*25,0),"")</f>
        <v/>
      </c>
    </row>
    <row r="12" ht="22" customHeight="1">
      <c r="B12" s="8" t="inlineStr">
        <is>
          <t>CS3070</t>
        </is>
      </c>
      <c r="C12" s="9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>
        <is>
          <t>Y</t>
        </is>
      </c>
      <c r="K12" s="8">
        <f>IFERROR(ROUND((F12+G12+H12+I12)/4*25,0),"")</f>
        <v/>
      </c>
    </row>
    <row r="13" ht="22" customHeight="1">
      <c r="B13" s="14" t="inlineStr">
        <is>
          <t>CS3080</t>
        </is>
      </c>
      <c r="C13" s="15" t="inlineStr"/>
      <c r="D13" s="16" t="inlineStr"/>
      <c r="E13" s="16" t="inlineStr"/>
      <c r="F13" s="16" t="inlineStr"/>
      <c r="G13" s="16" t="inlineStr"/>
      <c r="H13" s="16" t="inlineStr"/>
      <c r="I13" s="16" t="inlineStr"/>
      <c r="J13" s="16" t="inlineStr">
        <is>
          <t>Y</t>
        </is>
      </c>
      <c r="K13" s="14">
        <f>IFERROR(ROUND((F13+G13+H13+I13)/4*25,0),"")</f>
        <v/>
      </c>
    </row>
    <row r="14" ht="22" customHeight="1">
      <c r="B14" s="8" t="inlineStr">
        <is>
          <t>CS3090</t>
        </is>
      </c>
      <c r="C14" s="9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>
        <is>
          <t>Y</t>
        </is>
      </c>
      <c r="K14" s="8">
        <f>IFERROR(ROUND((F14+G14+H14+I14)/4*25,0),"")</f>
        <v/>
      </c>
    </row>
    <row r="15" ht="22" customHeight="1">
      <c r="B15" s="14" t="inlineStr">
        <is>
          <t>CS3100</t>
        </is>
      </c>
      <c r="C15" s="15" t="inlineStr"/>
      <c r="D15" s="16" t="inlineStr"/>
      <c r="E15" s="16" t="inlineStr"/>
      <c r="F15" s="16" t="inlineStr"/>
      <c r="G15" s="16" t="inlineStr"/>
      <c r="H15" s="16" t="inlineStr"/>
      <c r="I15" s="16" t="inlineStr"/>
      <c r="J15" s="16" t="inlineStr">
        <is>
          <t>Y</t>
        </is>
      </c>
      <c r="K15" s="14">
        <f>IFERROR(ROUND((F15+G15+H15+I15)/4*25,0),"")</f>
        <v/>
      </c>
    </row>
    <row r="16" ht="22" customHeight="1">
      <c r="B16" s="8" t="inlineStr">
        <is>
          <t>CS3110</t>
        </is>
      </c>
      <c r="C16" s="9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>
        <is>
          <t>Y</t>
        </is>
      </c>
      <c r="K16" s="8">
        <f>IFERROR(ROUND((F16+G16+H16+I16)/4*25,0),"")</f>
        <v/>
      </c>
    </row>
    <row r="17" ht="22" customHeight="1">
      <c r="B17" s="14" t="inlineStr">
        <is>
          <t>CS3120</t>
        </is>
      </c>
      <c r="C17" s="15" t="inlineStr"/>
      <c r="D17" s="16" t="inlineStr"/>
      <c r="E17" s="16" t="inlineStr"/>
      <c r="F17" s="16" t="inlineStr"/>
      <c r="G17" s="16" t="inlineStr"/>
      <c r="H17" s="16" t="inlineStr"/>
      <c r="I17" s="16" t="inlineStr"/>
      <c r="J17" s="16" t="inlineStr">
        <is>
          <t>Y</t>
        </is>
      </c>
      <c r="K17" s="14">
        <f>IFERROR(ROUND((F17+G17+H17+I17)/4*25,0),"")</f>
        <v/>
      </c>
    </row>
    <row r="18" ht="22" customHeight="1">
      <c r="B18" s="8" t="inlineStr">
        <is>
          <t>CS3130</t>
        </is>
      </c>
      <c r="C18" s="9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>
        <is>
          <t>Y</t>
        </is>
      </c>
      <c r="K18" s="8">
        <f>IFERROR(ROUND((F18+G18+H18+I18)/4*25,0),"")</f>
        <v/>
      </c>
    </row>
    <row r="19" ht="22" customHeight="1">
      <c r="B19" s="14" t="inlineStr">
        <is>
          <t>CS3140</t>
        </is>
      </c>
      <c r="C19" s="15" t="inlineStr"/>
      <c r="D19" s="16" t="inlineStr"/>
      <c r="E19" s="16" t="inlineStr"/>
      <c r="F19" s="16" t="inlineStr"/>
      <c r="G19" s="16" t="inlineStr"/>
      <c r="H19" s="16" t="inlineStr"/>
      <c r="I19" s="16" t="inlineStr"/>
      <c r="J19" s="16" t="inlineStr">
        <is>
          <t>Y</t>
        </is>
      </c>
      <c r="K19" s="14">
        <f>IFERROR(ROUND((F19+G19+H19+I19)/4*25,0),"")</f>
        <v/>
      </c>
    </row>
    <row r="20" ht="22" customHeight="1">
      <c r="B20" s="8" t="inlineStr">
        <is>
          <t>CS3150</t>
        </is>
      </c>
      <c r="C20" s="9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>
        <is>
          <t>Y</t>
        </is>
      </c>
      <c r="K20" s="8">
        <f>IFERROR(ROUND((F20+G20+H20+I20)/4*25,0),"")</f>
        <v/>
      </c>
    </row>
    <row r="21" ht="22" customHeight="1">
      <c r="B21" s="14" t="inlineStr">
        <is>
          <t>CS3160</t>
        </is>
      </c>
      <c r="C21" s="15" t="inlineStr"/>
      <c r="D21" s="16" t="inlineStr"/>
      <c r="E21" s="16" t="inlineStr"/>
      <c r="F21" s="16" t="inlineStr"/>
      <c r="G21" s="16" t="inlineStr"/>
      <c r="H21" s="16" t="inlineStr"/>
      <c r="I21" s="16" t="inlineStr"/>
      <c r="J21" s="16" t="inlineStr">
        <is>
          <t>Y</t>
        </is>
      </c>
      <c r="K21" s="14">
        <f>IFERROR(ROUND((F21+G21+H21+I21)/4*25,0),"")</f>
        <v/>
      </c>
    </row>
    <row r="22" ht="22" customHeight="1">
      <c r="B22" s="8" t="inlineStr">
        <is>
          <t>CS3170</t>
        </is>
      </c>
      <c r="C22" s="9" t="inlineStr"/>
      <c r="D22" s="10" t="inlineStr"/>
      <c r="E22" s="10" t="inlineStr"/>
      <c r="F22" s="10" t="inlineStr"/>
      <c r="G22" s="10" t="inlineStr"/>
      <c r="H22" s="10" t="inlineStr"/>
      <c r="I22" s="10" t="inlineStr"/>
      <c r="J22" s="10" t="inlineStr">
        <is>
          <t>Y</t>
        </is>
      </c>
      <c r="K22" s="8">
        <f>IFERROR(ROUND((F22+G22+H22+I22)/4*25,0),"")</f>
        <v/>
      </c>
    </row>
    <row r="23" ht="22" customHeight="1">
      <c r="B23" s="14" t="inlineStr">
        <is>
          <t>CS3180</t>
        </is>
      </c>
      <c r="C23" s="15" t="inlineStr"/>
      <c r="D23" s="16" t="inlineStr"/>
      <c r="E23" s="16" t="inlineStr"/>
      <c r="F23" s="16" t="inlineStr"/>
      <c r="G23" s="16" t="inlineStr"/>
      <c r="H23" s="16" t="inlineStr"/>
      <c r="I23" s="16" t="inlineStr"/>
      <c r="J23" s="16" t="inlineStr">
        <is>
          <t>Y</t>
        </is>
      </c>
      <c r="K23" s="14">
        <f>IFERROR(ROUND((F23+G23+H23+I23)/4*25,0),"")</f>
        <v/>
      </c>
    </row>
    <row r="24" ht="22" customHeight="1">
      <c r="B24" s="8" t="inlineStr">
        <is>
          <t>CS3190</t>
        </is>
      </c>
      <c r="C24" s="9" t="inlineStr"/>
      <c r="D24" s="10" t="inlineStr"/>
      <c r="E24" s="10" t="inlineStr"/>
      <c r="F24" s="10" t="inlineStr"/>
      <c r="G24" s="10" t="inlineStr"/>
      <c r="H24" s="10" t="inlineStr"/>
      <c r="I24" s="10" t="inlineStr"/>
      <c r="J24" s="10" t="inlineStr">
        <is>
          <t>Y</t>
        </is>
      </c>
      <c r="K24" s="8">
        <f>IFERROR(ROUND((F24+G24+H24+I24)/4*25,0),"")</f>
        <v/>
      </c>
    </row>
    <row r="25" ht="22" customHeight="1">
      <c r="B25" s="14" t="inlineStr">
        <is>
          <t>CS3200</t>
        </is>
      </c>
      <c r="C25" s="15" t="inlineStr"/>
      <c r="D25" s="16" t="inlineStr"/>
      <c r="E25" s="16" t="inlineStr"/>
      <c r="F25" s="16" t="inlineStr"/>
      <c r="G25" s="16" t="inlineStr"/>
      <c r="H25" s="16" t="inlineStr"/>
      <c r="I25" s="16" t="inlineStr"/>
      <c r="J25" s="16" t="inlineStr">
        <is>
          <t>Y</t>
        </is>
      </c>
      <c r="K25" s="14">
        <f>IFERROR(ROUND((F25+G25+H25+I25)/4*25,0),"")</f>
        <v/>
      </c>
    </row>
    <row r="26" ht="22" customHeight="1">
      <c r="B26" s="8" t="inlineStr">
        <is>
          <t>CS3210</t>
        </is>
      </c>
      <c r="C26" s="9" t="inlineStr"/>
      <c r="D26" s="10" t="inlineStr"/>
      <c r="E26" s="10" t="inlineStr"/>
      <c r="F26" s="10" t="inlineStr"/>
      <c r="G26" s="10" t="inlineStr"/>
      <c r="H26" s="10" t="inlineStr"/>
      <c r="I26" s="10" t="inlineStr"/>
      <c r="J26" s="10" t="inlineStr">
        <is>
          <t>Y</t>
        </is>
      </c>
      <c r="K26" s="8">
        <f>IFERROR(ROUND((F26+G26+H26+I26)/4*25,0),"")</f>
        <v/>
      </c>
    </row>
    <row r="27" ht="22" customHeight="1">
      <c r="B27" s="14" t="inlineStr">
        <is>
          <t>CS3220</t>
        </is>
      </c>
      <c r="C27" s="15" t="inlineStr"/>
      <c r="D27" s="16" t="inlineStr"/>
      <c r="E27" s="16" t="inlineStr"/>
      <c r="F27" s="16" t="inlineStr"/>
      <c r="G27" s="16" t="inlineStr"/>
      <c r="H27" s="16" t="inlineStr"/>
      <c r="I27" s="16" t="inlineStr"/>
      <c r="J27" s="16" t="inlineStr">
        <is>
          <t>Y</t>
        </is>
      </c>
      <c r="K27" s="14">
        <f>IFERROR(ROUND((F27+G27+H27+I27)/4*25,0),"")</f>
        <v/>
      </c>
    </row>
    <row r="28" ht="22" customHeight="1">
      <c r="B28" s="8" t="inlineStr">
        <is>
          <t>CS3230</t>
        </is>
      </c>
      <c r="C28" s="9" t="inlineStr"/>
      <c r="D28" s="10" t="inlineStr"/>
      <c r="E28" s="10" t="inlineStr"/>
      <c r="F28" s="10" t="inlineStr"/>
      <c r="G28" s="10" t="inlineStr"/>
      <c r="H28" s="10" t="inlineStr"/>
      <c r="I28" s="10" t="inlineStr"/>
      <c r="J28" s="10" t="inlineStr">
        <is>
          <t>Y</t>
        </is>
      </c>
      <c r="K28" s="8">
        <f>IFERROR(ROUND((F28+G28+H28+I28)/4*25,0),"")</f>
        <v/>
      </c>
    </row>
    <row r="29" ht="22" customHeight="1">
      <c r="B29" s="14" t="inlineStr">
        <is>
          <t>CS3240</t>
        </is>
      </c>
      <c r="C29" s="15" t="inlineStr"/>
      <c r="D29" s="16" t="inlineStr"/>
      <c r="E29" s="16" t="inlineStr"/>
      <c r="F29" s="16" t="inlineStr"/>
      <c r="G29" s="16" t="inlineStr"/>
      <c r="H29" s="16" t="inlineStr"/>
      <c r="I29" s="16" t="inlineStr"/>
      <c r="J29" s="16" t="inlineStr">
        <is>
          <t>Y</t>
        </is>
      </c>
      <c r="K29" s="14">
        <f>IFERROR(ROUND((F29+G29+H29+I29)/4*25,0),"")</f>
        <v/>
      </c>
    </row>
    <row r="30" ht="22" customHeight="1">
      <c r="B30" s="8" t="inlineStr">
        <is>
          <t>CS3250</t>
        </is>
      </c>
      <c r="C30" s="9" t="inlineStr"/>
      <c r="D30" s="10" t="inlineStr"/>
      <c r="E30" s="10" t="inlineStr"/>
      <c r="F30" s="10" t="inlineStr"/>
      <c r="G30" s="10" t="inlineStr"/>
      <c r="H30" s="10" t="inlineStr"/>
      <c r="I30" s="10" t="inlineStr"/>
      <c r="J30" s="10" t="inlineStr">
        <is>
          <t>Y</t>
        </is>
      </c>
      <c r="K30" s="8">
        <f>IFERROR(ROUND((F30+G30+H30+I30)/4*25,0),"")</f>
        <v/>
      </c>
    </row>
    <row r="31" ht="22" customHeight="1">
      <c r="B31" s="14" t="inlineStr">
        <is>
          <t>CS3260</t>
        </is>
      </c>
      <c r="C31" s="15" t="inlineStr"/>
      <c r="D31" s="16" t="inlineStr"/>
      <c r="E31" s="16" t="inlineStr"/>
      <c r="F31" s="16" t="inlineStr"/>
      <c r="G31" s="16" t="inlineStr"/>
      <c r="H31" s="16" t="inlineStr"/>
      <c r="I31" s="16" t="inlineStr"/>
      <c r="J31" s="16" t="inlineStr">
        <is>
          <t>Y</t>
        </is>
      </c>
      <c r="K31" s="14">
        <f>IFERROR(ROUND((F31+G31+H31+I31)/4*25,0),"")</f>
        <v/>
      </c>
    </row>
    <row r="32" ht="22" customHeight="1">
      <c r="B32" s="8" t="inlineStr">
        <is>
          <t>CS3270</t>
        </is>
      </c>
      <c r="C32" s="9" t="inlineStr"/>
      <c r="D32" s="10" t="inlineStr"/>
      <c r="E32" s="10" t="inlineStr"/>
      <c r="F32" s="10" t="inlineStr"/>
      <c r="G32" s="10" t="inlineStr"/>
      <c r="H32" s="10" t="inlineStr"/>
      <c r="I32" s="10" t="inlineStr"/>
      <c r="J32" s="10" t="inlineStr">
        <is>
          <t>Y</t>
        </is>
      </c>
      <c r="K32" s="8">
        <f>IFERROR(ROUND((F32+G32+H32+I32)/4*25,0),"")</f>
        <v/>
      </c>
    </row>
    <row r="33" ht="22" customHeight="1"/>
    <row r="34" ht="24" customHeight="1">
      <c r="B34" s="34" t="inlineStr">
        <is>
          <t>DEPARTMENT-WISE DIGITISATION SUMMARY</t>
        </is>
      </c>
    </row>
    <row r="35" ht="22" customHeight="1">
      <c r="B35" s="30" t="inlineStr">
        <is>
          <t>Department</t>
        </is>
      </c>
      <c r="C35" s="30" t="inlineStr">
        <is>
          <t>Total Courses</t>
        </is>
      </c>
      <c r="D35" s="30" t="inlineStr">
        <is>
          <t>Courses on LMS</t>
        </is>
      </c>
      <c r="E35" s="30" t="inlineStr">
        <is>
          <t>% on LMS</t>
        </is>
      </c>
      <c r="F35" s="30" t="inlineStr">
        <is>
          <t>Videos
Total</t>
        </is>
      </c>
      <c r="G35" s="30" t="inlineStr">
        <is>
          <t>Avg. Content
per Course</t>
        </is>
      </c>
      <c r="H35" s="30" t="inlineStr">
        <is>
          <t>Quizzes
Total</t>
        </is>
      </c>
      <c r="I35" s="30" t="inlineStr">
        <is>
          <t>CO Mapping
% Done</t>
        </is>
      </c>
      <c r="J35" s="30" t="inlineStr">
        <is>
          <t>Faculty
Active on LMS</t>
        </is>
      </c>
      <c r="K35" s="30" t="inlineStr">
        <is>
          <t>Status</t>
        </is>
      </c>
    </row>
    <row r="36" ht="22" customHeight="1">
      <c r="B36" s="33" t="inlineStr">
        <is>
          <t>CSE</t>
        </is>
      </c>
      <c r="C36" s="33" t="inlineStr"/>
      <c r="D36" s="33" t="inlineStr"/>
      <c r="E36" s="33">
        <f>IFERROR(ROUND(D36/C36*100,1),"")</f>
        <v/>
      </c>
      <c r="F36" s="33" t="inlineStr"/>
      <c r="G36" s="33" t="inlineStr"/>
      <c r="H36" s="33" t="inlineStr"/>
      <c r="I36" s="33" t="inlineStr"/>
      <c r="J36" s="33" t="inlineStr"/>
      <c r="K36" s="33" t="inlineStr"/>
    </row>
    <row r="37" ht="22" customHeight="1">
      <c r="B37" s="10" t="inlineStr">
        <is>
          <t>ECE</t>
        </is>
      </c>
      <c r="C37" s="10" t="inlineStr"/>
      <c r="D37" s="10" t="inlineStr"/>
      <c r="E37" s="10">
        <f>IFERROR(ROUND(D37/C37*100,1),"")</f>
        <v/>
      </c>
      <c r="F37" s="10" t="inlineStr"/>
      <c r="G37" s="10" t="inlineStr"/>
      <c r="H37" s="10" t="inlineStr"/>
      <c r="I37" s="10" t="inlineStr"/>
      <c r="J37" s="10" t="inlineStr"/>
      <c r="K37" s="10" t="inlineStr"/>
    </row>
    <row r="38" ht="22" customHeight="1">
      <c r="B38" s="33" t="inlineStr">
        <is>
          <t>EEE</t>
        </is>
      </c>
      <c r="C38" s="33" t="inlineStr"/>
      <c r="D38" s="33" t="inlineStr"/>
      <c r="E38" s="33">
        <f>IFERROR(ROUND(D38/C38*100,1),"")</f>
        <v/>
      </c>
      <c r="F38" s="33" t="inlineStr"/>
      <c r="G38" s="33" t="inlineStr"/>
      <c r="H38" s="33" t="inlineStr"/>
      <c r="I38" s="33" t="inlineStr"/>
      <c r="J38" s="33" t="inlineStr"/>
      <c r="K38" s="33" t="inlineStr"/>
    </row>
    <row r="39" ht="22" customHeight="1">
      <c r="B39" s="10" t="inlineStr">
        <is>
          <t>MECH</t>
        </is>
      </c>
      <c r="C39" s="10" t="inlineStr"/>
      <c r="D39" s="10" t="inlineStr"/>
      <c r="E39" s="10">
        <f>IFERROR(ROUND(D39/C39*100,1),"")</f>
        <v/>
      </c>
      <c r="F39" s="10" t="inlineStr"/>
      <c r="G39" s="10" t="inlineStr"/>
      <c r="H39" s="10" t="inlineStr"/>
      <c r="I39" s="10" t="inlineStr"/>
      <c r="J39" s="10" t="inlineStr"/>
      <c r="K39" s="10" t="inlineStr"/>
    </row>
    <row r="40">
      <c r="B40" s="33" t="inlineStr">
        <is>
          <t>CIVIL</t>
        </is>
      </c>
      <c r="C40" s="33" t="inlineStr"/>
      <c r="D40" s="33" t="inlineStr"/>
      <c r="E40" s="33">
        <f>IFERROR(ROUND(D40/C40*100,1),"")</f>
        <v/>
      </c>
      <c r="F40" s="33" t="inlineStr"/>
      <c r="G40" s="33" t="inlineStr"/>
      <c r="H40" s="33" t="inlineStr"/>
      <c r="I40" s="33" t="inlineStr"/>
      <c r="J40" s="33" t="inlineStr"/>
      <c r="K40" s="33" t="inlineStr"/>
    </row>
    <row r="41">
      <c r="B41" s="10" t="inlineStr">
        <is>
          <t>S&amp;H</t>
        </is>
      </c>
      <c r="C41" s="10" t="inlineStr"/>
      <c r="D41" s="10" t="inlineStr"/>
      <c r="E41" s="10">
        <f>IFERROR(ROUND(D41/C41*100,1),"")</f>
        <v/>
      </c>
      <c r="F41" s="10" t="inlineStr"/>
      <c r="G41" s="10" t="inlineStr"/>
      <c r="H41" s="10" t="inlineStr"/>
      <c r="I41" s="10" t="inlineStr"/>
      <c r="J41" s="10" t="inlineStr"/>
      <c r="K41" s="10" t="inlineStr"/>
    </row>
    <row r="42">
      <c r="B42" s="33" t="inlineStr">
        <is>
          <t>MBA</t>
        </is>
      </c>
      <c r="C42" s="33" t="inlineStr"/>
      <c r="D42" s="33" t="inlineStr"/>
      <c r="E42" s="33">
        <f>IFERROR(ROUND(D42/C42*100,1),"")</f>
        <v/>
      </c>
      <c r="F42" s="33" t="inlineStr"/>
      <c r="G42" s="33" t="inlineStr"/>
      <c r="H42" s="33" t="inlineStr"/>
      <c r="I42" s="33" t="inlineStr"/>
      <c r="J42" s="33" t="inlineStr"/>
      <c r="K42" s="33" t="inlineStr"/>
    </row>
    <row r="43">
      <c r="B43" s="10" t="inlineStr">
        <is>
          <t>MCA</t>
        </is>
      </c>
      <c r="C43" s="10" t="inlineStr"/>
      <c r="D43" s="10" t="inlineStr"/>
      <c r="E43" s="10">
        <f>IFERROR(ROUND(D43/C43*100,1),"")</f>
        <v/>
      </c>
      <c r="F43" s="10" t="inlineStr"/>
      <c r="G43" s="10" t="inlineStr"/>
      <c r="H43" s="10" t="inlineStr"/>
      <c r="I43" s="10" t="inlineStr"/>
      <c r="J43" s="10" t="inlineStr"/>
      <c r="K43" s="10" t="inlineStr"/>
    </row>
    <row r="44">
      <c r="B44" s="47" t="inlineStr">
        <is>
          <t>INSTITUTION</t>
        </is>
      </c>
      <c r="C44" s="47" t="inlineStr"/>
      <c r="D44" s="47" t="inlineStr"/>
      <c r="E44" s="47">
        <f>IFERROR(ROUND(D44/C44*100,1),"")</f>
        <v/>
      </c>
      <c r="F44" s="47" t="inlineStr"/>
      <c r="G44" s="47" t="inlineStr"/>
      <c r="H44" s="47" t="inlineStr"/>
      <c r="I44" s="47" t="inlineStr"/>
      <c r="J44" s="47" t="inlineStr"/>
      <c r="K44" s="47" t="inlineStr"/>
    </row>
  </sheetData>
  <mergeCells count="3">
    <mergeCell ref="B34:K34"/>
    <mergeCell ref="B3:K3"/>
    <mergeCell ref="B2:K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I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ICT-25: LMS USAGE &amp; ADOPTION DASHBOARD</t>
        </is>
      </c>
    </row>
    <row r="3" ht="25" customHeight="1">
      <c r="B3" s="2" t="inlineStr">
        <is>
          <t>Semester: _______  A.Y.: _______  Period: Month / Semester  LMS Admin: ___________________</t>
        </is>
      </c>
    </row>
    <row r="4" ht="24" customHeight="1">
      <c r="B4" s="19" t="inlineStr">
        <is>
          <t>FACULTY USAGE METRICS — DEPARTMENT-WISE</t>
        </is>
      </c>
    </row>
    <row r="5" ht="22" customHeight="1">
      <c r="B5" s="13" t="inlineStr">
        <is>
          <t>Department</t>
        </is>
      </c>
      <c r="C5" s="13" t="inlineStr">
        <is>
          <t>Total
Faculty</t>
        </is>
      </c>
      <c r="D5" s="13" t="inlineStr">
        <is>
          <t>Active on
LMS</t>
        </is>
      </c>
      <c r="E5" s="13" t="inlineStr">
        <is>
          <t>LMS Adoption
%</t>
        </is>
      </c>
      <c r="F5" s="13" t="inlineStr">
        <is>
          <t>Courses
Uploaded</t>
        </is>
      </c>
      <c r="G5" s="13" t="inlineStr">
        <is>
          <t>Avg. Logins
/ Week</t>
        </is>
      </c>
      <c r="H5" s="13" t="inlineStr">
        <is>
          <t>Content
Updated
This Sem.</t>
        </is>
      </c>
      <c r="I5" s="13" t="inlineStr">
        <is>
          <t>NAAC
Evidence Ready</t>
        </is>
      </c>
    </row>
    <row r="6" ht="22" customHeight="1">
      <c r="B6" s="16" t="inlineStr">
        <is>
          <t>CSE</t>
        </is>
      </c>
      <c r="C6" s="16" t="inlineStr"/>
      <c r="D6" s="16" t="inlineStr"/>
      <c r="E6" s="16">
        <f>IFERROR(ROUND(D6/C6*100,1),"")</f>
        <v/>
      </c>
      <c r="F6" s="16" t="inlineStr"/>
      <c r="G6" s="16" t="inlineStr"/>
      <c r="H6" s="16" t="inlineStr"/>
      <c r="I6" s="16" t="inlineStr"/>
    </row>
    <row r="7" ht="22" customHeight="1">
      <c r="B7" s="10" t="inlineStr">
        <is>
          <t>ECE</t>
        </is>
      </c>
      <c r="C7" s="10" t="inlineStr"/>
      <c r="D7" s="10" t="inlineStr"/>
      <c r="E7" s="10">
        <f>IFERROR(ROUND(D7/C7*100,1),"")</f>
        <v/>
      </c>
      <c r="F7" s="10" t="inlineStr"/>
      <c r="G7" s="10" t="inlineStr"/>
      <c r="H7" s="10" t="inlineStr"/>
      <c r="I7" s="10" t="inlineStr"/>
    </row>
    <row r="8" ht="22" customHeight="1">
      <c r="B8" s="16" t="inlineStr">
        <is>
          <t>EEE</t>
        </is>
      </c>
      <c r="C8" s="16" t="inlineStr"/>
      <c r="D8" s="16" t="inlineStr"/>
      <c r="E8" s="16">
        <f>IFERROR(ROUND(D8/C8*100,1),"")</f>
        <v/>
      </c>
      <c r="F8" s="16" t="inlineStr"/>
      <c r="G8" s="16" t="inlineStr"/>
      <c r="H8" s="16" t="inlineStr"/>
      <c r="I8" s="16" t="inlineStr"/>
    </row>
    <row r="9" ht="22" customHeight="1">
      <c r="B9" s="10" t="inlineStr">
        <is>
          <t>MECH</t>
        </is>
      </c>
      <c r="C9" s="10" t="inlineStr"/>
      <c r="D9" s="10" t="inlineStr"/>
      <c r="E9" s="10">
        <f>IFERROR(ROUND(D9/C9*100,1),"")</f>
        <v/>
      </c>
      <c r="F9" s="10" t="inlineStr"/>
      <c r="G9" s="10" t="inlineStr"/>
      <c r="H9" s="10" t="inlineStr"/>
      <c r="I9" s="10" t="inlineStr"/>
    </row>
    <row r="10" ht="22" customHeight="1">
      <c r="B10" s="16" t="inlineStr">
        <is>
          <t>CIVIL</t>
        </is>
      </c>
      <c r="C10" s="16" t="inlineStr"/>
      <c r="D10" s="16" t="inlineStr"/>
      <c r="E10" s="16">
        <f>IFERROR(ROUND(D10/C10*100,1),"")</f>
        <v/>
      </c>
      <c r="F10" s="16" t="inlineStr"/>
      <c r="G10" s="16" t="inlineStr"/>
      <c r="H10" s="16" t="inlineStr"/>
      <c r="I10" s="16" t="inlineStr"/>
    </row>
    <row r="11" ht="22" customHeight="1">
      <c r="B11" s="10" t="inlineStr">
        <is>
          <t>S&amp;H</t>
        </is>
      </c>
      <c r="C11" s="10" t="inlineStr"/>
      <c r="D11" s="10" t="inlineStr"/>
      <c r="E11" s="10">
        <f>IFERROR(ROUND(D11/C11*100,1),"")</f>
        <v/>
      </c>
      <c r="F11" s="10" t="inlineStr"/>
      <c r="G11" s="10" t="inlineStr"/>
      <c r="H11" s="10" t="inlineStr"/>
      <c r="I11" s="10" t="inlineStr"/>
    </row>
    <row r="12" ht="22" customHeight="1">
      <c r="B12" s="16" t="inlineStr">
        <is>
          <t>MBA</t>
        </is>
      </c>
      <c r="C12" s="16" t="inlineStr"/>
      <c r="D12" s="16" t="inlineStr"/>
      <c r="E12" s="16">
        <f>IFERROR(ROUND(D12/C12*100,1),"")</f>
        <v/>
      </c>
      <c r="F12" s="16" t="inlineStr"/>
      <c r="G12" s="16" t="inlineStr"/>
      <c r="H12" s="16" t="inlineStr"/>
      <c r="I12" s="16" t="inlineStr"/>
    </row>
    <row r="13" ht="22" customHeight="1">
      <c r="B13" s="10" t="inlineStr">
        <is>
          <t>MCA</t>
        </is>
      </c>
      <c r="C13" s="10" t="inlineStr"/>
      <c r="D13" s="10" t="inlineStr"/>
      <c r="E13" s="10">
        <f>IFERROR(ROUND(D13/C13*100,1),"")</f>
        <v/>
      </c>
      <c r="F13" s="10" t="inlineStr"/>
      <c r="G13" s="10" t="inlineStr"/>
      <c r="H13" s="10" t="inlineStr"/>
      <c r="I13" s="10" t="inlineStr"/>
    </row>
    <row r="14" ht="22" customHeight="1">
      <c r="B14" s="47" t="inlineStr">
        <is>
          <t>INSTITUTION</t>
        </is>
      </c>
      <c r="C14" s="47" t="inlineStr"/>
      <c r="D14" s="47" t="inlineStr"/>
      <c r="E14" s="47">
        <f>IFERROR(ROUND(D14/C14*100,1),"")</f>
        <v/>
      </c>
      <c r="F14" s="47" t="inlineStr"/>
      <c r="G14" s="47" t="inlineStr"/>
      <c r="H14" s="47" t="inlineStr"/>
      <c r="I14" s="47" t="inlineStr"/>
    </row>
    <row r="15" ht="22" customHeight="1"/>
    <row r="16" ht="24" customHeight="1">
      <c r="B16" s="34" t="inlineStr">
        <is>
          <t>STUDENT USAGE METRICS</t>
        </is>
      </c>
    </row>
    <row r="17" ht="22" customHeight="1">
      <c r="B17" s="30" t="inlineStr">
        <is>
          <t>Department</t>
        </is>
      </c>
      <c r="C17" s="30" t="inlineStr">
        <is>
          <t>Total
Students</t>
        </is>
      </c>
      <c r="D17" s="30" t="inlineStr">
        <is>
          <t>Enrolled
on LMS</t>
        </is>
      </c>
      <c r="E17" s="30" t="inlineStr">
        <is>
          <t>Active
Learners</t>
        </is>
      </c>
      <c r="F17" s="30" t="inlineStr">
        <is>
          <t>Enrolment
%</t>
        </is>
      </c>
      <c r="G17" s="30" t="inlineStr">
        <is>
          <t>Avg. Logins
/ Week</t>
        </is>
      </c>
      <c r="H17" s="30" t="inlineStr">
        <is>
          <t>Assignment
Submission %</t>
        </is>
      </c>
      <c r="I17" s="30" t="inlineStr">
        <is>
          <t>Quiz
Participation %</t>
        </is>
      </c>
    </row>
    <row r="18" ht="22" customHeight="1">
      <c r="B18" s="33" t="inlineStr">
        <is>
          <t>CSE</t>
        </is>
      </c>
      <c r="C18" s="33" t="inlineStr"/>
      <c r="D18" s="33" t="inlineStr"/>
      <c r="E18" s="33" t="inlineStr"/>
      <c r="F18" s="33">
        <f>IFERROR(ROUND(D18/C18*100,1),"")</f>
        <v/>
      </c>
      <c r="G18" s="33" t="inlineStr"/>
      <c r="H18" s="33" t="inlineStr"/>
      <c r="I18" s="33" t="inlineStr"/>
    </row>
    <row r="19" ht="22" customHeight="1">
      <c r="B19" s="10" t="inlineStr">
        <is>
          <t>ECE</t>
        </is>
      </c>
      <c r="C19" s="10" t="inlineStr"/>
      <c r="D19" s="10" t="inlineStr"/>
      <c r="E19" s="10" t="inlineStr"/>
      <c r="F19" s="10">
        <f>IFERROR(ROUND(D19/C19*100,1),"")</f>
        <v/>
      </c>
      <c r="G19" s="10" t="inlineStr"/>
      <c r="H19" s="10" t="inlineStr"/>
      <c r="I19" s="10" t="inlineStr"/>
    </row>
    <row r="20" ht="22" customHeight="1">
      <c r="B20" s="33" t="inlineStr">
        <is>
          <t>EEE</t>
        </is>
      </c>
      <c r="C20" s="33" t="inlineStr"/>
      <c r="D20" s="33" t="inlineStr"/>
      <c r="E20" s="33" t="inlineStr"/>
      <c r="F20" s="33">
        <f>IFERROR(ROUND(D20/C20*100,1),"")</f>
        <v/>
      </c>
      <c r="G20" s="33" t="inlineStr"/>
      <c r="H20" s="33" t="inlineStr"/>
      <c r="I20" s="33" t="inlineStr"/>
    </row>
    <row r="21" ht="22" customHeight="1">
      <c r="B21" s="10" t="inlineStr">
        <is>
          <t>MECH</t>
        </is>
      </c>
      <c r="C21" s="10" t="inlineStr"/>
      <c r="D21" s="10" t="inlineStr"/>
      <c r="E21" s="10" t="inlineStr"/>
      <c r="F21" s="10">
        <f>IFERROR(ROUND(D21/C21*100,1),"")</f>
        <v/>
      </c>
      <c r="G21" s="10" t="inlineStr"/>
      <c r="H21" s="10" t="inlineStr"/>
      <c r="I21" s="10" t="inlineStr"/>
    </row>
    <row r="22" ht="22" customHeight="1">
      <c r="B22" s="33" t="inlineStr">
        <is>
          <t>CIVIL</t>
        </is>
      </c>
      <c r="C22" s="33" t="inlineStr"/>
      <c r="D22" s="33" t="inlineStr"/>
      <c r="E22" s="33" t="inlineStr"/>
      <c r="F22" s="33">
        <f>IFERROR(ROUND(D22/C22*100,1),"")</f>
        <v/>
      </c>
      <c r="G22" s="33" t="inlineStr"/>
      <c r="H22" s="33" t="inlineStr"/>
      <c r="I22" s="33" t="inlineStr"/>
    </row>
    <row r="23" ht="22" customHeight="1">
      <c r="B23" s="10" t="inlineStr">
        <is>
          <t>S&amp;H</t>
        </is>
      </c>
      <c r="C23" s="10" t="inlineStr"/>
      <c r="D23" s="10" t="inlineStr"/>
      <c r="E23" s="10" t="inlineStr"/>
      <c r="F23" s="10">
        <f>IFERROR(ROUND(D23/C23*100,1),"")</f>
        <v/>
      </c>
      <c r="G23" s="10" t="inlineStr"/>
      <c r="H23" s="10" t="inlineStr"/>
      <c r="I23" s="10" t="inlineStr"/>
    </row>
    <row r="24" ht="22" customHeight="1">
      <c r="B24" s="33" t="inlineStr">
        <is>
          <t>MBA</t>
        </is>
      </c>
      <c r="C24" s="33" t="inlineStr"/>
      <c r="D24" s="33" t="inlineStr"/>
      <c r="E24" s="33" t="inlineStr"/>
      <c r="F24" s="33">
        <f>IFERROR(ROUND(D24/C24*100,1),"")</f>
        <v/>
      </c>
      <c r="G24" s="33" t="inlineStr"/>
      <c r="H24" s="33" t="inlineStr"/>
      <c r="I24" s="33" t="inlineStr"/>
    </row>
    <row r="25" ht="22" customHeight="1">
      <c r="B25" s="10" t="inlineStr">
        <is>
          <t>MCA</t>
        </is>
      </c>
      <c r="C25" s="10" t="inlineStr"/>
      <c r="D25" s="10" t="inlineStr"/>
      <c r="E25" s="10" t="inlineStr"/>
      <c r="F25" s="10">
        <f>IFERROR(ROUND(D25/C25*100,1),"")</f>
        <v/>
      </c>
      <c r="G25" s="10" t="inlineStr"/>
      <c r="H25" s="10" t="inlineStr"/>
      <c r="I25" s="10" t="inlineStr"/>
    </row>
    <row r="26" ht="22" customHeight="1">
      <c r="B26" s="47" t="inlineStr">
        <is>
          <t>INSTITUTION</t>
        </is>
      </c>
      <c r="C26" s="47" t="inlineStr"/>
      <c r="D26" s="47" t="inlineStr"/>
      <c r="E26" s="47" t="inlineStr"/>
      <c r="F26" s="47">
        <f>IFERROR(ROUND(D26/C26*100,1),"")</f>
        <v/>
      </c>
      <c r="G26" s="47" t="inlineStr"/>
      <c r="H26" s="47" t="inlineStr"/>
      <c r="I26" s="47" t="inlineStr"/>
    </row>
    <row r="27" ht="22" customHeight="1"/>
    <row r="28" ht="24" customHeight="1">
      <c r="B28" s="49" t="inlineStr">
        <is>
          <t>LMS CONTENT QUALITY &amp; COMPLETENESS</t>
        </is>
      </c>
    </row>
    <row r="29" ht="22" customHeight="1">
      <c r="B29" s="50" t="inlineStr">
        <is>
          <t>Quality Dimension</t>
        </is>
      </c>
      <c r="C29" s="50" t="inlineStr">
        <is>
          <t>Target</t>
        </is>
      </c>
      <c r="D29" s="50" t="inlineStr">
        <is>
          <t>Current Status</t>
        </is>
      </c>
      <c r="E29" s="50" t="inlineStr">
        <is>
          <t>% Compliance</t>
        </is>
      </c>
      <c r="F29" s="50" t="inlineStr">
        <is>
          <t>Courses
Meeting Target</t>
        </is>
      </c>
      <c r="G29" s="50" t="inlineStr">
        <is>
          <t>Courses
Below Target</t>
        </is>
      </c>
      <c r="H29" s="50" t="inlineStr">
        <is>
          <t>Action Required</t>
        </is>
      </c>
      <c r="I29" s="50" t="inlineStr">
        <is>
          <t>Priority</t>
        </is>
      </c>
    </row>
    <row r="30" ht="22" customHeight="1">
      <c r="B30" s="66" t="inlineStr">
        <is>
          <t>Videos available for all units</t>
        </is>
      </c>
      <c r="C30" s="53" t="inlineStr">
        <is>
          <t>100% courses</t>
        </is>
      </c>
      <c r="D30" s="53" t="inlineStr"/>
      <c r="E30" s="53" t="inlineStr"/>
      <c r="F30" s="53" t="inlineStr"/>
      <c r="G30" s="53" t="inlineStr"/>
      <c r="H30" s="52" t="inlineStr"/>
      <c r="I30" s="53" t="inlineStr">
        <is>
          <t>M</t>
        </is>
      </c>
    </row>
    <row r="31" ht="22" customHeight="1">
      <c r="B31" s="25" t="inlineStr">
        <is>
          <t>Quizzes — min 2 per course</t>
        </is>
      </c>
      <c r="C31" s="10" t="inlineStr">
        <is>
          <t>100% courses</t>
        </is>
      </c>
      <c r="D31" s="10" t="inlineStr"/>
      <c r="E31" s="10" t="inlineStr"/>
      <c r="F31" s="10" t="inlineStr"/>
      <c r="G31" s="10" t="inlineStr"/>
      <c r="H31" s="9" t="inlineStr"/>
      <c r="I31" s="10" t="inlineStr">
        <is>
          <t>M</t>
        </is>
      </c>
    </row>
    <row r="32" ht="22" customHeight="1">
      <c r="B32" s="66" t="inlineStr">
        <is>
          <t>Assignments digitised</t>
        </is>
      </c>
      <c r="C32" s="53" t="inlineStr">
        <is>
          <t>100% courses</t>
        </is>
      </c>
      <c r="D32" s="53" t="inlineStr"/>
      <c r="E32" s="53" t="inlineStr"/>
      <c r="F32" s="53" t="inlineStr"/>
      <c r="G32" s="53" t="inlineStr"/>
      <c r="H32" s="52" t="inlineStr"/>
      <c r="I32" s="53" t="inlineStr">
        <is>
          <t>M</t>
        </is>
      </c>
    </row>
    <row r="33" ht="22" customHeight="1">
      <c r="B33" s="25" t="inlineStr">
        <is>
          <t>CO-content mapping done</t>
        </is>
      </c>
      <c r="C33" s="10" t="inlineStr">
        <is>
          <t>100% courses</t>
        </is>
      </c>
      <c r="D33" s="10" t="inlineStr"/>
      <c r="E33" s="10" t="inlineStr"/>
      <c r="F33" s="10" t="inlineStr"/>
      <c r="G33" s="10" t="inlineStr"/>
      <c r="H33" s="9" t="inlineStr"/>
      <c r="I33" s="10" t="inlineStr">
        <is>
          <t>M</t>
        </is>
      </c>
    </row>
    <row r="34" ht="22" customHeight="1">
      <c r="B34" s="66" t="inlineStr">
        <is>
          <t>Content updated this semester</t>
        </is>
      </c>
      <c r="C34" s="53" t="inlineStr">
        <is>
          <t>100% courses</t>
        </is>
      </c>
      <c r="D34" s="53" t="inlineStr"/>
      <c r="E34" s="53" t="inlineStr"/>
      <c r="F34" s="53" t="inlineStr"/>
      <c r="G34" s="53" t="inlineStr"/>
      <c r="H34" s="52" t="inlineStr"/>
      <c r="I34" s="53" t="inlineStr">
        <is>
          <t>M</t>
        </is>
      </c>
    </row>
    <row r="35" ht="22" customHeight="1">
      <c r="B35" s="25" t="inlineStr">
        <is>
          <t>Faculty response time &lt; 48 hrs</t>
        </is>
      </c>
      <c r="C35" s="10" t="inlineStr">
        <is>
          <t>100% courses</t>
        </is>
      </c>
      <c r="D35" s="10" t="inlineStr"/>
      <c r="E35" s="10" t="inlineStr"/>
      <c r="F35" s="10" t="inlineStr"/>
      <c r="G35" s="10" t="inlineStr"/>
      <c r="H35" s="9" t="inlineStr"/>
      <c r="I35" s="10" t="inlineStr">
        <is>
          <t>M</t>
        </is>
      </c>
    </row>
    <row r="36" ht="22" customHeight="1">
      <c r="B36" s="66" t="inlineStr">
        <is>
          <t>Accessibility compliance (captions etc.)</t>
        </is>
      </c>
      <c r="C36" s="53" t="inlineStr">
        <is>
          <t>80% content</t>
        </is>
      </c>
      <c r="D36" s="53" t="inlineStr"/>
      <c r="E36" s="53" t="inlineStr"/>
      <c r="F36" s="53" t="inlineStr"/>
      <c r="G36" s="53" t="inlineStr"/>
      <c r="H36" s="52" t="inlineStr"/>
      <c r="I36" s="53" t="inlineStr">
        <is>
          <t>M</t>
        </is>
      </c>
    </row>
    <row r="37" ht="22" customHeight="1">
      <c r="B37" s="25" t="inlineStr">
        <is>
          <t>Average learner rating ≥ 3.5/5</t>
        </is>
      </c>
      <c r="C37" s="10" t="inlineStr">
        <is>
          <t>All courses</t>
        </is>
      </c>
      <c r="D37" s="10" t="inlineStr"/>
      <c r="E37" s="10" t="inlineStr"/>
      <c r="F37" s="10" t="inlineStr"/>
      <c r="G37" s="10" t="inlineStr"/>
      <c r="H37" s="9" t="inlineStr"/>
      <c r="I37" s="10" t="inlineStr">
        <is>
          <t>M</t>
        </is>
      </c>
    </row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</sheetData>
  <mergeCells count="5">
    <mergeCell ref="B16:I16"/>
    <mergeCell ref="B2:I2"/>
    <mergeCell ref="B28:I28"/>
    <mergeCell ref="B3:I3"/>
    <mergeCell ref="B4:I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K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" customWidth="1" min="12" max="12"/>
  </cols>
  <sheetData>
    <row r="1" ht="10" customHeight="1"/>
    <row r="2" ht="48" customHeight="1">
      <c r="B2" s="12" t="inlineStr">
        <is>
          <t>ICT-27: MOOC / SWAYAM / NPTEL / ONLINE COURSE ENROLMENT REGISTER</t>
        </is>
      </c>
    </row>
    <row r="3" ht="25" customHeight="1">
      <c r="B3" s="2" t="inlineStr">
        <is>
          <t>Semester: _______  A.Y.: _______  MOOC Coordinator: ___________________  NAAC Criterion II.3 / VI.2</t>
        </is>
      </c>
    </row>
    <row r="4" ht="25" customHeight="1">
      <c r="B4" s="13" t="inlineStr">
        <is>
          <t>Enrolment
Ref.</t>
        </is>
      </c>
      <c r="C4" s="13" t="inlineStr">
        <is>
          <t>Student Name / ID</t>
        </is>
      </c>
      <c r="D4" s="13" t="inlineStr">
        <is>
          <t>Course Title</t>
        </is>
      </c>
      <c r="E4" s="13" t="inlineStr">
        <is>
          <t>Platform</t>
        </is>
      </c>
      <c r="F4" s="13" t="inlineStr">
        <is>
          <t>Duration
(Weeks)</t>
        </is>
      </c>
      <c r="G4" s="13" t="inlineStr">
        <is>
          <t>Enrolment
Date</t>
        </is>
      </c>
      <c r="H4" s="13" t="inlineStr">
        <is>
          <t>Completion
Date</t>
        </is>
      </c>
      <c r="I4" s="13" t="inlineStr">
        <is>
          <t>Certificate
Received</t>
        </is>
      </c>
      <c r="J4" s="13" t="inlineStr">
        <is>
          <t>Credits
Awarded</t>
        </is>
      </c>
      <c r="K4" s="13" t="inlineStr">
        <is>
          <t>Mapped to
Curriculum</t>
        </is>
      </c>
    </row>
    <row r="5" ht="22" customHeight="1">
      <c r="B5" s="14" t="inlineStr">
        <is>
          <t>MOOC/2024/0001</t>
        </is>
      </c>
      <c r="C5" s="15" t="inlineStr"/>
      <c r="D5" s="15" t="inlineStr"/>
      <c r="E5" s="16" t="inlineStr">
        <is>
          <t>SWAYAM (NPTEL)</t>
        </is>
      </c>
      <c r="F5" s="16" t="inlineStr"/>
      <c r="G5" s="16" t="inlineStr"/>
      <c r="H5" s="16" t="inlineStr"/>
      <c r="I5" s="16" t="inlineStr">
        <is>
          <t>Y</t>
        </is>
      </c>
      <c r="J5" s="16" t="inlineStr"/>
      <c r="K5" s="16" t="inlineStr">
        <is>
          <t>Y</t>
        </is>
      </c>
    </row>
    <row r="6" ht="22" customHeight="1">
      <c r="B6" s="8" t="inlineStr">
        <is>
          <t>MOOC/2024/0002</t>
        </is>
      </c>
      <c r="C6" s="9" t="inlineStr"/>
      <c r="D6" s="9" t="inlineStr"/>
      <c r="E6" s="10" t="inlineStr">
        <is>
          <t>SWAYAM (Non-NPTEL)</t>
        </is>
      </c>
      <c r="F6" s="10" t="inlineStr"/>
      <c r="G6" s="10" t="inlineStr"/>
      <c r="H6" s="10" t="inlineStr"/>
      <c r="I6" s="10" t="inlineStr">
        <is>
          <t>Y</t>
        </is>
      </c>
      <c r="J6" s="10" t="inlineStr"/>
      <c r="K6" s="10" t="inlineStr">
        <is>
          <t>Y</t>
        </is>
      </c>
    </row>
    <row r="7" ht="22" customHeight="1">
      <c r="B7" s="14" t="inlineStr">
        <is>
          <t>MOOC/2024/0003</t>
        </is>
      </c>
      <c r="C7" s="15" t="inlineStr"/>
      <c r="D7" s="15" t="inlineStr"/>
      <c r="E7" s="16" t="inlineStr">
        <is>
          <t>Coursera</t>
        </is>
      </c>
      <c r="F7" s="16" t="inlineStr"/>
      <c r="G7" s="16" t="inlineStr"/>
      <c r="H7" s="16" t="inlineStr"/>
      <c r="I7" s="16" t="inlineStr">
        <is>
          <t>Y</t>
        </is>
      </c>
      <c r="J7" s="16" t="inlineStr"/>
      <c r="K7" s="16" t="inlineStr">
        <is>
          <t>Y</t>
        </is>
      </c>
    </row>
    <row r="8" ht="22" customHeight="1">
      <c r="B8" s="8" t="inlineStr">
        <is>
          <t>MOOC/2024/0004</t>
        </is>
      </c>
      <c r="C8" s="9" t="inlineStr"/>
      <c r="D8" s="9" t="inlineStr"/>
      <c r="E8" s="10" t="inlineStr">
        <is>
          <t>edX</t>
        </is>
      </c>
      <c r="F8" s="10" t="inlineStr"/>
      <c r="G8" s="10" t="inlineStr"/>
      <c r="H8" s="10" t="inlineStr"/>
      <c r="I8" s="10" t="inlineStr">
        <is>
          <t>Y</t>
        </is>
      </c>
      <c r="J8" s="10" t="inlineStr"/>
      <c r="K8" s="10" t="inlineStr">
        <is>
          <t>Y</t>
        </is>
      </c>
    </row>
    <row r="9" ht="22" customHeight="1">
      <c r="B9" s="14" t="inlineStr">
        <is>
          <t>MOOC/2024/0005</t>
        </is>
      </c>
      <c r="C9" s="15" t="inlineStr"/>
      <c r="D9" s="15" t="inlineStr"/>
      <c r="E9" s="16" t="inlineStr">
        <is>
          <t>Udemy</t>
        </is>
      </c>
      <c r="F9" s="16" t="inlineStr"/>
      <c r="G9" s="16" t="inlineStr"/>
      <c r="H9" s="16" t="inlineStr"/>
      <c r="I9" s="16" t="inlineStr">
        <is>
          <t>Y</t>
        </is>
      </c>
      <c r="J9" s="16" t="inlineStr"/>
      <c r="K9" s="16" t="inlineStr">
        <is>
          <t>Y</t>
        </is>
      </c>
    </row>
    <row r="10" ht="22" customHeight="1">
      <c r="B10" s="8" t="inlineStr">
        <is>
          <t>MOOC/2024/0006</t>
        </is>
      </c>
      <c r="C10" s="9" t="inlineStr"/>
      <c r="D10" s="9" t="inlineStr"/>
      <c r="E10" s="10" t="inlineStr">
        <is>
          <t>LinkedIn Learning</t>
        </is>
      </c>
      <c r="F10" s="10" t="inlineStr"/>
      <c r="G10" s="10" t="inlineStr"/>
      <c r="H10" s="10" t="inlineStr"/>
      <c r="I10" s="10" t="inlineStr">
        <is>
          <t>Y</t>
        </is>
      </c>
      <c r="J10" s="10" t="inlineStr"/>
      <c r="K10" s="10" t="inlineStr">
        <is>
          <t>Y</t>
        </is>
      </c>
    </row>
    <row r="11" ht="22" customHeight="1">
      <c r="B11" s="14" t="inlineStr">
        <is>
          <t>MOOC/2024/0007</t>
        </is>
      </c>
      <c r="C11" s="15" t="inlineStr"/>
      <c r="D11" s="15" t="inlineStr"/>
      <c r="E11" s="16" t="inlineStr">
        <is>
          <t>Google Digital Garage</t>
        </is>
      </c>
      <c r="F11" s="16" t="inlineStr"/>
      <c r="G11" s="16" t="inlineStr"/>
      <c r="H11" s="16" t="inlineStr"/>
      <c r="I11" s="16" t="inlineStr">
        <is>
          <t>Y</t>
        </is>
      </c>
      <c r="J11" s="16" t="inlineStr"/>
      <c r="K11" s="16" t="inlineStr">
        <is>
          <t>Y</t>
        </is>
      </c>
    </row>
    <row r="12" ht="22" customHeight="1">
      <c r="B12" s="8" t="inlineStr">
        <is>
          <t>MOOC/2024/0008</t>
        </is>
      </c>
      <c r="C12" s="9" t="inlineStr"/>
      <c r="D12" s="9" t="inlineStr"/>
      <c r="E12" s="10" t="inlineStr">
        <is>
          <t>Microsoft Learn</t>
        </is>
      </c>
      <c r="F12" s="10" t="inlineStr"/>
      <c r="G12" s="10" t="inlineStr"/>
      <c r="H12" s="10" t="inlineStr"/>
      <c r="I12" s="10" t="inlineStr">
        <is>
          <t>Y</t>
        </is>
      </c>
      <c r="J12" s="10" t="inlineStr"/>
      <c r="K12" s="10" t="inlineStr">
        <is>
          <t>Y</t>
        </is>
      </c>
    </row>
    <row r="13" ht="22" customHeight="1">
      <c r="B13" s="14" t="inlineStr">
        <is>
          <t>MOOC/2024/0009</t>
        </is>
      </c>
      <c r="C13" s="15" t="inlineStr"/>
      <c r="D13" s="15" t="inlineStr"/>
      <c r="E13" s="16" t="inlineStr">
        <is>
          <t>Amazon Skill Builder</t>
        </is>
      </c>
      <c r="F13" s="16" t="inlineStr"/>
      <c r="G13" s="16" t="inlineStr"/>
      <c r="H13" s="16" t="inlineStr"/>
      <c r="I13" s="16" t="inlineStr">
        <is>
          <t>Y</t>
        </is>
      </c>
      <c r="J13" s="16" t="inlineStr"/>
      <c r="K13" s="16" t="inlineStr">
        <is>
          <t>Y</t>
        </is>
      </c>
    </row>
    <row r="14" ht="22" customHeight="1">
      <c r="B14" s="8" t="inlineStr">
        <is>
          <t>MOOC/2024/0010</t>
        </is>
      </c>
      <c r="C14" s="9" t="inlineStr"/>
      <c r="D14" s="9" t="inlineStr"/>
      <c r="E14" s="10" t="inlineStr">
        <is>
          <t>Other MOOC</t>
        </is>
      </c>
      <c r="F14" s="10" t="inlineStr"/>
      <c r="G14" s="10" t="inlineStr"/>
      <c r="H14" s="10" t="inlineStr"/>
      <c r="I14" s="10" t="inlineStr">
        <is>
          <t>Y</t>
        </is>
      </c>
      <c r="J14" s="10" t="inlineStr"/>
      <c r="K14" s="10" t="inlineStr">
        <is>
          <t>Y</t>
        </is>
      </c>
    </row>
    <row r="15" ht="22" customHeight="1">
      <c r="B15" s="14" t="inlineStr">
        <is>
          <t>MOOC/2024/0011</t>
        </is>
      </c>
      <c r="C15" s="15" t="inlineStr"/>
      <c r="D15" s="15" t="inlineStr"/>
      <c r="E15" s="16" t="inlineStr">
        <is>
          <t>SWAYAM (NPTEL)</t>
        </is>
      </c>
      <c r="F15" s="16" t="inlineStr"/>
      <c r="G15" s="16" t="inlineStr"/>
      <c r="H15" s="16" t="inlineStr"/>
      <c r="I15" s="16" t="inlineStr">
        <is>
          <t>Y</t>
        </is>
      </c>
      <c r="J15" s="16" t="inlineStr"/>
      <c r="K15" s="16" t="inlineStr">
        <is>
          <t>Y</t>
        </is>
      </c>
    </row>
    <row r="16" ht="22" customHeight="1">
      <c r="B16" s="8" t="inlineStr">
        <is>
          <t>MOOC/2024/0012</t>
        </is>
      </c>
      <c r="C16" s="9" t="inlineStr"/>
      <c r="D16" s="9" t="inlineStr"/>
      <c r="E16" s="10" t="inlineStr">
        <is>
          <t>SWAYAM (Non-NPTEL)</t>
        </is>
      </c>
      <c r="F16" s="10" t="inlineStr"/>
      <c r="G16" s="10" t="inlineStr"/>
      <c r="H16" s="10" t="inlineStr"/>
      <c r="I16" s="10" t="inlineStr">
        <is>
          <t>Y</t>
        </is>
      </c>
      <c r="J16" s="10" t="inlineStr"/>
      <c r="K16" s="10" t="inlineStr">
        <is>
          <t>Y</t>
        </is>
      </c>
    </row>
    <row r="17" ht="22" customHeight="1">
      <c r="B17" s="14" t="inlineStr">
        <is>
          <t>MOOC/2024/0013</t>
        </is>
      </c>
      <c r="C17" s="15" t="inlineStr"/>
      <c r="D17" s="15" t="inlineStr"/>
      <c r="E17" s="16" t="inlineStr">
        <is>
          <t>Coursera</t>
        </is>
      </c>
      <c r="F17" s="16" t="inlineStr"/>
      <c r="G17" s="16" t="inlineStr"/>
      <c r="H17" s="16" t="inlineStr"/>
      <c r="I17" s="16" t="inlineStr">
        <is>
          <t>Y</t>
        </is>
      </c>
      <c r="J17" s="16" t="inlineStr"/>
      <c r="K17" s="16" t="inlineStr">
        <is>
          <t>Y</t>
        </is>
      </c>
    </row>
    <row r="18" ht="22" customHeight="1">
      <c r="B18" s="8" t="inlineStr">
        <is>
          <t>MOOC/2024/0014</t>
        </is>
      </c>
      <c r="C18" s="9" t="inlineStr"/>
      <c r="D18" s="9" t="inlineStr"/>
      <c r="E18" s="10" t="inlineStr">
        <is>
          <t>edX</t>
        </is>
      </c>
      <c r="F18" s="10" t="inlineStr"/>
      <c r="G18" s="10" t="inlineStr"/>
      <c r="H18" s="10" t="inlineStr"/>
      <c r="I18" s="10" t="inlineStr">
        <is>
          <t>Y</t>
        </is>
      </c>
      <c r="J18" s="10" t="inlineStr"/>
      <c r="K18" s="10" t="inlineStr">
        <is>
          <t>Y</t>
        </is>
      </c>
    </row>
    <row r="19" ht="22" customHeight="1">
      <c r="B19" s="14" t="inlineStr">
        <is>
          <t>MOOC/2025/0015</t>
        </is>
      </c>
      <c r="C19" s="15" t="inlineStr"/>
      <c r="D19" s="15" t="inlineStr"/>
      <c r="E19" s="16" t="inlineStr">
        <is>
          <t>Udemy</t>
        </is>
      </c>
      <c r="F19" s="16" t="inlineStr"/>
      <c r="G19" s="16" t="inlineStr"/>
      <c r="H19" s="16" t="inlineStr"/>
      <c r="I19" s="16" t="inlineStr">
        <is>
          <t>Y</t>
        </is>
      </c>
      <c r="J19" s="16" t="inlineStr"/>
      <c r="K19" s="16" t="inlineStr">
        <is>
          <t>Y</t>
        </is>
      </c>
    </row>
    <row r="20" ht="22" customHeight="1">
      <c r="B20" s="8" t="inlineStr">
        <is>
          <t>MOOC/2025/0016</t>
        </is>
      </c>
      <c r="C20" s="9" t="inlineStr"/>
      <c r="D20" s="9" t="inlineStr"/>
      <c r="E20" s="10" t="inlineStr">
        <is>
          <t>LinkedIn Learning</t>
        </is>
      </c>
      <c r="F20" s="10" t="inlineStr"/>
      <c r="G20" s="10" t="inlineStr"/>
      <c r="H20" s="10" t="inlineStr"/>
      <c r="I20" s="10" t="inlineStr">
        <is>
          <t>Y</t>
        </is>
      </c>
      <c r="J20" s="10" t="inlineStr"/>
      <c r="K20" s="10" t="inlineStr">
        <is>
          <t>Y</t>
        </is>
      </c>
    </row>
    <row r="21" ht="22" customHeight="1">
      <c r="B21" s="14" t="inlineStr">
        <is>
          <t>MOOC/2025/0017</t>
        </is>
      </c>
      <c r="C21" s="15" t="inlineStr"/>
      <c r="D21" s="15" t="inlineStr"/>
      <c r="E21" s="16" t="inlineStr">
        <is>
          <t>Google Digital Garage</t>
        </is>
      </c>
      <c r="F21" s="16" t="inlineStr"/>
      <c r="G21" s="16" t="inlineStr"/>
      <c r="H21" s="16" t="inlineStr"/>
      <c r="I21" s="16" t="inlineStr">
        <is>
          <t>Y</t>
        </is>
      </c>
      <c r="J21" s="16" t="inlineStr"/>
      <c r="K21" s="16" t="inlineStr">
        <is>
          <t>Y</t>
        </is>
      </c>
    </row>
    <row r="22" ht="22" customHeight="1">
      <c r="B22" s="8" t="inlineStr">
        <is>
          <t>MOOC/2025/0018</t>
        </is>
      </c>
      <c r="C22" s="9" t="inlineStr"/>
      <c r="D22" s="9" t="inlineStr"/>
      <c r="E22" s="10" t="inlineStr">
        <is>
          <t>Microsoft Learn</t>
        </is>
      </c>
      <c r="F22" s="10" t="inlineStr"/>
      <c r="G22" s="10" t="inlineStr"/>
      <c r="H22" s="10" t="inlineStr"/>
      <c r="I22" s="10" t="inlineStr">
        <is>
          <t>Y</t>
        </is>
      </c>
      <c r="J22" s="10" t="inlineStr"/>
      <c r="K22" s="10" t="inlineStr">
        <is>
          <t>Y</t>
        </is>
      </c>
    </row>
    <row r="23" ht="22" customHeight="1">
      <c r="B23" s="14" t="inlineStr">
        <is>
          <t>MOOC/2025/0019</t>
        </is>
      </c>
      <c r="C23" s="15" t="inlineStr"/>
      <c r="D23" s="15" t="inlineStr"/>
      <c r="E23" s="16" t="inlineStr">
        <is>
          <t>Amazon Skill Builder</t>
        </is>
      </c>
      <c r="F23" s="16" t="inlineStr"/>
      <c r="G23" s="16" t="inlineStr"/>
      <c r="H23" s="16" t="inlineStr"/>
      <c r="I23" s="16" t="inlineStr">
        <is>
          <t>Y</t>
        </is>
      </c>
      <c r="J23" s="16" t="inlineStr"/>
      <c r="K23" s="16" t="inlineStr">
        <is>
          <t>Y</t>
        </is>
      </c>
    </row>
    <row r="24" ht="22" customHeight="1">
      <c r="B24" s="8" t="inlineStr">
        <is>
          <t>MOOC/2025/0020</t>
        </is>
      </c>
      <c r="C24" s="9" t="inlineStr"/>
      <c r="D24" s="9" t="inlineStr"/>
      <c r="E24" s="10" t="inlineStr">
        <is>
          <t>Other MOOC</t>
        </is>
      </c>
      <c r="F24" s="10" t="inlineStr"/>
      <c r="G24" s="10" t="inlineStr"/>
      <c r="H24" s="10" t="inlineStr"/>
      <c r="I24" s="10" t="inlineStr">
        <is>
          <t>Y</t>
        </is>
      </c>
      <c r="J24" s="10" t="inlineStr"/>
      <c r="K24" s="10" t="inlineStr">
        <is>
          <t>Y</t>
        </is>
      </c>
    </row>
    <row r="25" ht="22" customHeight="1">
      <c r="B25" s="14" t="inlineStr">
        <is>
          <t>MOOC/2025/0021</t>
        </is>
      </c>
      <c r="C25" s="15" t="inlineStr"/>
      <c r="D25" s="15" t="inlineStr"/>
      <c r="E25" s="16" t="inlineStr">
        <is>
          <t>SWAYAM (NPTEL)</t>
        </is>
      </c>
      <c r="F25" s="16" t="inlineStr"/>
      <c r="G25" s="16" t="inlineStr"/>
      <c r="H25" s="16" t="inlineStr"/>
      <c r="I25" s="16" t="inlineStr">
        <is>
          <t>Y</t>
        </is>
      </c>
      <c r="J25" s="16" t="inlineStr"/>
      <c r="K25" s="16" t="inlineStr">
        <is>
          <t>Y</t>
        </is>
      </c>
    </row>
    <row r="26" ht="22" customHeight="1">
      <c r="B26" s="8" t="inlineStr">
        <is>
          <t>MOOC/2025/0022</t>
        </is>
      </c>
      <c r="C26" s="9" t="inlineStr"/>
      <c r="D26" s="9" t="inlineStr"/>
      <c r="E26" s="10" t="inlineStr">
        <is>
          <t>SWAYAM (Non-NPTEL)</t>
        </is>
      </c>
      <c r="F26" s="10" t="inlineStr"/>
      <c r="G26" s="10" t="inlineStr"/>
      <c r="H26" s="10" t="inlineStr"/>
      <c r="I26" s="10" t="inlineStr">
        <is>
          <t>Y</t>
        </is>
      </c>
      <c r="J26" s="10" t="inlineStr"/>
      <c r="K26" s="10" t="inlineStr">
        <is>
          <t>Y</t>
        </is>
      </c>
    </row>
    <row r="27" ht="22" customHeight="1">
      <c r="B27" s="14" t="inlineStr">
        <is>
          <t>MOOC/2025/0023</t>
        </is>
      </c>
      <c r="C27" s="15" t="inlineStr"/>
      <c r="D27" s="15" t="inlineStr"/>
      <c r="E27" s="16" t="inlineStr">
        <is>
          <t>Coursera</t>
        </is>
      </c>
      <c r="F27" s="16" t="inlineStr"/>
      <c r="G27" s="16" t="inlineStr"/>
      <c r="H27" s="16" t="inlineStr"/>
      <c r="I27" s="16" t="inlineStr">
        <is>
          <t>Y</t>
        </is>
      </c>
      <c r="J27" s="16" t="inlineStr"/>
      <c r="K27" s="16" t="inlineStr">
        <is>
          <t>Y</t>
        </is>
      </c>
    </row>
    <row r="28" ht="22" customHeight="1">
      <c r="B28" s="8" t="inlineStr">
        <is>
          <t>MOOC/2025/0024</t>
        </is>
      </c>
      <c r="C28" s="9" t="inlineStr"/>
      <c r="D28" s="9" t="inlineStr"/>
      <c r="E28" s="10" t="inlineStr">
        <is>
          <t>edX</t>
        </is>
      </c>
      <c r="F28" s="10" t="inlineStr"/>
      <c r="G28" s="10" t="inlineStr"/>
      <c r="H28" s="10" t="inlineStr"/>
      <c r="I28" s="10" t="inlineStr">
        <is>
          <t>Y</t>
        </is>
      </c>
      <c r="J28" s="10" t="inlineStr"/>
      <c r="K28" s="10" t="inlineStr">
        <is>
          <t>Y</t>
        </is>
      </c>
    </row>
    <row r="29" ht="22" customHeight="1">
      <c r="B29" s="14" t="inlineStr">
        <is>
          <t>MOOC/2025/0025</t>
        </is>
      </c>
      <c r="C29" s="15" t="inlineStr"/>
      <c r="D29" s="15" t="inlineStr"/>
      <c r="E29" s="16" t="inlineStr">
        <is>
          <t>Udemy</t>
        </is>
      </c>
      <c r="F29" s="16" t="inlineStr"/>
      <c r="G29" s="16" t="inlineStr"/>
      <c r="H29" s="16" t="inlineStr"/>
      <c r="I29" s="16" t="inlineStr">
        <is>
          <t>Y</t>
        </is>
      </c>
      <c r="J29" s="16" t="inlineStr"/>
      <c r="K29" s="16" t="inlineStr">
        <is>
          <t>Y</t>
        </is>
      </c>
    </row>
    <row r="30" ht="22" customHeight="1">
      <c r="B30" s="8" t="inlineStr">
        <is>
          <t>MOOC/2025/0026</t>
        </is>
      </c>
      <c r="C30" s="9" t="inlineStr"/>
      <c r="D30" s="9" t="inlineStr"/>
      <c r="E30" s="10" t="inlineStr">
        <is>
          <t>LinkedIn Learning</t>
        </is>
      </c>
      <c r="F30" s="10" t="inlineStr"/>
      <c r="G30" s="10" t="inlineStr"/>
      <c r="H30" s="10" t="inlineStr"/>
      <c r="I30" s="10" t="inlineStr">
        <is>
          <t>Y</t>
        </is>
      </c>
      <c r="J30" s="10" t="inlineStr"/>
      <c r="K30" s="10" t="inlineStr">
        <is>
          <t>Y</t>
        </is>
      </c>
    </row>
    <row r="31" ht="22" customHeight="1">
      <c r="B31" s="14" t="inlineStr">
        <is>
          <t>MOOC/2025/0027</t>
        </is>
      </c>
      <c r="C31" s="15" t="inlineStr"/>
      <c r="D31" s="15" t="inlineStr"/>
      <c r="E31" s="16" t="inlineStr">
        <is>
          <t>Google Digital Garage</t>
        </is>
      </c>
      <c r="F31" s="16" t="inlineStr"/>
      <c r="G31" s="16" t="inlineStr"/>
      <c r="H31" s="16" t="inlineStr"/>
      <c r="I31" s="16" t="inlineStr">
        <is>
          <t>Y</t>
        </is>
      </c>
      <c r="J31" s="16" t="inlineStr"/>
      <c r="K31" s="16" t="inlineStr">
        <is>
          <t>Y</t>
        </is>
      </c>
    </row>
    <row r="32" ht="22" customHeight="1">
      <c r="B32" s="8" t="inlineStr">
        <is>
          <t>MOOC/2025/0028</t>
        </is>
      </c>
      <c r="C32" s="9" t="inlineStr"/>
      <c r="D32" s="9" t="inlineStr"/>
      <c r="E32" s="10" t="inlineStr">
        <is>
          <t>Microsoft Learn</t>
        </is>
      </c>
      <c r="F32" s="10" t="inlineStr"/>
      <c r="G32" s="10" t="inlineStr"/>
      <c r="H32" s="10" t="inlineStr"/>
      <c r="I32" s="10" t="inlineStr">
        <is>
          <t>Y</t>
        </is>
      </c>
      <c r="J32" s="10" t="inlineStr"/>
      <c r="K32" s="10" t="inlineStr">
        <is>
          <t>Y</t>
        </is>
      </c>
    </row>
    <row r="33" ht="22" customHeight="1"/>
    <row r="34" ht="24" customHeight="1">
      <c r="B34" s="34" t="inlineStr">
        <is>
          <t>MOOC ENROLMENT SUMMARY — PLATFORM-WISE</t>
        </is>
      </c>
    </row>
    <row r="35" ht="22" customHeight="1">
      <c r="B35" s="30" t="inlineStr">
        <is>
          <t>Platform</t>
        </is>
      </c>
      <c r="C35" s="30" t="inlineStr">
        <is>
          <t>Enrolments</t>
        </is>
      </c>
      <c r="D35" s="30" t="inlineStr">
        <is>
          <t>Completions</t>
        </is>
      </c>
      <c r="E35" s="30" t="inlineStr">
        <is>
          <t>Completion %</t>
        </is>
      </c>
      <c r="F35" s="30" t="inlineStr">
        <is>
          <t>Certificates</t>
        </is>
      </c>
      <c r="G35" s="30" t="inlineStr">
        <is>
          <t>Credits Mapped</t>
        </is>
      </c>
      <c r="H35" s="30" t="inlineStr">
        <is>
          <t>Dept. Top
Enrolling</t>
        </is>
      </c>
    </row>
    <row r="36" ht="22" customHeight="1">
      <c r="B36" s="35" t="inlineStr">
        <is>
          <t>SWAYAM (NPTEL)</t>
        </is>
      </c>
      <c r="C36" s="33" t="inlineStr"/>
      <c r="D36" s="33" t="inlineStr"/>
      <c r="E36" s="33">
        <f>IFERROR(ROUND(D36/C36*100,1),"")</f>
        <v/>
      </c>
      <c r="F36" s="33" t="inlineStr"/>
      <c r="G36" s="33" t="inlineStr"/>
      <c r="H36" s="32" t="inlineStr"/>
      <c r="I36" s="67" t="n"/>
      <c r="J36" s="67" t="n"/>
      <c r="K36" s="67" t="n"/>
    </row>
    <row r="37" ht="22" customHeight="1">
      <c r="B37" s="25" t="inlineStr">
        <is>
          <t>SWAYAM (Non-NPTEL)</t>
        </is>
      </c>
      <c r="C37" s="10" t="inlineStr"/>
      <c r="D37" s="10" t="inlineStr"/>
      <c r="E37" s="10">
        <f>IFERROR(ROUND(D37/C37*100,1),"")</f>
        <v/>
      </c>
      <c r="F37" s="10" t="inlineStr"/>
      <c r="G37" s="10" t="inlineStr"/>
      <c r="H37" s="9" t="inlineStr"/>
      <c r="I37" s="45" t="n"/>
      <c r="J37" s="45" t="n"/>
      <c r="K37" s="45" t="n"/>
    </row>
    <row r="38" ht="22" customHeight="1">
      <c r="B38" s="35" t="inlineStr">
        <is>
          <t>Coursera</t>
        </is>
      </c>
      <c r="C38" s="33" t="inlineStr"/>
      <c r="D38" s="33" t="inlineStr"/>
      <c r="E38" s="33">
        <f>IFERROR(ROUND(D38/C38*100,1),"")</f>
        <v/>
      </c>
      <c r="F38" s="33" t="inlineStr"/>
      <c r="G38" s="33" t="inlineStr"/>
      <c r="H38" s="32" t="inlineStr"/>
      <c r="I38" s="67" t="n"/>
      <c r="J38" s="67" t="n"/>
      <c r="K38" s="67" t="n"/>
    </row>
    <row r="39" ht="22" customHeight="1">
      <c r="B39" s="25" t="inlineStr">
        <is>
          <t>edX</t>
        </is>
      </c>
      <c r="C39" s="10" t="inlineStr"/>
      <c r="D39" s="10" t="inlineStr"/>
      <c r="E39" s="10">
        <f>IFERROR(ROUND(D39/C39*100,1),"")</f>
        <v/>
      </c>
      <c r="F39" s="10" t="inlineStr"/>
      <c r="G39" s="10" t="inlineStr"/>
      <c r="H39" s="9" t="inlineStr"/>
      <c r="I39" s="45" t="n"/>
      <c r="J39" s="45" t="n"/>
      <c r="K39" s="45" t="n"/>
    </row>
    <row r="40" ht="22" customHeight="1">
      <c r="B40" s="35" t="inlineStr">
        <is>
          <t>Udemy</t>
        </is>
      </c>
      <c r="C40" s="33" t="inlineStr"/>
      <c r="D40" s="33" t="inlineStr"/>
      <c r="E40" s="33">
        <f>IFERROR(ROUND(D40/C40*100,1),"")</f>
        <v/>
      </c>
      <c r="F40" s="33" t="inlineStr"/>
      <c r="G40" s="33" t="inlineStr"/>
      <c r="H40" s="32" t="inlineStr"/>
      <c r="I40" s="67" t="n"/>
      <c r="J40" s="67" t="n"/>
      <c r="K40" s="67" t="n"/>
    </row>
    <row r="41" ht="22" customHeight="1">
      <c r="B41" s="25" t="inlineStr">
        <is>
          <t>LinkedIn Learning</t>
        </is>
      </c>
      <c r="C41" s="10" t="inlineStr"/>
      <c r="D41" s="10" t="inlineStr"/>
      <c r="E41" s="10">
        <f>IFERROR(ROUND(D41/C41*100,1),"")</f>
        <v/>
      </c>
      <c r="F41" s="10" t="inlineStr"/>
      <c r="G41" s="10" t="inlineStr"/>
      <c r="H41" s="9" t="inlineStr"/>
      <c r="I41" s="45" t="n"/>
      <c r="J41" s="45" t="n"/>
      <c r="K41" s="45" t="n"/>
    </row>
    <row r="42">
      <c r="B42" s="35" t="inlineStr">
        <is>
          <t>Google Digital Garage</t>
        </is>
      </c>
      <c r="C42" s="33" t="inlineStr"/>
      <c r="D42" s="33" t="inlineStr"/>
      <c r="E42" s="33">
        <f>IFERROR(ROUND(D42/C42*100,1),"")</f>
        <v/>
      </c>
      <c r="F42" s="33" t="inlineStr"/>
      <c r="G42" s="33" t="inlineStr"/>
      <c r="H42" s="32" t="inlineStr"/>
      <c r="I42" s="67" t="n"/>
      <c r="J42" s="67" t="n"/>
      <c r="K42" s="67" t="n"/>
    </row>
    <row r="43">
      <c r="B43" s="25" t="inlineStr">
        <is>
          <t>Microsoft Learn</t>
        </is>
      </c>
      <c r="C43" s="10" t="inlineStr"/>
      <c r="D43" s="10" t="inlineStr"/>
      <c r="E43" s="10">
        <f>IFERROR(ROUND(D43/C43*100,1),"")</f>
        <v/>
      </c>
      <c r="F43" s="10" t="inlineStr"/>
      <c r="G43" s="10" t="inlineStr"/>
      <c r="H43" s="9" t="inlineStr"/>
      <c r="I43" s="45" t="n"/>
      <c r="J43" s="45" t="n"/>
      <c r="K43" s="45" t="n"/>
    </row>
    <row r="44">
      <c r="B44" s="35" t="inlineStr">
        <is>
          <t>Amazon Skill Builder</t>
        </is>
      </c>
      <c r="C44" s="33" t="inlineStr"/>
      <c r="D44" s="33" t="inlineStr"/>
      <c r="E44" s="33">
        <f>IFERROR(ROUND(D44/C44*100,1),"")</f>
        <v/>
      </c>
      <c r="F44" s="33" t="inlineStr"/>
      <c r="G44" s="33" t="inlineStr"/>
      <c r="H44" s="32" t="inlineStr"/>
      <c r="I44" s="67" t="n"/>
      <c r="J44" s="67" t="n"/>
      <c r="K44" s="67" t="n"/>
    </row>
    <row r="45">
      <c r="B45" s="25" t="inlineStr">
        <is>
          <t>Other MOOC</t>
        </is>
      </c>
      <c r="C45" s="10" t="inlineStr"/>
      <c r="D45" s="10" t="inlineStr"/>
      <c r="E45" s="10">
        <f>IFERROR(ROUND(D45/C45*100,1),"")</f>
        <v/>
      </c>
      <c r="F45" s="10" t="inlineStr"/>
      <c r="G45" s="10" t="inlineStr"/>
      <c r="H45" s="9" t="inlineStr"/>
      <c r="I45" s="45" t="n"/>
      <c r="J45" s="45" t="n"/>
      <c r="K45" s="45" t="n"/>
    </row>
  </sheetData>
  <mergeCells count="3">
    <mergeCell ref="B34:K34"/>
    <mergeCell ref="B3:K3"/>
    <mergeCell ref="B2:K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K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" customWidth="1" min="12" max="12"/>
  </cols>
  <sheetData>
    <row r="1" ht="10" customHeight="1"/>
    <row r="2" ht="48" customHeight="1">
      <c r="B2" s="12" t="inlineStr">
        <is>
          <t>ICT-29: COMPUTER LAB / ECAP FACILITY REGISTER</t>
        </is>
      </c>
    </row>
    <row r="3" ht="25" customHeight="1">
      <c r="B3" s="2" t="inlineStr">
        <is>
          <t>A.Y.: _______  ECAP / Lab In-charge: ___________________  Last Audit: _______</t>
        </is>
      </c>
    </row>
    <row r="4" ht="25" customHeight="1">
      <c r="B4" s="13" t="inlineStr">
        <is>
          <t>Lab
Ref.</t>
        </is>
      </c>
      <c r="C4" s="13" t="inlineStr">
        <is>
          <t>Lab Name / Location</t>
        </is>
      </c>
      <c r="D4" s="13" t="inlineStr">
        <is>
          <t>Total
Systems</t>
        </is>
      </c>
      <c r="E4" s="13" t="inlineStr">
        <is>
          <t>Working
Systems</t>
        </is>
      </c>
      <c r="F4" s="13" t="inlineStr">
        <is>
          <t>OS &amp;
Version</t>
        </is>
      </c>
      <c r="G4" s="13" t="inlineStr">
        <is>
          <t>Internet
(Y/N)</t>
        </is>
      </c>
      <c r="H4" s="13" t="inlineStr">
        <is>
          <t>Printer
(Y/N)</t>
        </is>
      </c>
      <c r="I4" s="13" t="inlineStr">
        <is>
          <t>Capacity
(Students)</t>
        </is>
      </c>
      <c r="J4" s="13" t="inlineStr">
        <is>
          <t>Primary
Subject</t>
        </is>
      </c>
      <c r="K4" s="13" t="inlineStr">
        <is>
          <t>Condition
(G/F/P)</t>
        </is>
      </c>
    </row>
    <row r="5" ht="22" customHeight="1">
      <c r="B5" s="14" t="inlineStr">
        <is>
          <t>LAB/01</t>
        </is>
      </c>
      <c r="C5" s="15" t="inlineStr">
        <is>
          <t>Computer Lab — I (CSE Dept.)</t>
        </is>
      </c>
      <c r="D5" s="16" t="inlineStr"/>
      <c r="E5" s="16" t="inlineStr"/>
      <c r="F5" s="16" t="inlineStr"/>
      <c r="G5" s="16" t="inlineStr">
        <is>
          <t>Y</t>
        </is>
      </c>
      <c r="H5" s="16" t="inlineStr">
        <is>
          <t>Y</t>
        </is>
      </c>
      <c r="I5" s="16" t="inlineStr"/>
      <c r="J5" s="16" t="inlineStr"/>
      <c r="K5" s="16" t="inlineStr">
        <is>
          <t>G</t>
        </is>
      </c>
    </row>
    <row r="6" ht="22" customHeight="1">
      <c r="B6" s="8" t="inlineStr">
        <is>
          <t>LAB/02</t>
        </is>
      </c>
      <c r="C6" s="9" t="inlineStr">
        <is>
          <t>Computer Lab — II (CSE Dept.)</t>
        </is>
      </c>
      <c r="D6" s="10" t="inlineStr"/>
      <c r="E6" s="10" t="inlineStr"/>
      <c r="F6" s="10" t="inlineStr"/>
      <c r="G6" s="10" t="inlineStr">
        <is>
          <t>Y</t>
        </is>
      </c>
      <c r="H6" s="10" t="inlineStr">
        <is>
          <t>Y</t>
        </is>
      </c>
      <c r="I6" s="10" t="inlineStr"/>
      <c r="J6" s="10" t="inlineStr"/>
      <c r="K6" s="10" t="inlineStr">
        <is>
          <t>G</t>
        </is>
      </c>
    </row>
    <row r="7" ht="22" customHeight="1">
      <c r="B7" s="14" t="inlineStr">
        <is>
          <t>LAB/03</t>
        </is>
      </c>
      <c r="C7" s="15" t="inlineStr">
        <is>
          <t>Computer Lab — III (ECE Dept.)</t>
        </is>
      </c>
      <c r="D7" s="16" t="inlineStr"/>
      <c r="E7" s="16" t="inlineStr"/>
      <c r="F7" s="16" t="inlineStr"/>
      <c r="G7" s="16" t="inlineStr">
        <is>
          <t>Y</t>
        </is>
      </c>
      <c r="H7" s="16" t="inlineStr">
        <is>
          <t>Y</t>
        </is>
      </c>
      <c r="I7" s="16" t="inlineStr"/>
      <c r="J7" s="16" t="inlineStr"/>
      <c r="K7" s="16" t="inlineStr">
        <is>
          <t>G</t>
        </is>
      </c>
    </row>
    <row r="8" ht="22" customHeight="1">
      <c r="B8" s="8" t="inlineStr">
        <is>
          <t>LAB/04</t>
        </is>
      </c>
      <c r="C8" s="9" t="inlineStr">
        <is>
          <t>IT Lab (General Purpose)</t>
        </is>
      </c>
      <c r="D8" s="10" t="inlineStr"/>
      <c r="E8" s="10" t="inlineStr"/>
      <c r="F8" s="10" t="inlineStr"/>
      <c r="G8" s="10" t="inlineStr">
        <is>
          <t>Y</t>
        </is>
      </c>
      <c r="H8" s="10" t="inlineStr">
        <is>
          <t>Y</t>
        </is>
      </c>
      <c r="I8" s="10" t="inlineStr"/>
      <c r="J8" s="10" t="inlineStr"/>
      <c r="K8" s="10" t="inlineStr">
        <is>
          <t>G</t>
        </is>
      </c>
    </row>
    <row r="9" ht="22" customHeight="1">
      <c r="B9" s="14" t="inlineStr">
        <is>
          <t>LAB/05</t>
        </is>
      </c>
      <c r="C9" s="15" t="inlineStr">
        <is>
          <t>Programming Lab</t>
        </is>
      </c>
      <c r="D9" s="16" t="inlineStr"/>
      <c r="E9" s="16" t="inlineStr"/>
      <c r="F9" s="16" t="inlineStr"/>
      <c r="G9" s="16" t="inlineStr">
        <is>
          <t>Y</t>
        </is>
      </c>
      <c r="H9" s="16" t="inlineStr">
        <is>
          <t>Y</t>
        </is>
      </c>
      <c r="I9" s="16" t="inlineStr"/>
      <c r="J9" s="16" t="inlineStr"/>
      <c r="K9" s="16" t="inlineStr">
        <is>
          <t>G</t>
        </is>
      </c>
    </row>
    <row r="10" ht="22" customHeight="1">
      <c r="B10" s="8" t="inlineStr">
        <is>
          <t>LAB/06</t>
        </is>
      </c>
      <c r="C10" s="9" t="inlineStr">
        <is>
          <t>Network Lab</t>
        </is>
      </c>
      <c r="D10" s="10" t="inlineStr"/>
      <c r="E10" s="10" t="inlineStr"/>
      <c r="F10" s="10" t="inlineStr"/>
      <c r="G10" s="10" t="inlineStr">
        <is>
          <t>Y</t>
        </is>
      </c>
      <c r="H10" s="10" t="inlineStr">
        <is>
          <t>Y</t>
        </is>
      </c>
      <c r="I10" s="10" t="inlineStr"/>
      <c r="J10" s="10" t="inlineStr"/>
      <c r="K10" s="10" t="inlineStr">
        <is>
          <t>G</t>
        </is>
      </c>
    </row>
    <row r="11" ht="22" customHeight="1">
      <c r="B11" s="14" t="inlineStr">
        <is>
          <t>LAB/07</t>
        </is>
      </c>
      <c r="C11" s="15" t="inlineStr">
        <is>
          <t>CAD Lab</t>
        </is>
      </c>
      <c r="D11" s="16" t="inlineStr"/>
      <c r="E11" s="16" t="inlineStr"/>
      <c r="F11" s="16" t="inlineStr"/>
      <c r="G11" s="16" t="inlineStr">
        <is>
          <t>Y</t>
        </is>
      </c>
      <c r="H11" s="16" t="inlineStr">
        <is>
          <t>Y</t>
        </is>
      </c>
      <c r="I11" s="16" t="inlineStr"/>
      <c r="J11" s="16" t="inlineStr"/>
      <c r="K11" s="16" t="inlineStr">
        <is>
          <t>G</t>
        </is>
      </c>
    </row>
    <row r="12" ht="22" customHeight="1">
      <c r="B12" s="8" t="inlineStr">
        <is>
          <t>LAB/08</t>
        </is>
      </c>
      <c r="C12" s="9" t="inlineStr">
        <is>
          <t>Multimedia / Design Lab</t>
        </is>
      </c>
      <c r="D12" s="10" t="inlineStr"/>
      <c r="E12" s="10" t="inlineStr"/>
      <c r="F12" s="10" t="inlineStr"/>
      <c r="G12" s="10" t="inlineStr">
        <is>
          <t>Y</t>
        </is>
      </c>
      <c r="H12" s="10" t="inlineStr">
        <is>
          <t>Y</t>
        </is>
      </c>
      <c r="I12" s="10" t="inlineStr"/>
      <c r="J12" s="10" t="inlineStr"/>
      <c r="K12" s="10" t="inlineStr">
        <is>
          <t>G</t>
        </is>
      </c>
    </row>
    <row r="13" ht="22" customHeight="1">
      <c r="B13" s="14" t="inlineStr">
        <is>
          <t>LAB/09</t>
        </is>
      </c>
      <c r="C13" s="15" t="inlineStr">
        <is>
          <t>Research Lab</t>
        </is>
      </c>
      <c r="D13" s="16" t="inlineStr"/>
      <c r="E13" s="16" t="inlineStr"/>
      <c r="F13" s="16" t="inlineStr"/>
      <c r="G13" s="16" t="inlineStr">
        <is>
          <t>Y</t>
        </is>
      </c>
      <c r="H13" s="16" t="inlineStr">
        <is>
          <t>Y</t>
        </is>
      </c>
      <c r="I13" s="16" t="inlineStr"/>
      <c r="J13" s="16" t="inlineStr"/>
      <c r="K13" s="16" t="inlineStr">
        <is>
          <t>G</t>
        </is>
      </c>
    </row>
    <row r="14" ht="22" customHeight="1">
      <c r="B14" s="8" t="inlineStr">
        <is>
          <t>LAB/10</t>
        </is>
      </c>
      <c r="C14" s="9" t="inlineStr">
        <is>
          <t>Central Computing Facility (ECAP)</t>
        </is>
      </c>
      <c r="D14" s="10" t="inlineStr"/>
      <c r="E14" s="10" t="inlineStr"/>
      <c r="F14" s="10" t="inlineStr"/>
      <c r="G14" s="10" t="inlineStr">
        <is>
          <t>Y</t>
        </is>
      </c>
      <c r="H14" s="10" t="inlineStr">
        <is>
          <t>Y</t>
        </is>
      </c>
      <c r="I14" s="10" t="inlineStr"/>
      <c r="J14" s="10" t="inlineStr"/>
      <c r="K14" s="10" t="inlineStr">
        <is>
          <t>G</t>
        </is>
      </c>
    </row>
    <row r="15" ht="22" customHeight="1">
      <c r="B15" s="14" t="inlineStr">
        <is>
          <t>LAB/11</t>
        </is>
      </c>
      <c r="C15" s="15" t="inlineStr">
        <is>
          <t>Language Lab</t>
        </is>
      </c>
      <c r="D15" s="16" t="inlineStr"/>
      <c r="E15" s="16" t="inlineStr"/>
      <c r="F15" s="16" t="inlineStr"/>
      <c r="G15" s="16" t="inlineStr">
        <is>
          <t>Y</t>
        </is>
      </c>
      <c r="H15" s="16" t="inlineStr">
        <is>
          <t>Y</t>
        </is>
      </c>
      <c r="I15" s="16" t="inlineStr"/>
      <c r="J15" s="16" t="inlineStr"/>
      <c r="K15" s="16" t="inlineStr">
        <is>
          <t>G</t>
        </is>
      </c>
    </row>
    <row r="16" ht="22" customHeight="1"/>
    <row r="17" ht="24" customHeight="1">
      <c r="B17" s="34" t="inlineStr">
        <is>
          <t>SOFTWARE INSTALLED IN LABS — SUMMARY</t>
        </is>
      </c>
    </row>
    <row r="18" ht="22" customHeight="1">
      <c r="B18" s="30" t="inlineStr">
        <is>
          <t>Software Category</t>
        </is>
      </c>
      <c r="C18" s="30" t="inlineStr">
        <is>
          <t>No. of Labs
Installed</t>
        </is>
      </c>
      <c r="D18" s="30" t="inlineStr">
        <is>
          <t>Licences
Available</t>
        </is>
      </c>
      <c r="E18" s="30" t="inlineStr">
        <is>
          <t>Licences
Used</t>
        </is>
      </c>
      <c r="F18" s="30" t="inlineStr">
        <is>
          <t>Version
Current</t>
        </is>
      </c>
      <c r="G18" s="30" t="inlineStr">
        <is>
          <t>Last
Updated</t>
        </is>
      </c>
      <c r="H18" s="30" t="inlineStr">
        <is>
          <t>Annual
Cost (₹L)</t>
        </is>
      </c>
    </row>
    <row r="19" ht="22" customHeight="1">
      <c r="B19" s="35" t="inlineStr">
        <is>
          <t>Operating System (Windows/Linux)</t>
        </is>
      </c>
      <c r="C19" s="33" t="inlineStr"/>
      <c r="D19" s="33" t="inlineStr"/>
      <c r="E19" s="33" t="inlineStr"/>
      <c r="F19" s="33" t="inlineStr">
        <is>
          <t>Y</t>
        </is>
      </c>
      <c r="G19" s="33" t="inlineStr"/>
      <c r="H19" s="33" t="inlineStr"/>
      <c r="I19" s="67" t="n"/>
      <c r="J19" s="67" t="n"/>
      <c r="K19" s="67" t="n"/>
    </row>
    <row r="20" ht="22" customHeight="1">
      <c r="B20" s="25" t="inlineStr">
        <is>
          <t>Office Suite</t>
        </is>
      </c>
      <c r="C20" s="10" t="inlineStr"/>
      <c r="D20" s="10" t="inlineStr"/>
      <c r="E20" s="10" t="inlineStr"/>
      <c r="F20" s="10" t="inlineStr">
        <is>
          <t>Y</t>
        </is>
      </c>
      <c r="G20" s="10" t="inlineStr"/>
      <c r="H20" s="10" t="inlineStr"/>
      <c r="I20" s="45" t="n"/>
      <c r="J20" s="45" t="n"/>
      <c r="K20" s="45" t="n"/>
    </row>
    <row r="21" ht="22" customHeight="1">
      <c r="B21" s="35" t="inlineStr">
        <is>
          <t>Programming IDE (VS Code/Eclipse/etc.)</t>
        </is>
      </c>
      <c r="C21" s="33" t="inlineStr"/>
      <c r="D21" s="33" t="inlineStr"/>
      <c r="E21" s="33" t="inlineStr"/>
      <c r="F21" s="33" t="inlineStr">
        <is>
          <t>Y</t>
        </is>
      </c>
      <c r="G21" s="33" t="inlineStr"/>
      <c r="H21" s="33" t="inlineStr"/>
      <c r="I21" s="67" t="n"/>
      <c r="J21" s="67" t="n"/>
      <c r="K21" s="67" t="n"/>
    </row>
    <row r="22" ht="22" customHeight="1">
      <c r="B22" s="25" t="inlineStr">
        <is>
          <t>Statistical Software (SPSS/R/Python)</t>
        </is>
      </c>
      <c r="C22" s="10" t="inlineStr"/>
      <c r="D22" s="10" t="inlineStr"/>
      <c r="E22" s="10" t="inlineStr"/>
      <c r="F22" s="10" t="inlineStr">
        <is>
          <t>Y</t>
        </is>
      </c>
      <c r="G22" s="10" t="inlineStr"/>
      <c r="H22" s="10" t="inlineStr"/>
      <c r="I22" s="45" t="n"/>
      <c r="J22" s="45" t="n"/>
      <c r="K22" s="45" t="n"/>
    </row>
    <row r="23" ht="22" customHeight="1">
      <c r="B23" s="35" t="inlineStr">
        <is>
          <t>CAD/Simulation Software</t>
        </is>
      </c>
      <c r="C23" s="33" t="inlineStr"/>
      <c r="D23" s="33" t="inlineStr"/>
      <c r="E23" s="33" t="inlineStr"/>
      <c r="F23" s="33" t="inlineStr">
        <is>
          <t>Y</t>
        </is>
      </c>
      <c r="G23" s="33" t="inlineStr"/>
      <c r="H23" s="33" t="inlineStr"/>
      <c r="I23" s="67" t="n"/>
      <c r="J23" s="67" t="n"/>
      <c r="K23" s="67" t="n"/>
    </row>
    <row r="24" ht="22" customHeight="1">
      <c r="B24" s="25" t="inlineStr">
        <is>
          <t>Database (MySQL/Oracle)</t>
        </is>
      </c>
      <c r="C24" s="10" t="inlineStr"/>
      <c r="D24" s="10" t="inlineStr"/>
      <c r="E24" s="10" t="inlineStr"/>
      <c r="F24" s="10" t="inlineStr">
        <is>
          <t>Y</t>
        </is>
      </c>
      <c r="G24" s="10" t="inlineStr"/>
      <c r="H24" s="10" t="inlineStr"/>
      <c r="I24" s="45" t="n"/>
      <c r="J24" s="45" t="n"/>
      <c r="K24" s="45" t="n"/>
    </row>
    <row r="25" ht="22" customHeight="1">
      <c r="B25" s="35" t="inlineStr">
        <is>
          <t>Network Simulation (Cisco Packet Tracer)</t>
        </is>
      </c>
      <c r="C25" s="33" t="inlineStr"/>
      <c r="D25" s="33" t="inlineStr"/>
      <c r="E25" s="33" t="inlineStr"/>
      <c r="F25" s="33" t="inlineStr">
        <is>
          <t>Y</t>
        </is>
      </c>
      <c r="G25" s="33" t="inlineStr"/>
      <c r="H25" s="33" t="inlineStr"/>
      <c r="I25" s="67" t="n"/>
      <c r="J25" s="67" t="n"/>
      <c r="K25" s="67" t="n"/>
    </row>
    <row r="26" ht="22" customHeight="1">
      <c r="B26" s="25" t="inlineStr">
        <is>
          <t>Antivirus / Endpoint</t>
        </is>
      </c>
      <c r="C26" s="10" t="inlineStr"/>
      <c r="D26" s="10" t="inlineStr"/>
      <c r="E26" s="10" t="inlineStr"/>
      <c r="F26" s="10" t="inlineStr">
        <is>
          <t>Y</t>
        </is>
      </c>
      <c r="G26" s="10" t="inlineStr"/>
      <c r="H26" s="10" t="inlineStr"/>
      <c r="I26" s="45" t="n"/>
      <c r="J26" s="45" t="n"/>
      <c r="K26" s="45" t="n"/>
    </row>
    <row r="27" ht="22" customHeight="1">
      <c r="B27" s="35" t="inlineStr">
        <is>
          <t>Multimedia / Design</t>
        </is>
      </c>
      <c r="C27" s="33" t="inlineStr"/>
      <c r="D27" s="33" t="inlineStr"/>
      <c r="E27" s="33" t="inlineStr"/>
      <c r="F27" s="33" t="inlineStr">
        <is>
          <t>Y</t>
        </is>
      </c>
      <c r="G27" s="33" t="inlineStr"/>
      <c r="H27" s="33" t="inlineStr"/>
      <c r="I27" s="67" t="n"/>
      <c r="J27" s="67" t="n"/>
      <c r="K27" s="67" t="n"/>
    </row>
    <row r="28" ht="22" customHeight="1">
      <c r="B28" s="25" t="inlineStr">
        <is>
          <t>Cloud Platform Access</t>
        </is>
      </c>
      <c r="C28" s="10" t="inlineStr"/>
      <c r="D28" s="10" t="inlineStr"/>
      <c r="E28" s="10" t="inlineStr"/>
      <c r="F28" s="10" t="inlineStr">
        <is>
          <t>Y</t>
        </is>
      </c>
      <c r="G28" s="10" t="inlineStr"/>
      <c r="H28" s="10" t="inlineStr"/>
      <c r="I28" s="45" t="n"/>
      <c r="J28" s="45" t="n"/>
      <c r="K28" s="45" t="n"/>
    </row>
    <row r="29" ht="22" customHeight="1">
      <c r="B29" s="35" t="inlineStr">
        <is>
          <t>LMS Access / Browser</t>
        </is>
      </c>
      <c r="C29" s="33" t="inlineStr"/>
      <c r="D29" s="33" t="inlineStr"/>
      <c r="E29" s="33" t="inlineStr"/>
      <c r="F29" s="33" t="inlineStr">
        <is>
          <t>Y</t>
        </is>
      </c>
      <c r="G29" s="33" t="inlineStr"/>
      <c r="H29" s="33" t="inlineStr"/>
      <c r="I29" s="67" t="n"/>
      <c r="J29" s="67" t="n"/>
      <c r="K29" s="67" t="n"/>
    </row>
    <row r="30" ht="22" customHeight="1">
      <c r="B30" s="25" t="inlineStr">
        <is>
          <t>E-Learning Content Player</t>
        </is>
      </c>
      <c r="C30" s="10" t="inlineStr"/>
      <c r="D30" s="10" t="inlineStr"/>
      <c r="E30" s="10" t="inlineStr"/>
      <c r="F30" s="10" t="inlineStr">
        <is>
          <t>Y</t>
        </is>
      </c>
      <c r="G30" s="10" t="inlineStr"/>
      <c r="H30" s="10" t="inlineStr"/>
      <c r="I30" s="45" t="n"/>
      <c r="J30" s="45" t="n"/>
      <c r="K30" s="45" t="n"/>
    </row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</sheetData>
  <mergeCells count="3">
    <mergeCell ref="B17:K17"/>
    <mergeCell ref="B3:K3"/>
    <mergeCell ref="B2:K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K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" customWidth="1" min="12" max="12"/>
  </cols>
  <sheetData>
    <row r="1" ht="10" customHeight="1"/>
    <row r="2" ht="48" customHeight="1">
      <c r="B2" s="12" t="inlineStr">
        <is>
          <t>ICT-30: COMPUTER LAB UTILISATION &amp; TIME-TABLE REGISTER</t>
        </is>
      </c>
    </row>
    <row r="3" ht="25" customHeight="1">
      <c r="B3" s="2" t="inlineStr">
        <is>
          <t>Semester: _______  A.Y.: _______  Lab Coordinator: ___________________</t>
        </is>
      </c>
    </row>
    <row r="4" ht="25" customHeight="1">
      <c r="B4" s="13" t="inlineStr">
        <is>
          <t>Lab
Ref.</t>
        </is>
      </c>
      <c r="C4" s="13" t="inlineStr">
        <is>
          <t>Lab Name</t>
        </is>
      </c>
      <c r="D4" s="13" t="inlineStr">
        <is>
          <t>Total
Available Hrs
(Semester)</t>
        </is>
      </c>
      <c r="E4" s="13" t="inlineStr">
        <is>
          <t>Scheduled
Class Hrs</t>
        </is>
      </c>
      <c r="F4" s="13" t="inlineStr">
        <is>
          <t>Practical
/ Lab Hrs</t>
        </is>
      </c>
      <c r="G4" s="13" t="inlineStr">
        <is>
          <t>Open Access
Hrs</t>
        </is>
      </c>
      <c r="H4" s="13" t="inlineStr">
        <is>
          <t>Idle
Hrs</t>
        </is>
      </c>
      <c r="I4" s="13" t="inlineStr">
        <is>
          <t>Utilisation
%</t>
        </is>
      </c>
      <c r="J4" s="13" t="inlineStr">
        <is>
          <t>Peak
Usage Slot</t>
        </is>
      </c>
      <c r="K4" s="13" t="inlineStr">
        <is>
          <t>Avg. Students
per Session</t>
        </is>
      </c>
    </row>
    <row r="5" ht="22" customHeight="1">
      <c r="B5" s="14" t="inlineStr">
        <is>
          <t>LAB/01</t>
        </is>
      </c>
      <c r="C5" s="15" t="inlineStr">
        <is>
          <t>Computer Lab — I (CSE Dept.)</t>
        </is>
      </c>
      <c r="D5" s="16" t="inlineStr"/>
      <c r="E5" s="16" t="inlineStr"/>
      <c r="F5" s="16" t="inlineStr"/>
      <c r="G5" s="16" t="inlineStr"/>
      <c r="H5" s="16">
        <f>IFERROR(D5-E5-F5-G5,"")</f>
        <v/>
      </c>
      <c r="I5" s="63">
        <f>IFERROR(ROUND((E5+F5+G5)/D5*100,1),"")</f>
        <v/>
      </c>
      <c r="J5" s="16" t="inlineStr"/>
      <c r="K5" s="16" t="inlineStr"/>
    </row>
    <row r="6" ht="22" customHeight="1">
      <c r="B6" s="8" t="inlineStr">
        <is>
          <t>LAB/02</t>
        </is>
      </c>
      <c r="C6" s="9" t="inlineStr">
        <is>
          <t>Computer Lab — II (CSE Dept.)</t>
        </is>
      </c>
      <c r="D6" s="10" t="inlineStr"/>
      <c r="E6" s="10" t="inlineStr"/>
      <c r="F6" s="10" t="inlineStr"/>
      <c r="G6" s="10" t="inlineStr"/>
      <c r="H6" s="10">
        <f>IFERROR(D6-E6-F6-G6,"")</f>
        <v/>
      </c>
      <c r="I6" s="37">
        <f>IFERROR(ROUND((E6+F6+G6)/D6*100,1),"")</f>
        <v/>
      </c>
      <c r="J6" s="10" t="inlineStr"/>
      <c r="K6" s="10" t="inlineStr"/>
    </row>
    <row r="7" ht="22" customHeight="1">
      <c r="B7" s="14" t="inlineStr">
        <is>
          <t>LAB/03</t>
        </is>
      </c>
      <c r="C7" s="15" t="inlineStr">
        <is>
          <t>Computer Lab — III (ECE Dept.)</t>
        </is>
      </c>
      <c r="D7" s="16" t="inlineStr"/>
      <c r="E7" s="16" t="inlineStr"/>
      <c r="F7" s="16" t="inlineStr"/>
      <c r="G7" s="16" t="inlineStr"/>
      <c r="H7" s="16">
        <f>IFERROR(D7-E7-F7-G7,"")</f>
        <v/>
      </c>
      <c r="I7" s="63">
        <f>IFERROR(ROUND((E7+F7+G7)/D7*100,1),"")</f>
        <v/>
      </c>
      <c r="J7" s="16" t="inlineStr"/>
      <c r="K7" s="16" t="inlineStr"/>
    </row>
    <row r="8" ht="22" customHeight="1">
      <c r="B8" s="8" t="inlineStr">
        <is>
          <t>LAB/04</t>
        </is>
      </c>
      <c r="C8" s="9" t="inlineStr">
        <is>
          <t>IT Lab (General Purpose)</t>
        </is>
      </c>
      <c r="D8" s="10" t="inlineStr"/>
      <c r="E8" s="10" t="inlineStr"/>
      <c r="F8" s="10" t="inlineStr"/>
      <c r="G8" s="10" t="inlineStr"/>
      <c r="H8" s="10">
        <f>IFERROR(D8-E8-F8-G8,"")</f>
        <v/>
      </c>
      <c r="I8" s="37">
        <f>IFERROR(ROUND((E8+F8+G8)/D8*100,1),"")</f>
        <v/>
      </c>
      <c r="J8" s="10" t="inlineStr"/>
      <c r="K8" s="10" t="inlineStr"/>
    </row>
    <row r="9" ht="22" customHeight="1">
      <c r="B9" s="14" t="inlineStr">
        <is>
          <t>LAB/05</t>
        </is>
      </c>
      <c r="C9" s="15" t="inlineStr">
        <is>
          <t>Programming Lab</t>
        </is>
      </c>
      <c r="D9" s="16" t="inlineStr"/>
      <c r="E9" s="16" t="inlineStr"/>
      <c r="F9" s="16" t="inlineStr"/>
      <c r="G9" s="16" t="inlineStr"/>
      <c r="H9" s="16">
        <f>IFERROR(D9-E9-F9-G9,"")</f>
        <v/>
      </c>
      <c r="I9" s="63">
        <f>IFERROR(ROUND((E9+F9+G9)/D9*100,1),"")</f>
        <v/>
      </c>
      <c r="J9" s="16" t="inlineStr"/>
      <c r="K9" s="16" t="inlineStr"/>
    </row>
    <row r="10" ht="22" customHeight="1">
      <c r="B10" s="8" t="inlineStr">
        <is>
          <t>LAB/06</t>
        </is>
      </c>
      <c r="C10" s="9" t="inlineStr">
        <is>
          <t>Network Lab</t>
        </is>
      </c>
      <c r="D10" s="10" t="inlineStr"/>
      <c r="E10" s="10" t="inlineStr"/>
      <c r="F10" s="10" t="inlineStr"/>
      <c r="G10" s="10" t="inlineStr"/>
      <c r="H10" s="10">
        <f>IFERROR(D10-E10-F10-G10,"")</f>
        <v/>
      </c>
      <c r="I10" s="37">
        <f>IFERROR(ROUND((E10+F10+G10)/D10*100,1),"")</f>
        <v/>
      </c>
      <c r="J10" s="10" t="inlineStr"/>
      <c r="K10" s="10" t="inlineStr"/>
    </row>
    <row r="11" ht="22" customHeight="1">
      <c r="B11" s="14" t="inlineStr">
        <is>
          <t>LAB/07</t>
        </is>
      </c>
      <c r="C11" s="15" t="inlineStr">
        <is>
          <t>CAD Lab</t>
        </is>
      </c>
      <c r="D11" s="16" t="inlineStr"/>
      <c r="E11" s="16" t="inlineStr"/>
      <c r="F11" s="16" t="inlineStr"/>
      <c r="G11" s="16" t="inlineStr"/>
      <c r="H11" s="16">
        <f>IFERROR(D11-E11-F11-G11,"")</f>
        <v/>
      </c>
      <c r="I11" s="63">
        <f>IFERROR(ROUND((E11+F11+G11)/D11*100,1),"")</f>
        <v/>
      </c>
      <c r="J11" s="16" t="inlineStr"/>
      <c r="K11" s="16" t="inlineStr"/>
    </row>
    <row r="12" ht="22" customHeight="1">
      <c r="B12" s="8" t="inlineStr">
        <is>
          <t>LAB/08</t>
        </is>
      </c>
      <c r="C12" s="9" t="inlineStr">
        <is>
          <t>Multimedia / Design Lab</t>
        </is>
      </c>
      <c r="D12" s="10" t="inlineStr"/>
      <c r="E12" s="10" t="inlineStr"/>
      <c r="F12" s="10" t="inlineStr"/>
      <c r="G12" s="10" t="inlineStr"/>
      <c r="H12" s="10">
        <f>IFERROR(D12-E12-F12-G12,"")</f>
        <v/>
      </c>
      <c r="I12" s="37">
        <f>IFERROR(ROUND((E12+F12+G12)/D12*100,1),"")</f>
        <v/>
      </c>
      <c r="J12" s="10" t="inlineStr"/>
      <c r="K12" s="10" t="inlineStr"/>
    </row>
    <row r="13" ht="22" customHeight="1">
      <c r="B13" s="14" t="inlineStr">
        <is>
          <t>LAB/09</t>
        </is>
      </c>
      <c r="C13" s="15" t="inlineStr">
        <is>
          <t>Research Lab</t>
        </is>
      </c>
      <c r="D13" s="16" t="inlineStr"/>
      <c r="E13" s="16" t="inlineStr"/>
      <c r="F13" s="16" t="inlineStr"/>
      <c r="G13" s="16" t="inlineStr"/>
      <c r="H13" s="16">
        <f>IFERROR(D13-E13-F13-G13,"")</f>
        <v/>
      </c>
      <c r="I13" s="63">
        <f>IFERROR(ROUND((E13+F13+G13)/D13*100,1),"")</f>
        <v/>
      </c>
      <c r="J13" s="16" t="inlineStr"/>
      <c r="K13" s="16" t="inlineStr"/>
    </row>
    <row r="14" ht="22" customHeight="1">
      <c r="B14" s="8" t="inlineStr">
        <is>
          <t>LAB/10</t>
        </is>
      </c>
      <c r="C14" s="9" t="inlineStr">
        <is>
          <t>Central Computing Facility (ECAP)</t>
        </is>
      </c>
      <c r="D14" s="10" t="inlineStr"/>
      <c r="E14" s="10" t="inlineStr"/>
      <c r="F14" s="10" t="inlineStr"/>
      <c r="G14" s="10" t="inlineStr"/>
      <c r="H14" s="10">
        <f>IFERROR(D14-E14-F14-G14,"")</f>
        <v/>
      </c>
      <c r="I14" s="37">
        <f>IFERROR(ROUND((E14+F14+G14)/D14*100,1),"")</f>
        <v/>
      </c>
      <c r="J14" s="10" t="inlineStr"/>
      <c r="K14" s="10" t="inlineStr"/>
    </row>
    <row r="15" ht="22" customHeight="1">
      <c r="B15" s="14" t="inlineStr">
        <is>
          <t>LAB/11</t>
        </is>
      </c>
      <c r="C15" s="15" t="inlineStr">
        <is>
          <t>Language Lab</t>
        </is>
      </c>
      <c r="D15" s="16" t="inlineStr"/>
      <c r="E15" s="16" t="inlineStr"/>
      <c r="F15" s="16" t="inlineStr"/>
      <c r="G15" s="16" t="inlineStr"/>
      <c r="H15" s="16">
        <f>IFERROR(D15-E15-F15-G15,"")</f>
        <v/>
      </c>
      <c r="I15" s="63">
        <f>IFERROR(ROUND((E15+F15+G15)/D15*100,1),"")</f>
        <v/>
      </c>
      <c r="J15" s="16" t="inlineStr"/>
      <c r="K15" s="16" t="inlineStr"/>
    </row>
    <row r="16" ht="22" customHeight="1"/>
    <row r="17" ht="24" customHeight="1">
      <c r="B17" s="34" t="inlineStr">
        <is>
          <t>MONTHLY UTILISATION TREND</t>
        </is>
      </c>
    </row>
    <row r="18" ht="22" customHeight="1">
      <c r="B18" s="30" t="inlineStr">
        <is>
          <t>Month</t>
        </is>
      </c>
      <c r="C18" s="30" t="inlineStr">
        <is>
          <t>Total Sessions
Conducted</t>
        </is>
      </c>
      <c r="D18" s="30" t="inlineStr">
        <is>
          <t>Total Students
Served</t>
        </is>
      </c>
      <c r="E18" s="30" t="inlineStr">
        <is>
          <t>Avg. Utilisation
%</t>
        </is>
      </c>
      <c r="F18" s="30" t="inlineStr">
        <is>
          <t>Peak Lab</t>
        </is>
      </c>
      <c r="G18" s="30" t="inlineStr">
        <is>
          <t>Issues
Reported</t>
        </is>
      </c>
      <c r="H18" s="30" t="inlineStr">
        <is>
          <t>Maintenance
Downtime (Hrs)</t>
        </is>
      </c>
    </row>
    <row r="19" ht="22" customHeight="1">
      <c r="B19" s="31" t="inlineStr">
        <is>
          <t>April</t>
        </is>
      </c>
      <c r="C19" s="33" t="inlineStr"/>
      <c r="D19" s="33" t="inlineStr"/>
      <c r="E19" s="33" t="inlineStr"/>
      <c r="F19" s="32" t="inlineStr"/>
      <c r="G19" s="33" t="inlineStr"/>
      <c r="H19" s="33" t="inlineStr"/>
      <c r="I19" s="67" t="n"/>
      <c r="J19" s="67" t="n"/>
      <c r="K19" s="67" t="n"/>
    </row>
    <row r="20" ht="22" customHeight="1">
      <c r="B20" s="8" t="inlineStr">
        <is>
          <t>May</t>
        </is>
      </c>
      <c r="C20" s="10" t="inlineStr"/>
      <c r="D20" s="10" t="inlineStr"/>
      <c r="E20" s="10" t="inlineStr"/>
      <c r="F20" s="9" t="inlineStr"/>
      <c r="G20" s="10" t="inlineStr"/>
      <c r="H20" s="10" t="inlineStr"/>
      <c r="I20" s="45" t="n"/>
      <c r="J20" s="45" t="n"/>
      <c r="K20" s="45" t="n"/>
    </row>
    <row r="21" ht="22" customHeight="1">
      <c r="B21" s="31" t="inlineStr">
        <is>
          <t>June</t>
        </is>
      </c>
      <c r="C21" s="33" t="inlineStr"/>
      <c r="D21" s="33" t="inlineStr"/>
      <c r="E21" s="33" t="inlineStr"/>
      <c r="F21" s="32" t="inlineStr"/>
      <c r="G21" s="33" t="inlineStr"/>
      <c r="H21" s="33" t="inlineStr"/>
      <c r="I21" s="67" t="n"/>
      <c r="J21" s="67" t="n"/>
      <c r="K21" s="67" t="n"/>
    </row>
    <row r="22" ht="22" customHeight="1">
      <c r="B22" s="8" t="inlineStr">
        <is>
          <t>July</t>
        </is>
      </c>
      <c r="C22" s="10" t="inlineStr"/>
      <c r="D22" s="10" t="inlineStr"/>
      <c r="E22" s="10" t="inlineStr"/>
      <c r="F22" s="9" t="inlineStr"/>
      <c r="G22" s="10" t="inlineStr"/>
      <c r="H22" s="10" t="inlineStr"/>
      <c r="I22" s="45" t="n"/>
      <c r="J22" s="45" t="n"/>
      <c r="K22" s="45" t="n"/>
    </row>
    <row r="23" ht="22" customHeight="1">
      <c r="B23" s="31" t="inlineStr">
        <is>
          <t>August</t>
        </is>
      </c>
      <c r="C23" s="33" t="inlineStr"/>
      <c r="D23" s="33" t="inlineStr"/>
      <c r="E23" s="33" t="inlineStr"/>
      <c r="F23" s="32" t="inlineStr"/>
      <c r="G23" s="33" t="inlineStr"/>
      <c r="H23" s="33" t="inlineStr"/>
      <c r="I23" s="67" t="n"/>
      <c r="J23" s="67" t="n"/>
      <c r="K23" s="67" t="n"/>
    </row>
    <row r="24" ht="22" customHeight="1">
      <c r="B24" s="8" t="inlineStr">
        <is>
          <t>September</t>
        </is>
      </c>
      <c r="C24" s="10" t="inlineStr"/>
      <c r="D24" s="10" t="inlineStr"/>
      <c r="E24" s="10" t="inlineStr"/>
      <c r="F24" s="9" t="inlineStr"/>
      <c r="G24" s="10" t="inlineStr"/>
      <c r="H24" s="10" t="inlineStr"/>
      <c r="I24" s="45" t="n"/>
      <c r="J24" s="45" t="n"/>
      <c r="K24" s="45" t="n"/>
    </row>
    <row r="25" ht="22" customHeight="1">
      <c r="B25" s="31" t="inlineStr">
        <is>
          <t>October</t>
        </is>
      </c>
      <c r="C25" s="33" t="inlineStr"/>
      <c r="D25" s="33" t="inlineStr"/>
      <c r="E25" s="33" t="inlineStr"/>
      <c r="F25" s="32" t="inlineStr"/>
      <c r="G25" s="33" t="inlineStr"/>
      <c r="H25" s="33" t="inlineStr"/>
      <c r="I25" s="67" t="n"/>
      <c r="J25" s="67" t="n"/>
      <c r="K25" s="67" t="n"/>
    </row>
    <row r="26" ht="22" customHeight="1">
      <c r="B26" s="8" t="inlineStr">
        <is>
          <t>November</t>
        </is>
      </c>
      <c r="C26" s="10" t="inlineStr"/>
      <c r="D26" s="10" t="inlineStr"/>
      <c r="E26" s="10" t="inlineStr"/>
      <c r="F26" s="9" t="inlineStr"/>
      <c r="G26" s="10" t="inlineStr"/>
      <c r="H26" s="10" t="inlineStr"/>
      <c r="I26" s="45" t="n"/>
      <c r="J26" s="45" t="n"/>
      <c r="K26" s="45" t="n"/>
    </row>
    <row r="27" ht="22" customHeight="1">
      <c r="B27" s="31" t="inlineStr">
        <is>
          <t>December</t>
        </is>
      </c>
      <c r="C27" s="33" t="inlineStr"/>
      <c r="D27" s="33" t="inlineStr"/>
      <c r="E27" s="33" t="inlineStr"/>
      <c r="F27" s="32" t="inlineStr"/>
      <c r="G27" s="33" t="inlineStr"/>
      <c r="H27" s="33" t="inlineStr"/>
      <c r="I27" s="67" t="n"/>
      <c r="J27" s="67" t="n"/>
      <c r="K27" s="67" t="n"/>
    </row>
    <row r="28" ht="22" customHeight="1">
      <c r="B28" s="8" t="inlineStr">
        <is>
          <t>January</t>
        </is>
      </c>
      <c r="C28" s="10" t="inlineStr"/>
      <c r="D28" s="10" t="inlineStr"/>
      <c r="E28" s="10" t="inlineStr"/>
      <c r="F28" s="9" t="inlineStr"/>
      <c r="G28" s="10" t="inlineStr"/>
      <c r="H28" s="10" t="inlineStr"/>
      <c r="I28" s="45" t="n"/>
      <c r="J28" s="45" t="n"/>
      <c r="K28" s="45" t="n"/>
    </row>
    <row r="29" ht="22" customHeight="1">
      <c r="B29" s="31" t="inlineStr">
        <is>
          <t>February</t>
        </is>
      </c>
      <c r="C29" s="33" t="inlineStr"/>
      <c r="D29" s="33" t="inlineStr"/>
      <c r="E29" s="33" t="inlineStr"/>
      <c r="F29" s="32" t="inlineStr"/>
      <c r="G29" s="33" t="inlineStr"/>
      <c r="H29" s="33" t="inlineStr"/>
      <c r="I29" s="67" t="n"/>
      <c r="J29" s="67" t="n"/>
      <c r="K29" s="67" t="n"/>
    </row>
    <row r="30" ht="22" customHeight="1">
      <c r="B30" s="8" t="inlineStr">
        <is>
          <t>March</t>
        </is>
      </c>
      <c r="C30" s="10" t="inlineStr"/>
      <c r="D30" s="10" t="inlineStr"/>
      <c r="E30" s="10" t="inlineStr"/>
      <c r="F30" s="9" t="inlineStr"/>
      <c r="G30" s="10" t="inlineStr"/>
      <c r="H30" s="10" t="inlineStr"/>
      <c r="I30" s="45" t="n"/>
      <c r="J30" s="45" t="n"/>
      <c r="K30" s="45" t="n"/>
    </row>
    <row r="31" ht="22" customHeight="1"/>
    <row r="32" ht="22" customHeight="1"/>
    <row r="33" ht="22" customHeight="1"/>
    <row r="34" ht="22" customHeight="1"/>
  </sheetData>
  <mergeCells count="3">
    <mergeCell ref="B17:K17"/>
    <mergeCell ref="B3:K3"/>
    <mergeCell ref="B2:K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J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6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ICT-32: IT HELPDESK / SERVICE DESK TICKET REGISTER</t>
        </is>
      </c>
    </row>
    <row r="3" ht="25" customHeight="1">
      <c r="B3" s="2" t="inlineStr">
        <is>
          <t>A.Y.: _______  Helpdesk Manager: ___________________  Helpdesk Email: _______  Ext.: _______</t>
        </is>
      </c>
    </row>
    <row r="4" ht="25" customHeight="1">
      <c r="B4" s="13" t="inlineStr">
        <is>
          <t>Ticket
Ref.</t>
        </is>
      </c>
      <c r="C4" s="13" t="inlineStr">
        <is>
          <t>Issue Description</t>
        </is>
      </c>
      <c r="D4" s="13" t="inlineStr">
        <is>
          <t>Category</t>
        </is>
      </c>
      <c r="E4" s="13" t="inlineStr">
        <is>
          <t>Raised by
(Dept.)</t>
        </is>
      </c>
      <c r="F4" s="13" t="inlineStr">
        <is>
          <t>Date
Raised</t>
        </is>
      </c>
      <c r="G4" s="13" t="inlineStr">
        <is>
          <t>Priority
(C/H/M/L)</t>
        </is>
      </c>
      <c r="H4" s="13" t="inlineStr">
        <is>
          <t>Assigned to</t>
        </is>
      </c>
      <c r="I4" s="13" t="inlineStr">
        <is>
          <t>Date
Resolved</t>
        </is>
      </c>
      <c r="J4" s="13" t="inlineStr">
        <is>
          <t>Resolution Summary</t>
        </is>
      </c>
    </row>
    <row r="5" ht="22" customHeight="1">
      <c r="B5" s="14" t="inlineStr">
        <is>
          <t>TKT/2024/0001</t>
        </is>
      </c>
      <c r="C5" s="15" t="inlineStr"/>
      <c r="D5" s="16" t="inlineStr">
        <is>
          <t>Hardware Failure</t>
        </is>
      </c>
      <c r="E5" s="16" t="inlineStr"/>
      <c r="F5" s="16" t="inlineStr"/>
      <c r="G5" s="14" t="inlineStr">
        <is>
          <t>H</t>
        </is>
      </c>
      <c r="H5" s="16" t="inlineStr"/>
      <c r="I5" s="16" t="inlineStr"/>
      <c r="J5" s="15" t="inlineStr"/>
    </row>
    <row r="6" ht="22" customHeight="1">
      <c r="B6" s="8" t="inlineStr">
        <is>
          <t>TKT/2024/0002</t>
        </is>
      </c>
      <c r="C6" s="9" t="inlineStr"/>
      <c r="D6" s="10" t="inlineStr">
        <is>
          <t>Software Issue</t>
        </is>
      </c>
      <c r="E6" s="10" t="inlineStr"/>
      <c r="F6" s="10" t="inlineStr"/>
      <c r="G6" s="8" t="inlineStr">
        <is>
          <t>M</t>
        </is>
      </c>
      <c r="H6" s="10" t="inlineStr"/>
      <c r="I6" s="10" t="inlineStr"/>
      <c r="J6" s="9" t="inlineStr"/>
    </row>
    <row r="7" ht="22" customHeight="1">
      <c r="B7" s="14" t="inlineStr">
        <is>
          <t>TKT/2024/0003</t>
        </is>
      </c>
      <c r="C7" s="15" t="inlineStr"/>
      <c r="D7" s="16" t="inlineStr">
        <is>
          <t>Network / Internet</t>
        </is>
      </c>
      <c r="E7" s="16" t="inlineStr"/>
      <c r="F7" s="16" t="inlineStr"/>
      <c r="G7" s="14" t="inlineStr">
        <is>
          <t>L</t>
        </is>
      </c>
      <c r="H7" s="16" t="inlineStr"/>
      <c r="I7" s="16" t="inlineStr"/>
      <c r="J7" s="15" t="inlineStr"/>
    </row>
    <row r="8" ht="22" customHeight="1">
      <c r="B8" s="8" t="inlineStr">
        <is>
          <t>TKT/2024/0004</t>
        </is>
      </c>
      <c r="C8" s="9" t="inlineStr"/>
      <c r="D8" s="10" t="inlineStr">
        <is>
          <t>Printer / Peripheral</t>
        </is>
      </c>
      <c r="E8" s="10" t="inlineStr"/>
      <c r="F8" s="10" t="inlineStr"/>
      <c r="G8" s="8" t="inlineStr">
        <is>
          <t>C</t>
        </is>
      </c>
      <c r="H8" s="10" t="inlineStr"/>
      <c r="I8" s="10" t="inlineStr"/>
      <c r="J8" s="9" t="inlineStr"/>
    </row>
    <row r="9" ht="22" customHeight="1">
      <c r="B9" s="14" t="inlineStr">
        <is>
          <t>TKT/2024/0005</t>
        </is>
      </c>
      <c r="C9" s="15" t="inlineStr"/>
      <c r="D9" s="16" t="inlineStr">
        <is>
          <t>Account / Password</t>
        </is>
      </c>
      <c r="E9" s="16" t="inlineStr"/>
      <c r="F9" s="16" t="inlineStr"/>
      <c r="G9" s="14" t="inlineStr">
        <is>
          <t>M</t>
        </is>
      </c>
      <c r="H9" s="16" t="inlineStr"/>
      <c r="I9" s="16" t="inlineStr"/>
      <c r="J9" s="15" t="inlineStr"/>
    </row>
    <row r="10" ht="22" customHeight="1">
      <c r="B10" s="8" t="inlineStr">
        <is>
          <t>TKT/2024/0006</t>
        </is>
      </c>
      <c r="C10" s="9" t="inlineStr"/>
      <c r="D10" s="10" t="inlineStr">
        <is>
          <t>Email Issue</t>
        </is>
      </c>
      <c r="E10" s="10" t="inlineStr"/>
      <c r="F10" s="10" t="inlineStr"/>
      <c r="G10" s="8" t="inlineStr">
        <is>
          <t>H</t>
        </is>
      </c>
      <c r="H10" s="10" t="inlineStr"/>
      <c r="I10" s="10" t="inlineStr"/>
      <c r="J10" s="9" t="inlineStr"/>
    </row>
    <row r="11" ht="22" customHeight="1">
      <c r="B11" s="14" t="inlineStr">
        <is>
          <t>TKT/2024/0007</t>
        </is>
      </c>
      <c r="C11" s="15" t="inlineStr"/>
      <c r="D11" s="16" t="inlineStr">
        <is>
          <t>LMS / Portal</t>
        </is>
      </c>
      <c r="E11" s="16" t="inlineStr"/>
      <c r="F11" s="16" t="inlineStr"/>
      <c r="G11" s="14" t="inlineStr">
        <is>
          <t>M</t>
        </is>
      </c>
      <c r="H11" s="16" t="inlineStr"/>
      <c r="I11" s="16" t="inlineStr"/>
      <c r="J11" s="15" t="inlineStr"/>
    </row>
    <row r="12" ht="22" customHeight="1">
      <c r="B12" s="8" t="inlineStr">
        <is>
          <t>TKT/2024/0008</t>
        </is>
      </c>
      <c r="C12" s="9" t="inlineStr"/>
      <c r="D12" s="10" t="inlineStr">
        <is>
          <t>Security Alert</t>
        </is>
      </c>
      <c r="E12" s="10" t="inlineStr"/>
      <c r="F12" s="10" t="inlineStr"/>
      <c r="G12" s="8" t="inlineStr">
        <is>
          <t>L</t>
        </is>
      </c>
      <c r="H12" s="10" t="inlineStr"/>
      <c r="I12" s="10" t="inlineStr"/>
      <c r="J12" s="9" t="inlineStr"/>
    </row>
    <row r="13" ht="22" customHeight="1">
      <c r="B13" s="14" t="inlineStr">
        <is>
          <t>TKT/2024/0009</t>
        </is>
      </c>
      <c r="C13" s="15" t="inlineStr"/>
      <c r="D13" s="16" t="inlineStr">
        <is>
          <t>New Installation</t>
        </is>
      </c>
      <c r="E13" s="16" t="inlineStr"/>
      <c r="F13" s="16" t="inlineStr"/>
      <c r="G13" s="14" t="inlineStr">
        <is>
          <t>C</t>
        </is>
      </c>
      <c r="H13" s="16" t="inlineStr"/>
      <c r="I13" s="16" t="inlineStr"/>
      <c r="J13" s="15" t="inlineStr"/>
    </row>
    <row r="14" ht="22" customHeight="1">
      <c r="B14" s="8" t="inlineStr">
        <is>
          <t>TKT/2024/0010</t>
        </is>
      </c>
      <c r="C14" s="9" t="inlineStr"/>
      <c r="D14" s="10" t="inlineStr">
        <is>
          <t>Data Recovery</t>
        </is>
      </c>
      <c r="E14" s="10" t="inlineStr"/>
      <c r="F14" s="10" t="inlineStr"/>
      <c r="G14" s="8" t="inlineStr">
        <is>
          <t>M</t>
        </is>
      </c>
      <c r="H14" s="10" t="inlineStr"/>
      <c r="I14" s="10" t="inlineStr"/>
      <c r="J14" s="9" t="inlineStr"/>
    </row>
    <row r="15" ht="22" customHeight="1">
      <c r="B15" s="14" t="inlineStr">
        <is>
          <t>TKT/2024/0011</t>
        </is>
      </c>
      <c r="C15" s="15" t="inlineStr"/>
      <c r="D15" s="16" t="inlineStr">
        <is>
          <t>Other</t>
        </is>
      </c>
      <c r="E15" s="16" t="inlineStr"/>
      <c r="F15" s="16" t="inlineStr"/>
      <c r="G15" s="14" t="inlineStr">
        <is>
          <t>H</t>
        </is>
      </c>
      <c r="H15" s="16" t="inlineStr"/>
      <c r="I15" s="16" t="inlineStr"/>
      <c r="J15" s="15" t="inlineStr"/>
    </row>
    <row r="16" ht="22" customHeight="1">
      <c r="B16" s="8" t="inlineStr">
        <is>
          <t>TKT/2024/0012</t>
        </is>
      </c>
      <c r="C16" s="9" t="inlineStr"/>
      <c r="D16" s="10" t="inlineStr">
        <is>
          <t>Hardware Failure</t>
        </is>
      </c>
      <c r="E16" s="10" t="inlineStr"/>
      <c r="F16" s="10" t="inlineStr"/>
      <c r="G16" s="8" t="inlineStr">
        <is>
          <t>M</t>
        </is>
      </c>
      <c r="H16" s="10" t="inlineStr"/>
      <c r="I16" s="10" t="inlineStr"/>
      <c r="J16" s="9" t="inlineStr"/>
    </row>
    <row r="17" ht="22" customHeight="1">
      <c r="B17" s="14" t="inlineStr">
        <is>
          <t>TKT/2025/0013</t>
        </is>
      </c>
      <c r="C17" s="15" t="inlineStr"/>
      <c r="D17" s="16" t="inlineStr">
        <is>
          <t>Software Issue</t>
        </is>
      </c>
      <c r="E17" s="16" t="inlineStr"/>
      <c r="F17" s="16" t="inlineStr"/>
      <c r="G17" s="14" t="inlineStr">
        <is>
          <t>L</t>
        </is>
      </c>
      <c r="H17" s="16" t="inlineStr"/>
      <c r="I17" s="16" t="inlineStr"/>
      <c r="J17" s="15" t="inlineStr"/>
    </row>
    <row r="18" ht="22" customHeight="1">
      <c r="B18" s="8" t="inlineStr">
        <is>
          <t>TKT/2025/0014</t>
        </is>
      </c>
      <c r="C18" s="9" t="inlineStr"/>
      <c r="D18" s="10" t="inlineStr">
        <is>
          <t>Network / Internet</t>
        </is>
      </c>
      <c r="E18" s="10" t="inlineStr"/>
      <c r="F18" s="10" t="inlineStr"/>
      <c r="G18" s="8" t="inlineStr">
        <is>
          <t>C</t>
        </is>
      </c>
      <c r="H18" s="10" t="inlineStr"/>
      <c r="I18" s="10" t="inlineStr"/>
      <c r="J18" s="9" t="inlineStr"/>
    </row>
    <row r="19" ht="22" customHeight="1">
      <c r="B19" s="14" t="inlineStr">
        <is>
          <t>TKT/2025/0015</t>
        </is>
      </c>
      <c r="C19" s="15" t="inlineStr"/>
      <c r="D19" s="16" t="inlineStr">
        <is>
          <t>Printer / Peripheral</t>
        </is>
      </c>
      <c r="E19" s="16" t="inlineStr"/>
      <c r="F19" s="16" t="inlineStr"/>
      <c r="G19" s="14" t="inlineStr">
        <is>
          <t>M</t>
        </is>
      </c>
      <c r="H19" s="16" t="inlineStr"/>
      <c r="I19" s="16" t="inlineStr"/>
      <c r="J19" s="15" t="inlineStr"/>
    </row>
    <row r="20" ht="22" customHeight="1">
      <c r="B20" s="8" t="inlineStr">
        <is>
          <t>TKT/2025/0016</t>
        </is>
      </c>
      <c r="C20" s="9" t="inlineStr"/>
      <c r="D20" s="10" t="inlineStr">
        <is>
          <t>Account / Password</t>
        </is>
      </c>
      <c r="E20" s="10" t="inlineStr"/>
      <c r="F20" s="10" t="inlineStr"/>
      <c r="G20" s="8" t="inlineStr">
        <is>
          <t>H</t>
        </is>
      </c>
      <c r="H20" s="10" t="inlineStr"/>
      <c r="I20" s="10" t="inlineStr"/>
      <c r="J20" s="9" t="inlineStr"/>
    </row>
    <row r="21" ht="22" customHeight="1">
      <c r="B21" s="14" t="inlineStr">
        <is>
          <t>TKT/2025/0017</t>
        </is>
      </c>
      <c r="C21" s="15" t="inlineStr"/>
      <c r="D21" s="16" t="inlineStr">
        <is>
          <t>Email Issue</t>
        </is>
      </c>
      <c r="E21" s="16" t="inlineStr"/>
      <c r="F21" s="16" t="inlineStr"/>
      <c r="G21" s="14" t="inlineStr">
        <is>
          <t>M</t>
        </is>
      </c>
      <c r="H21" s="16" t="inlineStr"/>
      <c r="I21" s="16" t="inlineStr"/>
      <c r="J21" s="15" t="inlineStr"/>
    </row>
    <row r="22" ht="22" customHeight="1">
      <c r="B22" s="8" t="inlineStr">
        <is>
          <t>TKT/2025/0018</t>
        </is>
      </c>
      <c r="C22" s="9" t="inlineStr"/>
      <c r="D22" s="10" t="inlineStr">
        <is>
          <t>LMS / Portal</t>
        </is>
      </c>
      <c r="E22" s="10" t="inlineStr"/>
      <c r="F22" s="10" t="inlineStr"/>
      <c r="G22" s="8" t="inlineStr">
        <is>
          <t>L</t>
        </is>
      </c>
      <c r="H22" s="10" t="inlineStr"/>
      <c r="I22" s="10" t="inlineStr"/>
      <c r="J22" s="9" t="inlineStr"/>
    </row>
    <row r="23" ht="22" customHeight="1">
      <c r="B23" s="14" t="inlineStr">
        <is>
          <t>TKT/2025/0019</t>
        </is>
      </c>
      <c r="C23" s="15" t="inlineStr"/>
      <c r="D23" s="16" t="inlineStr">
        <is>
          <t>Security Alert</t>
        </is>
      </c>
      <c r="E23" s="16" t="inlineStr"/>
      <c r="F23" s="16" t="inlineStr"/>
      <c r="G23" s="14" t="inlineStr">
        <is>
          <t>C</t>
        </is>
      </c>
      <c r="H23" s="16" t="inlineStr"/>
      <c r="I23" s="16" t="inlineStr"/>
      <c r="J23" s="15" t="inlineStr"/>
    </row>
    <row r="24" ht="22" customHeight="1">
      <c r="B24" s="8" t="inlineStr">
        <is>
          <t>TKT/2025/0020</t>
        </is>
      </c>
      <c r="C24" s="9" t="inlineStr"/>
      <c r="D24" s="10" t="inlineStr">
        <is>
          <t>New Installation</t>
        </is>
      </c>
      <c r="E24" s="10" t="inlineStr"/>
      <c r="F24" s="10" t="inlineStr"/>
      <c r="G24" s="8" t="inlineStr">
        <is>
          <t>M</t>
        </is>
      </c>
      <c r="H24" s="10" t="inlineStr"/>
      <c r="I24" s="10" t="inlineStr"/>
      <c r="J24" s="9" t="inlineStr"/>
    </row>
    <row r="25" ht="22" customHeight="1">
      <c r="B25" s="14" t="inlineStr">
        <is>
          <t>TKT/2025/0021</t>
        </is>
      </c>
      <c r="C25" s="15" t="inlineStr"/>
      <c r="D25" s="16" t="inlineStr">
        <is>
          <t>Data Recovery</t>
        </is>
      </c>
      <c r="E25" s="16" t="inlineStr"/>
      <c r="F25" s="16" t="inlineStr"/>
      <c r="G25" s="14" t="inlineStr">
        <is>
          <t>H</t>
        </is>
      </c>
      <c r="H25" s="16" t="inlineStr"/>
      <c r="I25" s="16" t="inlineStr"/>
      <c r="J25" s="15" t="inlineStr"/>
    </row>
    <row r="26" ht="22" customHeight="1">
      <c r="B26" s="8" t="inlineStr">
        <is>
          <t>TKT/2025/0022</t>
        </is>
      </c>
      <c r="C26" s="9" t="inlineStr"/>
      <c r="D26" s="10" t="inlineStr">
        <is>
          <t>Other</t>
        </is>
      </c>
      <c r="E26" s="10" t="inlineStr"/>
      <c r="F26" s="10" t="inlineStr"/>
      <c r="G26" s="8" t="inlineStr">
        <is>
          <t>M</t>
        </is>
      </c>
      <c r="H26" s="10" t="inlineStr"/>
      <c r="I26" s="10" t="inlineStr"/>
      <c r="J26" s="9" t="inlineStr"/>
    </row>
    <row r="27" ht="22" customHeight="1">
      <c r="B27" s="14" t="inlineStr">
        <is>
          <t>TKT/2025/0023</t>
        </is>
      </c>
      <c r="C27" s="15" t="inlineStr"/>
      <c r="D27" s="16" t="inlineStr">
        <is>
          <t>Hardware Failure</t>
        </is>
      </c>
      <c r="E27" s="16" t="inlineStr"/>
      <c r="F27" s="16" t="inlineStr"/>
      <c r="G27" s="14" t="inlineStr">
        <is>
          <t>L</t>
        </is>
      </c>
      <c r="H27" s="16" t="inlineStr"/>
      <c r="I27" s="16" t="inlineStr"/>
      <c r="J27" s="15" t="inlineStr"/>
    </row>
    <row r="28" ht="22" customHeight="1">
      <c r="B28" s="8" t="inlineStr">
        <is>
          <t>TKT/2025/0024</t>
        </is>
      </c>
      <c r="C28" s="9" t="inlineStr"/>
      <c r="D28" s="10" t="inlineStr">
        <is>
          <t>Software Issue</t>
        </is>
      </c>
      <c r="E28" s="10" t="inlineStr"/>
      <c r="F28" s="10" t="inlineStr"/>
      <c r="G28" s="8" t="inlineStr">
        <is>
          <t>C</t>
        </is>
      </c>
      <c r="H28" s="10" t="inlineStr"/>
      <c r="I28" s="10" t="inlineStr"/>
      <c r="J28" s="9" t="inlineStr"/>
    </row>
    <row r="29" ht="22" customHeight="1"/>
    <row r="30" ht="24" customHeight="1">
      <c r="B30" s="34" t="inlineStr">
        <is>
          <t>SERVICE DESK PERFORMANCE METRICS</t>
        </is>
      </c>
    </row>
    <row r="31" ht="22" customHeight="1">
      <c r="B31" s="35" t="inlineStr">
        <is>
          <t>Total Tickets This Period</t>
        </is>
      </c>
      <c r="F31" s="36">
        <f>COUNTA(B5:B28)</f>
        <v/>
      </c>
    </row>
    <row r="32" ht="22" customHeight="1">
      <c r="B32" s="25" t="inlineStr">
        <is>
          <t>Resolved</t>
        </is>
      </c>
      <c r="F32" s="37" t="inlineStr"/>
    </row>
    <row r="33" ht="22" customHeight="1">
      <c r="B33" s="35" t="inlineStr">
        <is>
          <t>Open / Pending</t>
        </is>
      </c>
      <c r="F33" s="36" t="inlineStr"/>
    </row>
    <row r="34" ht="22" customHeight="1">
      <c r="B34" s="25" t="inlineStr">
        <is>
          <t>Avg. Resolution Time (Hrs)</t>
        </is>
      </c>
      <c r="F34" s="37" t="inlineStr"/>
    </row>
    <row r="35" ht="22" customHeight="1">
      <c r="B35" s="35" t="inlineStr">
        <is>
          <t>SLA Compliance Rate (%)</t>
        </is>
      </c>
      <c r="F35" s="36" t="inlineStr"/>
    </row>
    <row r="36" ht="22" customHeight="1">
      <c r="B36" s="25" t="inlineStr">
        <is>
          <t>Most Common Category</t>
        </is>
      </c>
      <c r="F36" s="37" t="inlineStr"/>
    </row>
    <row r="37" ht="22" customHeight="1">
      <c r="B37" s="35" t="inlineStr">
        <is>
          <t>User Satisfaction Score (/5)</t>
        </is>
      </c>
      <c r="F37" s="36" t="inlineStr"/>
    </row>
  </sheetData>
  <mergeCells count="17">
    <mergeCell ref="B31:E31"/>
    <mergeCell ref="B36:E36"/>
    <mergeCell ref="B3:J3"/>
    <mergeCell ref="B35:E35"/>
    <mergeCell ref="F37:J37"/>
    <mergeCell ref="F35:J35"/>
    <mergeCell ref="F34:J34"/>
    <mergeCell ref="B37:E37"/>
    <mergeCell ref="F36:J36"/>
    <mergeCell ref="B33:E33"/>
    <mergeCell ref="F33:J33"/>
    <mergeCell ref="F31:J31"/>
    <mergeCell ref="B34:E34"/>
    <mergeCell ref="F32:J32"/>
    <mergeCell ref="B30:J30"/>
    <mergeCell ref="B2:J2"/>
    <mergeCell ref="B32:E3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J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2" t="inlineStr">
        <is>
          <t>ICT-33: ICT / DIGITAL LITERACY TRAINING REGISTER</t>
        </is>
      </c>
    </row>
    <row r="3" ht="25" customHeight="1">
      <c r="B3" s="2" t="inlineStr">
        <is>
          <t>A.Y.: _______  Training Coordinator: ___________________  NAAC Criterion VI.3</t>
        </is>
      </c>
    </row>
    <row r="4" ht="25" customHeight="1">
      <c r="B4" s="13" t="inlineStr">
        <is>
          <t>Sl.</t>
        </is>
      </c>
      <c r="C4" s="13" t="inlineStr">
        <is>
          <t>Training Programme Title</t>
        </is>
      </c>
      <c r="D4" s="13" t="inlineStr">
        <is>
          <t>Target
Audience</t>
        </is>
      </c>
      <c r="E4" s="13" t="inlineStr">
        <is>
          <t>Date(s)</t>
        </is>
      </c>
      <c r="F4" s="13" t="inlineStr">
        <is>
          <t>Mode</t>
        </is>
      </c>
      <c r="G4" s="13" t="inlineStr">
        <is>
          <t>Trainer / Platform</t>
        </is>
      </c>
      <c r="H4" s="13" t="inlineStr">
        <is>
          <t>Participants
Registered</t>
        </is>
      </c>
      <c r="I4" s="13" t="inlineStr">
        <is>
          <t>Participants
Completed</t>
        </is>
      </c>
      <c r="J4" s="13" t="inlineStr">
        <is>
          <t>Feedback
Score (/5)</t>
        </is>
      </c>
    </row>
    <row r="5" ht="22" customHeight="1">
      <c r="B5" s="14" t="n">
        <v>1</v>
      </c>
      <c r="C5" s="15" t="inlineStr">
        <is>
          <t>Office Productivity — Advanced Features</t>
        </is>
      </c>
      <c r="D5" s="16" t="inlineStr">
        <is>
          <t>All Staff</t>
        </is>
      </c>
      <c r="E5" s="16" t="inlineStr"/>
      <c r="F5" s="16" t="inlineStr">
        <is>
          <t>Physical</t>
        </is>
      </c>
      <c r="G5" s="16" t="inlineStr"/>
      <c r="H5" s="16" t="inlineStr"/>
      <c r="I5" s="16" t="inlineStr"/>
      <c r="J5" s="16" t="inlineStr"/>
    </row>
    <row r="6" ht="22" customHeight="1">
      <c r="B6" s="8" t="n">
        <v>2</v>
      </c>
      <c r="C6" s="9" t="inlineStr">
        <is>
          <t>LMS Faculty Training — Course Creation</t>
        </is>
      </c>
      <c r="D6" s="10" t="inlineStr">
        <is>
          <t>Teaching Staff</t>
        </is>
      </c>
      <c r="E6" s="10" t="inlineStr"/>
      <c r="F6" s="10" t="inlineStr">
        <is>
          <t>Workshop</t>
        </is>
      </c>
      <c r="G6" s="10" t="inlineStr"/>
      <c r="H6" s="10" t="inlineStr"/>
      <c r="I6" s="10" t="inlineStr"/>
      <c r="J6" s="10" t="inlineStr"/>
    </row>
    <row r="7" ht="22" customHeight="1">
      <c r="B7" s="14" t="n">
        <v>3</v>
      </c>
      <c r="C7" s="15" t="inlineStr">
        <is>
          <t>Cybersecurity Awareness for All Employees</t>
        </is>
      </c>
      <c r="D7" s="16" t="inlineStr">
        <is>
          <t>All Staff</t>
        </is>
      </c>
      <c r="E7" s="16" t="inlineStr"/>
      <c r="F7" s="16" t="inlineStr">
        <is>
          <t>Online</t>
        </is>
      </c>
      <c r="G7" s="16" t="inlineStr"/>
      <c r="H7" s="16" t="inlineStr"/>
      <c r="I7" s="16" t="inlineStr"/>
      <c r="J7" s="16" t="inlineStr"/>
    </row>
    <row r="8" ht="22" customHeight="1">
      <c r="B8" s="8" t="n">
        <v>4</v>
      </c>
      <c r="C8" s="9" t="inlineStr">
        <is>
          <t>Data Privacy &amp; PDPB Awareness</t>
        </is>
      </c>
      <c r="D8" s="10" t="inlineStr">
        <is>
          <t>Admin &amp; HR</t>
        </is>
      </c>
      <c r="E8" s="10" t="inlineStr"/>
      <c r="F8" s="10" t="inlineStr">
        <is>
          <t>Online</t>
        </is>
      </c>
      <c r="G8" s="10" t="inlineStr"/>
      <c r="H8" s="10" t="inlineStr"/>
      <c r="I8" s="10" t="inlineStr"/>
      <c r="J8" s="10" t="inlineStr"/>
    </row>
    <row r="9" ht="22" customHeight="1">
      <c r="B9" s="14" t="n">
        <v>5</v>
      </c>
      <c r="C9" s="15" t="inlineStr">
        <is>
          <t>e-Content Creation — Video &amp; Multimedia</t>
        </is>
      </c>
      <c r="D9" s="16" t="inlineStr">
        <is>
          <t>Faculty</t>
        </is>
      </c>
      <c r="E9" s="16" t="inlineStr"/>
      <c r="F9" s="16" t="inlineStr">
        <is>
          <t>Workshop</t>
        </is>
      </c>
      <c r="G9" s="16" t="inlineStr"/>
      <c r="H9" s="16" t="inlineStr"/>
      <c r="I9" s="16" t="inlineStr"/>
      <c r="J9" s="16" t="inlineStr"/>
    </row>
    <row r="10" ht="22" customHeight="1">
      <c r="B10" s="8" t="n">
        <v>6</v>
      </c>
      <c r="C10" s="9" t="inlineStr">
        <is>
          <t>AI Tools for Educators</t>
        </is>
      </c>
      <c r="D10" s="10" t="inlineStr">
        <is>
          <t>Faculty</t>
        </is>
      </c>
      <c r="E10" s="10" t="inlineStr"/>
      <c r="F10" s="10" t="inlineStr">
        <is>
          <t>Workshop</t>
        </is>
      </c>
      <c r="G10" s="10" t="inlineStr"/>
      <c r="H10" s="10" t="inlineStr"/>
      <c r="I10" s="10" t="inlineStr"/>
      <c r="J10" s="10" t="inlineStr"/>
    </row>
    <row r="11" ht="22" customHeight="1">
      <c r="B11" s="14" t="n">
        <v>7</v>
      </c>
      <c r="C11" s="15" t="inlineStr">
        <is>
          <t>Cloud Tools (Google Workspace / M365)</t>
        </is>
      </c>
      <c r="D11" s="16" t="inlineStr">
        <is>
          <t>All Staff</t>
        </is>
      </c>
      <c r="E11" s="16" t="inlineStr"/>
      <c r="F11" s="16" t="inlineStr">
        <is>
          <t>Online</t>
        </is>
      </c>
      <c r="G11" s="16" t="inlineStr"/>
      <c r="H11" s="16" t="inlineStr"/>
      <c r="I11" s="16" t="inlineStr"/>
      <c r="J11" s="16" t="inlineStr"/>
    </row>
    <row r="12" ht="22" customHeight="1">
      <c r="B12" s="8" t="n">
        <v>8</v>
      </c>
      <c r="C12" s="9" t="inlineStr">
        <is>
          <t>Python / Data Science Basics for Faculty</t>
        </is>
      </c>
      <c r="D12" s="10" t="inlineStr">
        <is>
          <t>Faculty</t>
        </is>
      </c>
      <c r="E12" s="10" t="inlineStr"/>
      <c r="F12" s="10" t="inlineStr">
        <is>
          <t>MOOC</t>
        </is>
      </c>
      <c r="G12" s="10" t="inlineStr"/>
      <c r="H12" s="10" t="inlineStr"/>
      <c r="I12" s="10" t="inlineStr"/>
      <c r="J12" s="10" t="inlineStr"/>
    </row>
    <row r="13" ht="22" customHeight="1">
      <c r="B13" s="14" t="n">
        <v>9</v>
      </c>
      <c r="C13" s="15" t="inlineStr">
        <is>
          <t>Digital Assessment &amp; Online Proctoring</t>
        </is>
      </c>
      <c r="D13" s="16" t="inlineStr">
        <is>
          <t>Faculty</t>
        </is>
      </c>
      <c r="E13" s="16" t="inlineStr"/>
      <c r="F13" s="16" t="inlineStr">
        <is>
          <t>Workshop</t>
        </is>
      </c>
      <c r="G13" s="16" t="inlineStr"/>
      <c r="H13" s="16" t="inlineStr"/>
      <c r="I13" s="16" t="inlineStr"/>
      <c r="J13" s="16" t="inlineStr"/>
    </row>
    <row r="14" ht="22" customHeight="1">
      <c r="B14" s="8" t="n">
        <v>10</v>
      </c>
      <c r="C14" s="9" t="inlineStr">
        <is>
          <t>Student: Digital Literacy Foundation</t>
        </is>
      </c>
      <c r="D14" s="10" t="inlineStr">
        <is>
          <t>Students</t>
        </is>
      </c>
      <c r="E14" s="10" t="inlineStr"/>
      <c r="F14" s="10" t="inlineStr">
        <is>
          <t>Online</t>
        </is>
      </c>
      <c r="G14" s="10" t="inlineStr"/>
      <c r="H14" s="10" t="inlineStr"/>
      <c r="I14" s="10" t="inlineStr"/>
      <c r="J14" s="10" t="inlineStr"/>
    </row>
    <row r="15" ht="22" customHeight="1">
      <c r="B15" s="14" t="n">
        <v>11</v>
      </c>
      <c r="C15" s="15" t="inlineStr">
        <is>
          <t>Student: Advanced Computing / Programming</t>
        </is>
      </c>
      <c r="D15" s="16" t="inlineStr">
        <is>
          <t>Students</t>
        </is>
      </c>
      <c r="E15" s="16" t="inlineStr"/>
      <c r="F15" s="16" t="inlineStr">
        <is>
          <t>Lab</t>
        </is>
      </c>
      <c r="G15" s="16" t="inlineStr"/>
      <c r="H15" s="16" t="inlineStr"/>
      <c r="I15" s="16" t="inlineStr"/>
      <c r="J15" s="16" t="inlineStr"/>
    </row>
    <row r="16" ht="22" customHeight="1">
      <c r="B16" s="8" t="n">
        <v>12</v>
      </c>
      <c r="C16" s="9" t="inlineStr">
        <is>
          <t>Student: AI &amp; Emerging Technology</t>
        </is>
      </c>
      <c r="D16" s="10" t="inlineStr">
        <is>
          <t>Students</t>
        </is>
      </c>
      <c r="E16" s="10" t="inlineStr"/>
      <c r="F16" s="10" t="inlineStr">
        <is>
          <t>Workshop</t>
        </is>
      </c>
      <c r="G16" s="10" t="inlineStr"/>
      <c r="H16" s="10" t="inlineStr"/>
      <c r="I16" s="10" t="inlineStr"/>
      <c r="J16" s="10" t="inlineStr"/>
    </row>
    <row r="17" ht="22" customHeight="1">
      <c r="B17" s="14" t="n">
        <v>13</v>
      </c>
      <c r="C17" s="15" t="inlineStr">
        <is>
          <t>IT Security for Students</t>
        </is>
      </c>
      <c r="D17" s="16" t="inlineStr">
        <is>
          <t>Students</t>
        </is>
      </c>
      <c r="E17" s="16" t="inlineStr"/>
      <c r="F17" s="16" t="inlineStr">
        <is>
          <t>Online</t>
        </is>
      </c>
      <c r="G17" s="16" t="inlineStr"/>
      <c r="H17" s="16" t="inlineStr"/>
      <c r="I17" s="16" t="inlineStr"/>
      <c r="J17" s="16" t="inlineStr"/>
    </row>
    <row r="18" ht="22" customHeight="1">
      <c r="B18" s="8" t="n">
        <v>14</v>
      </c>
      <c r="C18" s="9" t="inlineStr">
        <is>
          <t>Research Tools — Mendeley / Zotero</t>
        </is>
      </c>
      <c r="D18" s="10" t="inlineStr">
        <is>
          <t>Faculty / Scholars</t>
        </is>
      </c>
      <c r="E18" s="10" t="inlineStr"/>
      <c r="F18" s="10" t="inlineStr">
        <is>
          <t>Workshop</t>
        </is>
      </c>
      <c r="G18" s="10" t="inlineStr"/>
      <c r="H18" s="10" t="inlineStr"/>
      <c r="I18" s="10" t="inlineStr"/>
      <c r="J18" s="10" t="inlineStr"/>
    </row>
    <row r="19" ht="22" customHeight="1"/>
    <row r="20" ht="24" customHeight="1">
      <c r="B20" s="34" t="inlineStr">
        <is>
          <t>TRAINING COVERAGE SUMMARY — DEPARTMENT-WISE</t>
        </is>
      </c>
    </row>
    <row r="21" ht="22" customHeight="1">
      <c r="B21" s="30" t="inlineStr">
        <is>
          <t>Department</t>
        </is>
      </c>
      <c r="C21" s="30" t="inlineStr">
        <is>
          <t>Total Staff / Students</t>
        </is>
      </c>
      <c r="D21" s="30" t="inlineStr">
        <is>
          <t>Trained (This A.Y.)</t>
        </is>
      </c>
      <c r="E21" s="30" t="inlineStr">
        <is>
          <t>Coverage %</t>
        </is>
      </c>
      <c r="F21" s="30" t="inlineStr">
        <is>
          <t>Avg. Score (/5)</t>
        </is>
      </c>
      <c r="G21" s="30" t="inlineStr">
        <is>
          <t>Pending</t>
        </is>
      </c>
    </row>
    <row r="22" ht="22" customHeight="1">
      <c r="B22" s="33" t="inlineStr">
        <is>
          <t>CSE</t>
        </is>
      </c>
      <c r="C22" s="33" t="inlineStr"/>
      <c r="D22" s="33" t="inlineStr"/>
      <c r="E22" s="33">
        <f>IFERROR(ROUND(D22/C22*100,1),"")</f>
        <v/>
      </c>
      <c r="F22" s="33" t="inlineStr"/>
      <c r="G22" s="33">
        <f>IFERROR(C22-D22,"")</f>
        <v/>
      </c>
      <c r="H22" s="67" t="n"/>
      <c r="I22" s="67" t="n"/>
      <c r="J22" s="67" t="n"/>
    </row>
    <row r="23" ht="22" customHeight="1">
      <c r="B23" s="10" t="inlineStr">
        <is>
          <t>ECE</t>
        </is>
      </c>
      <c r="C23" s="10" t="inlineStr"/>
      <c r="D23" s="10" t="inlineStr"/>
      <c r="E23" s="10">
        <f>IFERROR(ROUND(D23/C23*100,1),"")</f>
        <v/>
      </c>
      <c r="F23" s="10" t="inlineStr"/>
      <c r="G23" s="10">
        <f>IFERROR(C23-D23,"")</f>
        <v/>
      </c>
      <c r="H23" s="45" t="n"/>
      <c r="I23" s="45" t="n"/>
      <c r="J23" s="45" t="n"/>
    </row>
    <row r="24" ht="22" customHeight="1">
      <c r="B24" s="33" t="inlineStr">
        <is>
          <t>EEE</t>
        </is>
      </c>
      <c r="C24" s="33" t="inlineStr"/>
      <c r="D24" s="33" t="inlineStr"/>
      <c r="E24" s="33">
        <f>IFERROR(ROUND(D24/C24*100,1),"")</f>
        <v/>
      </c>
      <c r="F24" s="33" t="inlineStr"/>
      <c r="G24" s="33">
        <f>IFERROR(C24-D24,"")</f>
        <v/>
      </c>
      <c r="H24" s="67" t="n"/>
      <c r="I24" s="67" t="n"/>
      <c r="J24" s="67" t="n"/>
    </row>
    <row r="25" ht="22" customHeight="1">
      <c r="B25" s="10" t="inlineStr">
        <is>
          <t>MECH</t>
        </is>
      </c>
      <c r="C25" s="10" t="inlineStr"/>
      <c r="D25" s="10" t="inlineStr"/>
      <c r="E25" s="10">
        <f>IFERROR(ROUND(D25/C25*100,1),"")</f>
        <v/>
      </c>
      <c r="F25" s="10" t="inlineStr"/>
      <c r="G25" s="10">
        <f>IFERROR(C25-D25,"")</f>
        <v/>
      </c>
      <c r="H25" s="45" t="n"/>
      <c r="I25" s="45" t="n"/>
      <c r="J25" s="45" t="n"/>
    </row>
    <row r="26" ht="22" customHeight="1">
      <c r="B26" s="33" t="inlineStr">
        <is>
          <t>CIVIL</t>
        </is>
      </c>
      <c r="C26" s="33" t="inlineStr"/>
      <c r="D26" s="33" t="inlineStr"/>
      <c r="E26" s="33">
        <f>IFERROR(ROUND(D26/C26*100,1),"")</f>
        <v/>
      </c>
      <c r="F26" s="33" t="inlineStr"/>
      <c r="G26" s="33">
        <f>IFERROR(C26-D26,"")</f>
        <v/>
      </c>
      <c r="H26" s="67" t="n"/>
      <c r="I26" s="67" t="n"/>
      <c r="J26" s="67" t="n"/>
    </row>
    <row r="27" ht="22" customHeight="1">
      <c r="B27" s="10" t="inlineStr">
        <is>
          <t>S&amp;H</t>
        </is>
      </c>
      <c r="C27" s="10" t="inlineStr"/>
      <c r="D27" s="10" t="inlineStr"/>
      <c r="E27" s="10">
        <f>IFERROR(ROUND(D27/C27*100,1),"")</f>
        <v/>
      </c>
      <c r="F27" s="10" t="inlineStr"/>
      <c r="G27" s="10">
        <f>IFERROR(C27-D27,"")</f>
        <v/>
      </c>
      <c r="H27" s="45" t="n"/>
      <c r="I27" s="45" t="n"/>
      <c r="J27" s="45" t="n"/>
    </row>
    <row r="28" ht="22" customHeight="1">
      <c r="B28" s="33" t="inlineStr">
        <is>
          <t>MBA</t>
        </is>
      </c>
      <c r="C28" s="33" t="inlineStr"/>
      <c r="D28" s="33" t="inlineStr"/>
      <c r="E28" s="33">
        <f>IFERROR(ROUND(D28/C28*100,1),"")</f>
        <v/>
      </c>
      <c r="F28" s="33" t="inlineStr"/>
      <c r="G28" s="33">
        <f>IFERROR(C28-D28,"")</f>
        <v/>
      </c>
      <c r="H28" s="67" t="n"/>
      <c r="I28" s="67" t="n"/>
      <c r="J28" s="67" t="n"/>
    </row>
    <row r="29" ht="22" customHeight="1">
      <c r="B29" s="10" t="inlineStr">
        <is>
          <t>MCA</t>
        </is>
      </c>
      <c r="C29" s="10" t="inlineStr"/>
      <c r="D29" s="10" t="inlineStr"/>
      <c r="E29" s="10">
        <f>IFERROR(ROUND(D29/C29*100,1),"")</f>
        <v/>
      </c>
      <c r="F29" s="10" t="inlineStr"/>
      <c r="G29" s="10">
        <f>IFERROR(C29-D29,"")</f>
        <v/>
      </c>
      <c r="H29" s="45" t="n"/>
      <c r="I29" s="45" t="n"/>
      <c r="J29" s="45" t="n"/>
    </row>
    <row r="30" ht="22" customHeight="1">
      <c r="B30" s="47" t="inlineStr">
        <is>
          <t>INSTITUTION</t>
        </is>
      </c>
      <c r="C30" s="47" t="inlineStr"/>
      <c r="D30" s="47" t="inlineStr"/>
      <c r="E30" s="47">
        <f>IFERROR(ROUND(D30/C30*100,1),"")</f>
        <v/>
      </c>
      <c r="F30" s="47" t="inlineStr"/>
      <c r="G30" s="47">
        <f>IFERROR(C30-D30,"")</f>
        <v/>
      </c>
      <c r="H30" s="48" t="n"/>
      <c r="I30" s="48" t="n"/>
      <c r="J30" s="48" t="n"/>
    </row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</sheetData>
  <mergeCells count="3">
    <mergeCell ref="B20:J20"/>
    <mergeCell ref="B3:J3"/>
    <mergeCell ref="B2:J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2:H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8" customHeight="1">
      <c r="B2" s="12" t="inlineStr">
        <is>
          <t>ICT-36: GREEN ICT &amp; e-WASTE AUDIT REGISTER</t>
        </is>
      </c>
    </row>
    <row r="3" ht="25" customHeight="1">
      <c r="B3" s="2" t="inlineStr">
        <is>
          <t>A.Y.: _______  Auditor: ___________________  Aligned to: E-Waste (Management) Rules 2022 / NAAC Criterion VII</t>
        </is>
      </c>
    </row>
    <row r="4" ht="24" customHeight="1">
      <c r="B4" s="19" t="inlineStr">
        <is>
          <t>A. ENERGY CONSUMPTION — ICT</t>
        </is>
      </c>
    </row>
    <row r="5" ht="22" customHeight="1">
      <c r="B5" s="13" t="inlineStr">
        <is>
          <t>Sl.</t>
        </is>
      </c>
      <c r="C5" s="13" t="inlineStr">
        <is>
          <t>Green ICT Parameter</t>
        </is>
      </c>
      <c r="D5" s="13" t="inlineStr">
        <is>
          <t>Unit / Standard</t>
        </is>
      </c>
      <c r="E5" s="13" t="inlineStr">
        <is>
          <t>Current Value
/ Status</t>
        </is>
      </c>
      <c r="F5" s="13" t="inlineStr">
        <is>
          <t>Prev. Year</t>
        </is>
      </c>
      <c r="G5" s="13" t="inlineStr">
        <is>
          <t>Target</t>
        </is>
      </c>
      <c r="H5" s="13" t="inlineStr">
        <is>
          <t>Action Required</t>
        </is>
      </c>
    </row>
    <row r="6" ht="22" customHeight="1">
      <c r="B6" s="14" t="n">
        <v>1</v>
      </c>
      <c r="C6" s="15" t="inlineStr">
        <is>
          <t>Total IT equipment power consumption (kWh/year)</t>
        </is>
      </c>
      <c r="D6" s="16" t="inlineStr">
        <is>
          <t>Annual meter reading</t>
        </is>
      </c>
      <c r="E6" s="16" t="inlineStr"/>
      <c r="F6" s="16" t="inlineStr"/>
      <c r="G6" s="16" t="inlineStr"/>
      <c r="H6" s="15" t="inlineStr"/>
    </row>
    <row r="7" ht="22" customHeight="1">
      <c r="B7" s="8" t="n">
        <v>2</v>
      </c>
      <c r="C7" s="9" t="inlineStr">
        <is>
          <t>Data centre / server room PUE (Power Usage Effectiveness)</t>
        </is>
      </c>
      <c r="D7" s="10" t="inlineStr">
        <is>
          <t>Target: PUE ≤ 1.5</t>
        </is>
      </c>
      <c r="E7" s="10" t="inlineStr"/>
      <c r="F7" s="10" t="inlineStr"/>
      <c r="G7" s="10" t="inlineStr"/>
      <c r="H7" s="9" t="inlineStr"/>
    </row>
    <row r="8" ht="22" customHeight="1">
      <c r="B8" s="14" t="n">
        <v>3</v>
      </c>
      <c r="C8" s="15" t="inlineStr">
        <is>
          <t>% of IT equipment with Energy Star / BEE 5-star rating</t>
        </is>
      </c>
      <c r="D8" s="16" t="inlineStr">
        <is>
          <t>% of total units</t>
        </is>
      </c>
      <c r="E8" s="16" t="inlineStr"/>
      <c r="F8" s="16" t="inlineStr"/>
      <c r="G8" s="16" t="inlineStr"/>
      <c r="H8" s="15" t="inlineStr"/>
    </row>
    <row r="9" ht="22" customHeight="1">
      <c r="B9" s="8" t="n">
        <v>4</v>
      </c>
      <c r="C9" s="9" t="inlineStr">
        <is>
          <t>Computer lab auto-shutdown policy implemented</t>
        </is>
      </c>
      <c r="D9" s="10" t="inlineStr">
        <is>
          <t>Y/N — schedule defined</t>
        </is>
      </c>
      <c r="E9" s="10" t="inlineStr"/>
      <c r="F9" s="10" t="inlineStr"/>
      <c r="G9" s="10" t="inlineStr"/>
      <c r="H9" s="9" t="inlineStr"/>
    </row>
    <row r="10" ht="22" customHeight="1">
      <c r="B10" s="14" t="n">
        <v>5</v>
      </c>
      <c r="C10" s="15" t="inlineStr">
        <is>
          <t>Virtualization implemented (reduces physical servers)</t>
        </is>
      </c>
      <c r="D10" s="16" t="inlineStr">
        <is>
          <t>No. of VMs vs. physical</t>
        </is>
      </c>
      <c r="E10" s="16" t="inlineStr"/>
      <c r="F10" s="16" t="inlineStr"/>
      <c r="G10" s="16" t="inlineStr"/>
      <c r="H10" s="15" t="inlineStr"/>
    </row>
    <row r="11" ht="22" customHeight="1">
      <c r="B11" s="8" t="n">
        <v>6</v>
      </c>
      <c r="C11" s="9" t="inlineStr">
        <is>
          <t>Cloud migration to reduce on-premise energy</t>
        </is>
      </c>
      <c r="D11" s="10" t="inlineStr">
        <is>
          <t>% workloads on cloud</t>
        </is>
      </c>
      <c r="E11" s="10" t="inlineStr"/>
      <c r="F11" s="10" t="inlineStr"/>
      <c r="G11" s="10" t="inlineStr"/>
      <c r="H11" s="9" t="inlineStr"/>
    </row>
    <row r="12" ht="22" customHeight="1"/>
    <row r="13" ht="24" customHeight="1">
      <c r="B13" s="34" t="inlineStr">
        <is>
          <t>B. e-WASTE MANAGEMENT</t>
        </is>
      </c>
    </row>
    <row r="14" ht="22" customHeight="1">
      <c r="B14" s="30" t="inlineStr">
        <is>
          <t>Sl.</t>
        </is>
      </c>
      <c r="C14" s="30" t="inlineStr">
        <is>
          <t>Green ICT Parameter</t>
        </is>
      </c>
      <c r="D14" s="30" t="inlineStr">
        <is>
          <t>Unit / Standard</t>
        </is>
      </c>
      <c r="E14" s="30" t="inlineStr">
        <is>
          <t>Current Value
/ Status</t>
        </is>
      </c>
      <c r="F14" s="30" t="inlineStr">
        <is>
          <t>Prev. Year</t>
        </is>
      </c>
      <c r="G14" s="30" t="inlineStr">
        <is>
          <t>Target</t>
        </is>
      </c>
      <c r="H14" s="30" t="inlineStr">
        <is>
          <t>Action Required</t>
        </is>
      </c>
    </row>
    <row r="15" ht="22" customHeight="1">
      <c r="B15" s="31" t="n">
        <v>1</v>
      </c>
      <c r="C15" s="32" t="inlineStr">
        <is>
          <t>Total e-waste generated this year (kg / units)</t>
        </is>
      </c>
      <c r="D15" s="33" t="inlineStr">
        <is>
          <t>By category</t>
        </is>
      </c>
      <c r="E15" s="33" t="inlineStr"/>
      <c r="F15" s="33" t="inlineStr"/>
      <c r="G15" s="33" t="inlineStr"/>
      <c r="H15" s="32" t="inlineStr"/>
    </row>
    <row r="16" ht="22" customHeight="1">
      <c r="B16" s="8" t="n">
        <v>2</v>
      </c>
      <c r="C16" s="9" t="inlineStr">
        <is>
          <t>e-Waste disposed via authorised recycler (%)</t>
        </is>
      </c>
      <c r="D16" s="10" t="inlineStr">
        <is>
          <t>100% mandatory</t>
        </is>
      </c>
      <c r="E16" s="10" t="inlineStr"/>
      <c r="F16" s="10" t="inlineStr"/>
      <c r="G16" s="10" t="inlineStr"/>
      <c r="H16" s="9" t="inlineStr"/>
    </row>
    <row r="17" ht="22" customHeight="1">
      <c r="B17" s="31" t="n">
        <v>3</v>
      </c>
      <c r="C17" s="32" t="inlineStr">
        <is>
          <t>Authorised e-waste recycler name &amp; E-waste PRO</t>
        </is>
      </c>
      <c r="D17" s="33" t="inlineStr">
        <is>
          <t>Name + Ref. No.</t>
        </is>
      </c>
      <c r="E17" s="33" t="inlineStr"/>
      <c r="F17" s="33" t="inlineStr"/>
      <c r="G17" s="33" t="inlineStr"/>
      <c r="H17" s="32" t="inlineStr"/>
    </row>
    <row r="18" ht="22" customHeight="1">
      <c r="B18" s="8" t="n">
        <v>4</v>
      </c>
      <c r="C18" s="9" t="inlineStr">
        <is>
          <t>e-Waste collection drive conducted</t>
        </is>
      </c>
      <c r="D18" s="10" t="inlineStr">
        <is>
          <t>Y/N + Date</t>
        </is>
      </c>
      <c r="E18" s="10" t="inlineStr"/>
      <c r="F18" s="10" t="inlineStr"/>
      <c r="G18" s="10" t="inlineStr"/>
      <c r="H18" s="9" t="inlineStr"/>
    </row>
    <row r="19" ht="22" customHeight="1">
      <c r="B19" s="31" t="n">
        <v>5</v>
      </c>
      <c r="C19" s="32" t="inlineStr">
        <is>
          <t>Asset disposal records maintained</t>
        </is>
      </c>
      <c r="D19" s="33" t="inlineStr">
        <is>
          <t>Y/N</t>
        </is>
      </c>
      <c r="E19" s="33" t="inlineStr"/>
      <c r="F19" s="33" t="inlineStr"/>
      <c r="G19" s="33" t="inlineStr"/>
      <c r="H19" s="32" t="inlineStr"/>
    </row>
    <row r="20" ht="22" customHeight="1">
      <c r="B20" s="8" t="n">
        <v>6</v>
      </c>
      <c r="C20" s="9" t="inlineStr">
        <is>
          <t>CPCB-compliant e-waste disposal certificate obtained</t>
        </is>
      </c>
      <c r="D20" s="10" t="inlineStr">
        <is>
          <t>Certificate Ref.</t>
        </is>
      </c>
      <c r="E20" s="10" t="inlineStr"/>
      <c r="F20" s="10" t="inlineStr"/>
      <c r="G20" s="10" t="inlineStr"/>
      <c r="H20" s="9" t="inlineStr"/>
    </row>
    <row r="21" ht="22" customHeight="1"/>
    <row r="22" ht="24" customHeight="1">
      <c r="B22" s="55" t="inlineStr">
        <is>
          <t>C. GREEN PROCUREMENT</t>
        </is>
      </c>
    </row>
    <row r="23" ht="22" customHeight="1">
      <c r="B23" s="56" t="inlineStr">
        <is>
          <t>Sl.</t>
        </is>
      </c>
      <c r="C23" s="56" t="inlineStr">
        <is>
          <t>Green ICT Parameter</t>
        </is>
      </c>
      <c r="D23" s="56" t="inlineStr">
        <is>
          <t>Unit / Standard</t>
        </is>
      </c>
      <c r="E23" s="56" t="inlineStr">
        <is>
          <t>Current Value
/ Status</t>
        </is>
      </c>
      <c r="F23" s="56" t="inlineStr">
        <is>
          <t>Prev. Year</t>
        </is>
      </c>
      <c r="G23" s="56" t="inlineStr">
        <is>
          <t>Target</t>
        </is>
      </c>
      <c r="H23" s="56" t="inlineStr">
        <is>
          <t>Action Required</t>
        </is>
      </c>
    </row>
    <row r="24" ht="22" customHeight="1">
      <c r="B24" s="57" t="n">
        <v>1</v>
      </c>
      <c r="C24" s="58" t="inlineStr">
        <is>
          <t>Energy-efficient devices prioritised in procurement</t>
        </is>
      </c>
      <c r="D24" s="59" t="inlineStr">
        <is>
          <t>% of purchases BEE 5-star</t>
        </is>
      </c>
      <c r="E24" s="59" t="inlineStr"/>
      <c r="F24" s="59" t="inlineStr"/>
      <c r="G24" s="59" t="inlineStr"/>
      <c r="H24" s="58" t="inlineStr"/>
    </row>
    <row r="25" ht="22" customHeight="1">
      <c r="B25" s="8" t="n">
        <v>2</v>
      </c>
      <c r="C25" s="9" t="inlineStr">
        <is>
          <t>EPEAT-rated IT equipment purchased</t>
        </is>
      </c>
      <c r="D25" s="10" t="inlineStr">
        <is>
          <t>Y/N + Count</t>
        </is>
      </c>
      <c r="E25" s="10" t="inlineStr"/>
      <c r="F25" s="10" t="inlineStr"/>
      <c r="G25" s="10" t="inlineStr"/>
      <c r="H25" s="9" t="inlineStr"/>
    </row>
    <row r="26" ht="22" customHeight="1">
      <c r="B26" s="57" t="n">
        <v>3</v>
      </c>
      <c r="C26" s="58" t="inlineStr">
        <is>
          <t>Refurbished / remanufactured equipment policy</t>
        </is>
      </c>
      <c r="D26" s="59" t="inlineStr">
        <is>
          <t>Y/N</t>
        </is>
      </c>
      <c r="E26" s="59" t="inlineStr"/>
      <c r="F26" s="59" t="inlineStr"/>
      <c r="G26" s="59" t="inlineStr"/>
      <c r="H26" s="58" t="inlineStr"/>
    </row>
    <row r="27" ht="22" customHeight="1">
      <c r="B27" s="8" t="n">
        <v>4</v>
      </c>
      <c r="C27" s="9" t="inlineStr">
        <is>
          <t>Printer paper-reduction initiatives</t>
        </is>
      </c>
      <c r="D27" s="10" t="inlineStr">
        <is>
          <t>% reduction from prev. year</t>
        </is>
      </c>
      <c r="E27" s="10" t="inlineStr"/>
      <c r="F27" s="10" t="inlineStr"/>
      <c r="G27" s="10" t="inlineStr"/>
      <c r="H27" s="9" t="inlineStr"/>
    </row>
    <row r="28" ht="22" customHeight="1">
      <c r="B28" s="57" t="n">
        <v>5</v>
      </c>
      <c r="C28" s="58" t="inlineStr">
        <is>
          <t>Ink / toner cartridge recycling programme</t>
        </is>
      </c>
      <c r="D28" s="59" t="inlineStr">
        <is>
          <t>Y/N</t>
        </is>
      </c>
      <c r="E28" s="59" t="inlineStr"/>
      <c r="F28" s="59" t="inlineStr"/>
      <c r="G28" s="59" t="inlineStr"/>
      <c r="H28" s="58" t="inlineStr"/>
    </row>
    <row r="29" ht="22" customHeight="1">
      <c r="B29" s="8" t="n">
        <v>6</v>
      </c>
      <c r="C29" s="9" t="inlineStr">
        <is>
          <t>Vendor sustainability criteria in RFP/tender</t>
        </is>
      </c>
      <c r="D29" s="10" t="inlineStr">
        <is>
          <t>Y/N</t>
        </is>
      </c>
      <c r="E29" s="10" t="inlineStr"/>
      <c r="F29" s="10" t="inlineStr"/>
      <c r="G29" s="10" t="inlineStr"/>
      <c r="H29" s="9" t="inlineStr"/>
    </row>
    <row r="30" ht="22" customHeight="1"/>
    <row r="31" ht="24" customHeight="1">
      <c r="B31" s="20" t="inlineStr">
        <is>
          <t>D. DIGITAL PAPER REDUCTION</t>
        </is>
      </c>
    </row>
    <row r="32" ht="22" customHeight="1">
      <c r="B32" s="21" t="inlineStr">
        <is>
          <t>Sl.</t>
        </is>
      </c>
      <c r="C32" s="21" t="inlineStr">
        <is>
          <t>Green ICT Parameter</t>
        </is>
      </c>
      <c r="D32" s="21" t="inlineStr">
        <is>
          <t>Unit / Standard</t>
        </is>
      </c>
      <c r="E32" s="21" t="inlineStr">
        <is>
          <t>Current Value
/ Status</t>
        </is>
      </c>
      <c r="F32" s="21" t="inlineStr">
        <is>
          <t>Prev. Year</t>
        </is>
      </c>
      <c r="G32" s="21" t="inlineStr">
        <is>
          <t>Target</t>
        </is>
      </c>
      <c r="H32" s="21" t="inlineStr">
        <is>
          <t>Action Required</t>
        </is>
      </c>
    </row>
    <row r="33" ht="22" customHeight="1">
      <c r="B33" s="54" t="n">
        <v>1</v>
      </c>
      <c r="C33" s="43" t="inlineStr">
        <is>
          <t>e-Governance modules replacing paper processes</t>
        </is>
      </c>
      <c r="D33" s="22" t="inlineStr">
        <is>
          <t>No. of processes automated</t>
        </is>
      </c>
      <c r="E33" s="22" t="inlineStr"/>
      <c r="F33" s="22" t="inlineStr"/>
      <c r="G33" s="22" t="inlineStr"/>
      <c r="H33" s="43" t="inlineStr"/>
    </row>
    <row r="34" ht="22" customHeight="1">
      <c r="B34" s="8" t="n">
        <v>2</v>
      </c>
      <c r="C34" s="9" t="inlineStr">
        <is>
          <t>Student notices issued digitally (%)</t>
        </is>
      </c>
      <c r="D34" s="10" t="inlineStr">
        <is>
          <t>% of total notices</t>
        </is>
      </c>
      <c r="E34" s="10" t="inlineStr"/>
      <c r="F34" s="10" t="inlineStr"/>
      <c r="G34" s="10" t="inlineStr"/>
      <c r="H34" s="9" t="inlineStr"/>
    </row>
    <row r="35" ht="22" customHeight="1">
      <c r="B35" s="54" t="n">
        <v>3</v>
      </c>
      <c r="C35" s="43" t="inlineStr">
        <is>
          <t>Examination / assessment digitalised (%)</t>
        </is>
      </c>
      <c r="D35" s="22" t="inlineStr">
        <is>
          <t>% of total assessments</t>
        </is>
      </c>
      <c r="E35" s="22" t="inlineStr"/>
      <c r="F35" s="22" t="inlineStr"/>
      <c r="G35" s="22" t="inlineStr"/>
      <c r="H35" s="43" t="inlineStr"/>
    </row>
    <row r="36" ht="22" customHeight="1">
      <c r="B36" s="8" t="n">
        <v>4</v>
      </c>
      <c r="C36" s="9" t="inlineStr">
        <is>
          <t>HR / leave processes digitalised</t>
        </is>
      </c>
      <c r="D36" s="10" t="inlineStr">
        <is>
          <t>Y/N</t>
        </is>
      </c>
      <c r="E36" s="10" t="inlineStr"/>
      <c r="F36" s="10" t="inlineStr"/>
      <c r="G36" s="10" t="inlineStr"/>
      <c r="H36" s="9" t="inlineStr"/>
    </row>
    <row r="37" ht="22" customHeight="1">
      <c r="B37" s="54" t="n">
        <v>5</v>
      </c>
      <c r="C37" s="43" t="inlineStr">
        <is>
          <t>Paperless meeting initiative adopted</t>
        </is>
      </c>
      <c r="D37" s="22" t="inlineStr">
        <is>
          <t>Y/N</t>
        </is>
      </c>
      <c r="E37" s="22" t="inlineStr"/>
      <c r="F37" s="22" t="inlineStr"/>
      <c r="G37" s="22" t="inlineStr"/>
      <c r="H37" s="43" t="inlineStr"/>
    </row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</sheetData>
  <mergeCells count="6">
    <mergeCell ref="B22:H22"/>
    <mergeCell ref="B13:H13"/>
    <mergeCell ref="B4:H4"/>
    <mergeCell ref="B2:H2"/>
    <mergeCell ref="B3:H3"/>
    <mergeCell ref="B31:H3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I6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2" t="inlineStr">
        <is>
          <t>ICT-37: ICT / WEBSITE / e-LEARNING COMMITTEE KPI DASHBOARD</t>
        </is>
      </c>
    </row>
    <row r="3" ht="25" customHeight="1">
      <c r="B3" s="2" t="inlineStr">
        <is>
          <t>A.Y.: _______  Quarter: Q1/Q2/Q3/Q4  Prepared by: ___________________  Date: _______</t>
        </is>
      </c>
    </row>
    <row r="4" ht="24" customHeight="1">
      <c r="B4" s="19" t="inlineStr">
        <is>
          <t>INFRASTRUCTURE KPIs</t>
        </is>
      </c>
    </row>
    <row r="5" ht="22" customHeight="1">
      <c r="B5" s="13" t="inlineStr">
        <is>
          <t>Sl.</t>
        </is>
      </c>
      <c r="C5" s="13" t="inlineStr">
        <is>
          <t>Key Performance Indicator</t>
        </is>
      </c>
      <c r="D5" s="13" t="inlineStr">
        <is>
          <t>Unit</t>
        </is>
      </c>
      <c r="E5" s="13" t="inlineStr">
        <is>
          <t>Annual
Target</t>
        </is>
      </c>
      <c r="F5" s="13" t="inlineStr">
        <is>
          <t>Prev. Year
Actual</t>
        </is>
      </c>
      <c r="G5" s="13" t="inlineStr">
        <is>
          <t>Q-to-Date
Actual</t>
        </is>
      </c>
      <c r="H5" s="13" t="inlineStr">
        <is>
          <t>Status</t>
        </is>
      </c>
      <c r="I5" s="13" t="inlineStr">
        <is>
          <t>Action Required</t>
        </is>
      </c>
    </row>
    <row r="6" ht="22" customHeight="1">
      <c r="B6" s="14" t="n">
        <v>1</v>
      </c>
      <c r="C6" s="15" t="inlineStr">
        <is>
          <t>Internet uptime (%)</t>
        </is>
      </c>
      <c r="D6" s="16" t="inlineStr">
        <is>
          <t>% uptime</t>
        </is>
      </c>
      <c r="E6" s="16" t="inlineStr">
        <is>
          <t>≥99.5%</t>
        </is>
      </c>
      <c r="F6" s="16" t="inlineStr"/>
      <c r="G6" s="16" t="inlineStr"/>
      <c r="H6" s="16" t="inlineStr">
        <is>
          <t>On Track</t>
        </is>
      </c>
      <c r="I6" s="15" t="inlineStr"/>
    </row>
    <row r="7" ht="22" customHeight="1">
      <c r="B7" s="8" t="n">
        <v>2</v>
      </c>
      <c r="C7" s="9" t="inlineStr">
        <is>
          <t>Average internet speed (Mbps)</t>
        </is>
      </c>
      <c r="D7" s="10" t="inlineStr">
        <is>
          <t>Mbps</t>
        </is>
      </c>
      <c r="E7" s="10" t="inlineStr">
        <is>
          <t>≥100 Mbps</t>
        </is>
      </c>
      <c r="F7" s="10" t="inlineStr"/>
      <c r="G7" s="10" t="inlineStr"/>
      <c r="H7" s="10" t="inlineStr">
        <is>
          <t>On Track</t>
        </is>
      </c>
      <c r="I7" s="9" t="inlineStr"/>
    </row>
    <row r="8" ht="22" customHeight="1">
      <c r="B8" s="14" t="n">
        <v>3</v>
      </c>
      <c r="C8" s="15" t="inlineStr">
        <is>
          <t>Student-computer ratio</t>
        </is>
      </c>
      <c r="D8" s="16" t="inlineStr">
        <is>
          <t>Ratio</t>
        </is>
      </c>
      <c r="E8" s="16" t="inlineStr">
        <is>
          <t>≤2:1</t>
        </is>
      </c>
      <c r="F8" s="16" t="inlineStr"/>
      <c r="G8" s="16" t="inlineStr"/>
      <c r="H8" s="16" t="inlineStr">
        <is>
          <t>On Track</t>
        </is>
      </c>
      <c r="I8" s="15" t="inlineStr"/>
    </row>
    <row r="9" ht="22" customHeight="1">
      <c r="B9" s="8" t="n">
        <v>4</v>
      </c>
      <c r="C9" s="9" t="inlineStr">
        <is>
          <t>Wi-Fi campus coverage (%)</t>
        </is>
      </c>
      <c r="D9" s="10" t="inlineStr">
        <is>
          <t>% area</t>
        </is>
      </c>
      <c r="E9" s="10" t="inlineStr">
        <is>
          <t>≥90%</t>
        </is>
      </c>
      <c r="F9" s="10" t="inlineStr"/>
      <c r="G9" s="10" t="inlineStr"/>
      <c r="H9" s="10" t="inlineStr">
        <is>
          <t>On Track</t>
        </is>
      </c>
      <c r="I9" s="9" t="inlineStr"/>
    </row>
    <row r="10" ht="22" customHeight="1">
      <c r="B10" s="14" t="n">
        <v>5</v>
      </c>
      <c r="C10" s="15" t="inlineStr">
        <is>
          <t>Hardware AMC coverage (%)</t>
        </is>
      </c>
      <c r="D10" s="16" t="inlineStr">
        <is>
          <t>% of total assets</t>
        </is>
      </c>
      <c r="E10" s="16" t="inlineStr">
        <is>
          <t>≥80%</t>
        </is>
      </c>
      <c r="F10" s="16" t="inlineStr"/>
      <c r="G10" s="16" t="inlineStr"/>
      <c r="H10" s="16" t="inlineStr">
        <is>
          <t>On Track</t>
        </is>
      </c>
      <c r="I10" s="15" t="inlineStr"/>
    </row>
    <row r="11" ht="22" customHeight="1">
      <c r="B11" s="8" t="n">
        <v>6</v>
      </c>
      <c r="C11" s="9" t="inlineStr">
        <is>
          <t>IT helpdesk ticket resolution rate (%)</t>
        </is>
      </c>
      <c r="D11" s="10" t="inlineStr">
        <is>
          <t>% resolved</t>
        </is>
      </c>
      <c r="E11" s="10" t="inlineStr">
        <is>
          <t>≥90%</t>
        </is>
      </c>
      <c r="F11" s="10" t="inlineStr"/>
      <c r="G11" s="10" t="inlineStr"/>
      <c r="H11" s="10" t="inlineStr">
        <is>
          <t>On Track</t>
        </is>
      </c>
      <c r="I11" s="9" t="inlineStr"/>
    </row>
    <row r="12" ht="22" customHeight="1">
      <c r="B12" s="14" t="n">
        <v>7</v>
      </c>
      <c r="C12" s="15" t="inlineStr">
        <is>
          <t>Mean time to resolve ticket (Hrs)</t>
        </is>
      </c>
      <c r="D12" s="16" t="inlineStr">
        <is>
          <t>Hours</t>
        </is>
      </c>
      <c r="E12" s="16" t="inlineStr">
        <is>
          <t>≤24 Hrs</t>
        </is>
      </c>
      <c r="F12" s="16" t="inlineStr"/>
      <c r="G12" s="16" t="inlineStr"/>
      <c r="H12" s="16" t="inlineStr">
        <is>
          <t>On Track</t>
        </is>
      </c>
      <c r="I12" s="15" t="inlineStr"/>
    </row>
    <row r="13" ht="22" customHeight="1"/>
    <row r="14" ht="24" customHeight="1">
      <c r="B14" s="38" t="inlineStr">
        <is>
          <t>CYBERSECURITY KPIs</t>
        </is>
      </c>
    </row>
    <row r="15" ht="22" customHeight="1">
      <c r="B15" s="39" t="inlineStr">
        <is>
          <t>Sl.</t>
        </is>
      </c>
      <c r="C15" s="39" t="inlineStr">
        <is>
          <t>Key Performance Indicator</t>
        </is>
      </c>
      <c r="D15" s="39" t="inlineStr">
        <is>
          <t>Unit</t>
        </is>
      </c>
      <c r="E15" s="39" t="inlineStr">
        <is>
          <t>Annual
Target</t>
        </is>
      </c>
      <c r="F15" s="39" t="inlineStr">
        <is>
          <t>Prev. Year
Actual</t>
        </is>
      </c>
      <c r="G15" s="39" t="inlineStr">
        <is>
          <t>Q-to-Date
Actual</t>
        </is>
      </c>
      <c r="H15" s="39" t="inlineStr">
        <is>
          <t>Status</t>
        </is>
      </c>
      <c r="I15" s="39" t="inlineStr">
        <is>
          <t>Action Required</t>
        </is>
      </c>
    </row>
    <row r="16" ht="22" customHeight="1">
      <c r="B16" s="40" t="n">
        <v>1</v>
      </c>
      <c r="C16" s="41" t="inlineStr">
        <is>
          <t>Cybersecurity audit score (/100)</t>
        </is>
      </c>
      <c r="D16" s="42" t="inlineStr">
        <is>
          <t>Score</t>
        </is>
      </c>
      <c r="E16" s="42" t="inlineStr">
        <is>
          <t>≥80</t>
        </is>
      </c>
      <c r="F16" s="42" t="inlineStr"/>
      <c r="G16" s="42" t="inlineStr"/>
      <c r="H16" s="42" t="inlineStr">
        <is>
          <t>On Track</t>
        </is>
      </c>
      <c r="I16" s="41" t="inlineStr"/>
    </row>
    <row r="17" ht="22" customHeight="1">
      <c r="B17" s="8" t="n">
        <v>2</v>
      </c>
      <c r="C17" s="9" t="inlineStr">
        <is>
          <t>Security incidents (Critical)</t>
        </is>
      </c>
      <c r="D17" s="10" t="inlineStr">
        <is>
          <t>No. per year</t>
        </is>
      </c>
      <c r="E17" s="10" t="inlineStr">
        <is>
          <t>0</t>
        </is>
      </c>
      <c r="F17" s="10" t="inlineStr"/>
      <c r="G17" s="10" t="inlineStr"/>
      <c r="H17" s="10" t="inlineStr">
        <is>
          <t>On Track</t>
        </is>
      </c>
      <c r="I17" s="9" t="inlineStr"/>
    </row>
    <row r="18" ht="22" customHeight="1">
      <c r="B18" s="40" t="n">
        <v>3</v>
      </c>
      <c r="C18" s="41" t="inlineStr">
        <is>
          <t>Patching compliance (% devices current)</t>
        </is>
      </c>
      <c r="D18" s="42" t="inlineStr">
        <is>
          <t>% patched</t>
        </is>
      </c>
      <c r="E18" s="42" t="inlineStr">
        <is>
          <t>≥95%</t>
        </is>
      </c>
      <c r="F18" s="42" t="inlineStr"/>
      <c r="G18" s="42" t="inlineStr"/>
      <c r="H18" s="42" t="inlineStr">
        <is>
          <t>On Track</t>
        </is>
      </c>
      <c r="I18" s="41" t="inlineStr"/>
    </row>
    <row r="19" ht="22" customHeight="1">
      <c r="B19" s="8" t="n">
        <v>4</v>
      </c>
      <c r="C19" s="9" t="inlineStr">
        <is>
          <t>Staff cybersecurity training completion</t>
        </is>
      </c>
      <c r="D19" s="10" t="inlineStr">
        <is>
          <t>% staff</t>
        </is>
      </c>
      <c r="E19" s="10" t="inlineStr">
        <is>
          <t>100%</t>
        </is>
      </c>
      <c r="F19" s="10" t="inlineStr"/>
      <c r="G19" s="10" t="inlineStr"/>
      <c r="H19" s="10" t="inlineStr">
        <is>
          <t>On Track</t>
        </is>
      </c>
      <c r="I19" s="9" t="inlineStr"/>
    </row>
    <row r="20" ht="22" customHeight="1">
      <c r="B20" s="40" t="n">
        <v>5</v>
      </c>
      <c r="C20" s="41" t="inlineStr">
        <is>
          <t>MFA adoption (% of admin users)</t>
        </is>
      </c>
      <c r="D20" s="42" t="inlineStr">
        <is>
          <t>% users</t>
        </is>
      </c>
      <c r="E20" s="42" t="inlineStr">
        <is>
          <t>100%</t>
        </is>
      </c>
      <c r="F20" s="42" t="inlineStr"/>
      <c r="G20" s="42" t="inlineStr"/>
      <c r="H20" s="42" t="inlineStr">
        <is>
          <t>On Track</t>
        </is>
      </c>
      <c r="I20" s="41" t="inlineStr"/>
    </row>
    <row r="21" ht="22" customHeight="1">
      <c r="B21" s="8" t="n">
        <v>6</v>
      </c>
      <c r="C21" s="9" t="inlineStr">
        <is>
          <t>Phishing simulation click-through rate</t>
        </is>
      </c>
      <c r="D21" s="10" t="inlineStr">
        <is>
          <t>% staff</t>
        </is>
      </c>
      <c r="E21" s="10" t="inlineStr">
        <is>
          <t>≤5%</t>
        </is>
      </c>
      <c r="F21" s="10" t="inlineStr"/>
      <c r="G21" s="10" t="inlineStr"/>
      <c r="H21" s="10" t="inlineStr">
        <is>
          <t>On Track</t>
        </is>
      </c>
      <c r="I21" s="9" t="inlineStr"/>
    </row>
    <row r="22" ht="22" customHeight="1"/>
    <row r="23" ht="24" customHeight="1">
      <c r="B23" s="34" t="inlineStr">
        <is>
          <t>WEBSITE &amp; DIGITAL KPIs</t>
        </is>
      </c>
    </row>
    <row r="24" ht="22" customHeight="1">
      <c r="B24" s="30" t="inlineStr">
        <is>
          <t>Sl.</t>
        </is>
      </c>
      <c r="C24" s="30" t="inlineStr">
        <is>
          <t>Key Performance Indicator</t>
        </is>
      </c>
      <c r="D24" s="30" t="inlineStr">
        <is>
          <t>Unit</t>
        </is>
      </c>
      <c r="E24" s="30" t="inlineStr">
        <is>
          <t>Annual
Target</t>
        </is>
      </c>
      <c r="F24" s="30" t="inlineStr">
        <is>
          <t>Prev. Year
Actual</t>
        </is>
      </c>
      <c r="G24" s="30" t="inlineStr">
        <is>
          <t>Q-to-Date
Actual</t>
        </is>
      </c>
      <c r="H24" s="30" t="inlineStr">
        <is>
          <t>Status</t>
        </is>
      </c>
      <c r="I24" s="30" t="inlineStr">
        <is>
          <t>Action Required</t>
        </is>
      </c>
    </row>
    <row r="25" ht="22" customHeight="1">
      <c r="B25" s="31" t="n">
        <v>1</v>
      </c>
      <c r="C25" s="32" t="inlineStr">
        <is>
          <t>Website uptime (%)</t>
        </is>
      </c>
      <c r="D25" s="33" t="inlineStr">
        <is>
          <t>% uptime</t>
        </is>
      </c>
      <c r="E25" s="33" t="inlineStr">
        <is>
          <t>≥99.9%</t>
        </is>
      </c>
      <c r="F25" s="33" t="inlineStr"/>
      <c r="G25" s="33" t="inlineStr"/>
      <c r="H25" s="33" t="inlineStr">
        <is>
          <t>On Track</t>
        </is>
      </c>
      <c r="I25" s="32" t="inlineStr"/>
    </row>
    <row r="26" ht="22" customHeight="1">
      <c r="B26" s="8" t="n">
        <v>2</v>
      </c>
      <c r="C26" s="9" t="inlineStr">
        <is>
          <t>Page load speed (Desktop)</t>
        </is>
      </c>
      <c r="D26" s="10" t="inlineStr">
        <is>
          <t>Seconds</t>
        </is>
      </c>
      <c r="E26" s="10" t="inlineStr">
        <is>
          <t>≤3 sec</t>
        </is>
      </c>
      <c r="F26" s="10" t="inlineStr"/>
      <c r="G26" s="10" t="inlineStr"/>
      <c r="H26" s="10" t="inlineStr">
        <is>
          <t>On Track</t>
        </is>
      </c>
      <c r="I26" s="9" t="inlineStr"/>
    </row>
    <row r="27" ht="22" customHeight="1">
      <c r="B27" s="31" t="n">
        <v>3</v>
      </c>
      <c r="C27" s="32" t="inlineStr">
        <is>
          <t>Google PageSpeed Score</t>
        </is>
      </c>
      <c r="D27" s="33" t="inlineStr">
        <is>
          <t>Score /100</t>
        </is>
      </c>
      <c r="E27" s="33" t="inlineStr">
        <is>
          <t>≥70</t>
        </is>
      </c>
      <c r="F27" s="33" t="inlineStr"/>
      <c r="G27" s="33" t="inlineStr"/>
      <c r="H27" s="33" t="inlineStr">
        <is>
          <t>On Track</t>
        </is>
      </c>
      <c r="I27" s="32" t="inlineStr"/>
    </row>
    <row r="28" ht="22" customHeight="1">
      <c r="B28" s="8" t="n">
        <v>4</v>
      </c>
      <c r="C28" s="9" t="inlineStr">
        <is>
          <t>AICTE Mandatory Disclosure — compliant</t>
        </is>
      </c>
      <c r="D28" s="10" t="inlineStr">
        <is>
          <t>Y/N</t>
        </is>
      </c>
      <c r="E28" s="10" t="inlineStr">
        <is>
          <t>Yes</t>
        </is>
      </c>
      <c r="F28" s="10" t="inlineStr"/>
      <c r="G28" s="10" t="inlineStr"/>
      <c r="H28" s="10" t="inlineStr">
        <is>
          <t>On Track</t>
        </is>
      </c>
      <c r="I28" s="9" t="inlineStr"/>
    </row>
    <row r="29" ht="22" customHeight="1">
      <c r="B29" s="31" t="n">
        <v>5</v>
      </c>
      <c r="C29" s="32" t="inlineStr">
        <is>
          <t>Website content updated (last 30 days)</t>
        </is>
      </c>
      <c r="D29" s="33" t="inlineStr">
        <is>
          <t>Y/N</t>
        </is>
      </c>
      <c r="E29" s="33" t="inlineStr">
        <is>
          <t>Yes</t>
        </is>
      </c>
      <c r="F29" s="33" t="inlineStr"/>
      <c r="G29" s="33" t="inlineStr"/>
      <c r="H29" s="33" t="inlineStr">
        <is>
          <t>On Track</t>
        </is>
      </c>
      <c r="I29" s="32" t="inlineStr"/>
    </row>
    <row r="30" ht="22" customHeight="1">
      <c r="B30" s="8" t="n">
        <v>6</v>
      </c>
      <c r="C30" s="9" t="inlineStr">
        <is>
          <t>Unique monthly visitors</t>
        </is>
      </c>
      <c r="D30" s="10" t="inlineStr">
        <is>
          <t>No. per month</t>
        </is>
      </c>
      <c r="E30" s="10" t="inlineStr">
        <is>
          <t>Increasing</t>
        </is>
      </c>
      <c r="F30" s="10" t="inlineStr"/>
      <c r="G30" s="10" t="inlineStr"/>
      <c r="H30" s="10" t="inlineStr">
        <is>
          <t>On Track</t>
        </is>
      </c>
      <c r="I30" s="9" t="inlineStr"/>
    </row>
    <row r="31" ht="22" customHeight="1"/>
    <row r="32" ht="24" customHeight="1">
      <c r="B32" s="49" t="inlineStr">
        <is>
          <t>ERP / MIS KPIs</t>
        </is>
      </c>
    </row>
    <row r="33" ht="22" customHeight="1">
      <c r="B33" s="50" t="inlineStr">
        <is>
          <t>Sl.</t>
        </is>
      </c>
      <c r="C33" s="50" t="inlineStr">
        <is>
          <t>Key Performance Indicator</t>
        </is>
      </c>
      <c r="D33" s="50" t="inlineStr">
        <is>
          <t>Unit</t>
        </is>
      </c>
      <c r="E33" s="50" t="inlineStr">
        <is>
          <t>Annual
Target</t>
        </is>
      </c>
      <c r="F33" s="50" t="inlineStr">
        <is>
          <t>Prev. Year
Actual</t>
        </is>
      </c>
      <c r="G33" s="50" t="inlineStr">
        <is>
          <t>Q-to-Date
Actual</t>
        </is>
      </c>
      <c r="H33" s="50" t="inlineStr">
        <is>
          <t>Status</t>
        </is>
      </c>
      <c r="I33" s="50" t="inlineStr">
        <is>
          <t>Action Required</t>
        </is>
      </c>
    </row>
    <row r="34" ht="22" customHeight="1">
      <c r="B34" s="51" t="n">
        <v>1</v>
      </c>
      <c r="C34" s="52" t="inlineStr">
        <is>
          <t>ERP modules live</t>
        </is>
      </c>
      <c r="D34" s="53" t="inlineStr">
        <is>
          <t>No. of modules</t>
        </is>
      </c>
      <c r="E34" s="53" t="inlineStr">
        <is>
          <t>≥15</t>
        </is>
      </c>
      <c r="F34" s="53" t="inlineStr"/>
      <c r="G34" s="53" t="inlineStr"/>
      <c r="H34" s="53" t="inlineStr">
        <is>
          <t>On Track</t>
        </is>
      </c>
      <c r="I34" s="52" t="inlineStr"/>
    </row>
    <row r="35" ht="22" customHeight="1">
      <c r="B35" s="8" t="n">
        <v>2</v>
      </c>
      <c r="C35" s="9" t="inlineStr">
        <is>
          <t>ERP adoption — faculty (%)</t>
        </is>
      </c>
      <c r="D35" s="10" t="inlineStr">
        <is>
          <t>% active users</t>
        </is>
      </c>
      <c r="E35" s="10" t="inlineStr">
        <is>
          <t>≥80%</t>
        </is>
      </c>
      <c r="F35" s="10" t="inlineStr"/>
      <c r="G35" s="10" t="inlineStr"/>
      <c r="H35" s="10" t="inlineStr">
        <is>
          <t>On Track</t>
        </is>
      </c>
      <c r="I35" s="9" t="inlineStr"/>
    </row>
    <row r="36" ht="22" customHeight="1">
      <c r="B36" s="51" t="n">
        <v>3</v>
      </c>
      <c r="C36" s="52" t="inlineStr">
        <is>
          <t>ERP adoption — students (%)</t>
        </is>
      </c>
      <c r="D36" s="53" t="inlineStr">
        <is>
          <t>% active users</t>
        </is>
      </c>
      <c r="E36" s="53" t="inlineStr">
        <is>
          <t>≥90%</t>
        </is>
      </c>
      <c r="F36" s="53" t="inlineStr"/>
      <c r="G36" s="53" t="inlineStr"/>
      <c r="H36" s="53" t="inlineStr">
        <is>
          <t>On Track</t>
        </is>
      </c>
      <c r="I36" s="52" t="inlineStr"/>
    </row>
    <row r="37" ht="22" customHeight="1">
      <c r="B37" s="8" t="n">
        <v>4</v>
      </c>
      <c r="C37" s="9" t="inlineStr">
        <is>
          <t>Administrative processes digitised (%)</t>
        </is>
      </c>
      <c r="D37" s="10" t="inlineStr">
        <is>
          <t>% paperless</t>
        </is>
      </c>
      <c r="E37" s="10" t="inlineStr">
        <is>
          <t>≥70%</t>
        </is>
      </c>
      <c r="F37" s="10" t="inlineStr"/>
      <c r="G37" s="10" t="inlineStr"/>
      <c r="H37" s="10" t="inlineStr">
        <is>
          <t>On Track</t>
        </is>
      </c>
      <c r="I37" s="9" t="inlineStr"/>
    </row>
    <row r="38" ht="22" customHeight="1">
      <c r="B38" s="51" t="n">
        <v>5</v>
      </c>
      <c r="C38" s="52" t="inlineStr">
        <is>
          <t>Data accuracy in ERP (%)</t>
        </is>
      </c>
      <c r="D38" s="53" t="inlineStr">
        <is>
          <t>% error-free</t>
        </is>
      </c>
      <c r="E38" s="53" t="inlineStr">
        <is>
          <t>≥98%</t>
        </is>
      </c>
      <c r="F38" s="53" t="inlineStr"/>
      <c r="G38" s="53" t="inlineStr"/>
      <c r="H38" s="53" t="inlineStr">
        <is>
          <t>On Track</t>
        </is>
      </c>
      <c r="I38" s="52" t="inlineStr"/>
    </row>
    <row r="39" ht="22" customHeight="1"/>
    <row r="40" ht="24" customHeight="1">
      <c r="B40" s="68" t="inlineStr">
        <is>
          <t>e-LEARNING / LMS KPIs</t>
        </is>
      </c>
    </row>
    <row r="41" ht="22" customHeight="1">
      <c r="B41" s="69" t="inlineStr">
        <is>
          <t>Sl.</t>
        </is>
      </c>
      <c r="C41" s="69" t="inlineStr">
        <is>
          <t>Key Performance Indicator</t>
        </is>
      </c>
      <c r="D41" s="69" t="inlineStr">
        <is>
          <t>Unit</t>
        </is>
      </c>
      <c r="E41" s="69" t="inlineStr">
        <is>
          <t>Annual
Target</t>
        </is>
      </c>
      <c r="F41" s="69" t="inlineStr">
        <is>
          <t>Prev. Year
Actual</t>
        </is>
      </c>
      <c r="G41" s="69" t="inlineStr">
        <is>
          <t>Q-to-Date
Actual</t>
        </is>
      </c>
      <c r="H41" s="69" t="inlineStr">
        <is>
          <t>Status</t>
        </is>
      </c>
      <c r="I41" s="69" t="inlineStr">
        <is>
          <t>Action Required</t>
        </is>
      </c>
    </row>
    <row r="42" ht="22" customHeight="1">
      <c r="B42" s="70" t="n">
        <v>1</v>
      </c>
      <c r="C42" s="71" t="inlineStr">
        <is>
          <t>Courses on LMS (%)</t>
        </is>
      </c>
      <c r="D42" s="72" t="inlineStr">
        <is>
          <t>% of total courses</t>
        </is>
      </c>
      <c r="E42" s="72" t="inlineStr">
        <is>
          <t>≥80%</t>
        </is>
      </c>
      <c r="F42" s="72" t="inlineStr"/>
      <c r="G42" s="72" t="inlineStr"/>
      <c r="H42" s="72" t="inlineStr">
        <is>
          <t>On Track</t>
        </is>
      </c>
      <c r="I42" s="71" t="inlineStr"/>
    </row>
    <row r="43" ht="22" customHeight="1">
      <c r="B43" s="8" t="n">
        <v>2</v>
      </c>
      <c r="C43" s="9" t="inlineStr">
        <is>
          <t>Faculty active on LMS (%)</t>
        </is>
      </c>
      <c r="D43" s="10" t="inlineStr">
        <is>
          <t>% of total faculty</t>
        </is>
      </c>
      <c r="E43" s="10" t="inlineStr">
        <is>
          <t>≥90%</t>
        </is>
      </c>
      <c r="F43" s="10" t="inlineStr"/>
      <c r="G43" s="10" t="inlineStr"/>
      <c r="H43" s="10" t="inlineStr">
        <is>
          <t>On Track</t>
        </is>
      </c>
      <c r="I43" s="9" t="inlineStr"/>
    </row>
    <row r="44" ht="22" customHeight="1">
      <c r="B44" s="70" t="n">
        <v>3</v>
      </c>
      <c r="C44" s="71" t="inlineStr">
        <is>
          <t>Students active on LMS (%)</t>
        </is>
      </c>
      <c r="D44" s="72" t="inlineStr">
        <is>
          <t>% enrolled</t>
        </is>
      </c>
      <c r="E44" s="72" t="inlineStr">
        <is>
          <t>≥85%</t>
        </is>
      </c>
      <c r="F44" s="72" t="inlineStr"/>
      <c r="G44" s="72" t="inlineStr"/>
      <c r="H44" s="72" t="inlineStr">
        <is>
          <t>On Track</t>
        </is>
      </c>
      <c r="I44" s="71" t="inlineStr"/>
    </row>
    <row r="45" ht="22" customHeight="1">
      <c r="B45" s="8" t="n">
        <v>4</v>
      </c>
      <c r="C45" s="9" t="inlineStr">
        <is>
          <t>Average LMS logins / student / week</t>
        </is>
      </c>
      <c r="D45" s="10" t="inlineStr">
        <is>
          <t>Logins</t>
        </is>
      </c>
      <c r="E45" s="10" t="inlineStr">
        <is>
          <t>≥3</t>
        </is>
      </c>
      <c r="F45" s="10" t="inlineStr"/>
      <c r="G45" s="10" t="inlineStr"/>
      <c r="H45" s="10" t="inlineStr">
        <is>
          <t>On Track</t>
        </is>
      </c>
      <c r="I45" s="9" t="inlineStr"/>
    </row>
    <row r="46" ht="22" customHeight="1">
      <c r="B46" s="70" t="n">
        <v>5</v>
      </c>
      <c r="C46" s="71" t="inlineStr">
        <is>
          <t>MOOC enrolments (per semester)</t>
        </is>
      </c>
      <c r="D46" s="72" t="inlineStr">
        <is>
          <t>No. of enrolments</t>
        </is>
      </c>
      <c r="E46" s="72" t="inlineStr">
        <is>
          <t>≥500</t>
        </is>
      </c>
      <c r="F46" s="72" t="inlineStr"/>
      <c r="G46" s="72" t="inlineStr"/>
      <c r="H46" s="72" t="inlineStr">
        <is>
          <t>On Track</t>
        </is>
      </c>
      <c r="I46" s="71" t="inlineStr"/>
    </row>
    <row r="47" ht="22" customHeight="1">
      <c r="B47" s="8" t="n">
        <v>6</v>
      </c>
      <c r="C47" s="9" t="inlineStr">
        <is>
          <t>MOOC completion rate (%)</t>
        </is>
      </c>
      <c r="D47" s="10" t="inlineStr">
        <is>
          <t>% completions</t>
        </is>
      </c>
      <c r="E47" s="10" t="inlineStr">
        <is>
          <t>≥60%</t>
        </is>
      </c>
      <c r="F47" s="10" t="inlineStr"/>
      <c r="G47" s="10" t="inlineStr"/>
      <c r="H47" s="10" t="inlineStr">
        <is>
          <t>On Track</t>
        </is>
      </c>
      <c r="I47" s="9" t="inlineStr"/>
    </row>
    <row r="48" ht="22" customHeight="1">
      <c r="B48" s="70" t="n">
        <v>7</v>
      </c>
      <c r="C48" s="71" t="inlineStr">
        <is>
          <t>MOOC credits mapped to curriculum (%)</t>
        </is>
      </c>
      <c r="D48" s="72" t="inlineStr">
        <is>
          <t>% mapped</t>
        </is>
      </c>
      <c r="E48" s="72" t="inlineStr">
        <is>
          <t>≥50%</t>
        </is>
      </c>
      <c r="F48" s="72" t="inlineStr"/>
      <c r="G48" s="72" t="inlineStr"/>
      <c r="H48" s="72" t="inlineStr">
        <is>
          <t>On Track</t>
        </is>
      </c>
      <c r="I48" s="71" t="inlineStr"/>
    </row>
    <row r="49" ht="22" customHeight="1"/>
    <row r="50" ht="24" customHeight="1">
      <c r="B50" s="55" t="inlineStr">
        <is>
          <t>DIGITAL SKILLS KPIs</t>
        </is>
      </c>
    </row>
    <row r="51" ht="22" customHeight="1">
      <c r="B51" s="56" t="inlineStr">
        <is>
          <t>Sl.</t>
        </is>
      </c>
      <c r="C51" s="56" t="inlineStr">
        <is>
          <t>Key Performance Indicator</t>
        </is>
      </c>
      <c r="D51" s="56" t="inlineStr">
        <is>
          <t>Unit</t>
        </is>
      </c>
      <c r="E51" s="56" t="inlineStr">
        <is>
          <t>Annual
Target</t>
        </is>
      </c>
      <c r="F51" s="56" t="inlineStr">
        <is>
          <t>Prev. Year
Actual</t>
        </is>
      </c>
      <c r="G51" s="56" t="inlineStr">
        <is>
          <t>Q-to-Date
Actual</t>
        </is>
      </c>
      <c r="H51" s="56" t="inlineStr">
        <is>
          <t>Status</t>
        </is>
      </c>
      <c r="I51" s="56" t="inlineStr">
        <is>
          <t>Action Required</t>
        </is>
      </c>
    </row>
    <row r="52" ht="22" customHeight="1">
      <c r="B52" s="57" t="n">
        <v>1</v>
      </c>
      <c r="C52" s="58" t="inlineStr">
        <is>
          <t>Staff digital training coverage (%)</t>
        </is>
      </c>
      <c r="D52" s="59" t="inlineStr">
        <is>
          <t>% trained</t>
        </is>
      </c>
      <c r="E52" s="59" t="inlineStr">
        <is>
          <t>≥80%</t>
        </is>
      </c>
      <c r="F52" s="59" t="inlineStr"/>
      <c r="G52" s="59" t="inlineStr"/>
      <c r="H52" s="59" t="inlineStr">
        <is>
          <t>On Track</t>
        </is>
      </c>
      <c r="I52" s="58" t="inlineStr"/>
    </row>
    <row r="53" ht="22" customHeight="1">
      <c r="B53" s="8" t="n">
        <v>2</v>
      </c>
      <c r="C53" s="9" t="inlineStr">
        <is>
          <t>Students digital literacy certified (%)</t>
        </is>
      </c>
      <c r="D53" s="10" t="inlineStr">
        <is>
          <t>% certified</t>
        </is>
      </c>
      <c r="E53" s="10" t="inlineStr">
        <is>
          <t>≥60%</t>
        </is>
      </c>
      <c r="F53" s="10" t="inlineStr"/>
      <c r="G53" s="10" t="inlineStr"/>
      <c r="H53" s="10" t="inlineStr">
        <is>
          <t>On Track</t>
        </is>
      </c>
      <c r="I53" s="9" t="inlineStr"/>
    </row>
    <row r="54" ht="22" customHeight="1">
      <c r="B54" s="57" t="n">
        <v>3</v>
      </c>
      <c r="C54" s="58" t="inlineStr">
        <is>
          <t>Faculty LMS content creation trained</t>
        </is>
      </c>
      <c r="D54" s="59" t="inlineStr">
        <is>
          <t>% of faculty</t>
        </is>
      </c>
      <c r="E54" s="59" t="inlineStr">
        <is>
          <t>≥80%</t>
        </is>
      </c>
      <c r="F54" s="59" t="inlineStr"/>
      <c r="G54" s="59" t="inlineStr"/>
      <c r="H54" s="59" t="inlineStr">
        <is>
          <t>On Track</t>
        </is>
      </c>
      <c r="I54" s="58" t="inlineStr"/>
    </row>
    <row r="55" ht="22" customHeight="1">
      <c r="B55" s="8" t="n">
        <v>4</v>
      </c>
      <c r="C55" s="9" t="inlineStr">
        <is>
          <t>AI/Emerging tech awareness sessions</t>
        </is>
      </c>
      <c r="D55" s="10" t="inlineStr">
        <is>
          <t>No. per year</t>
        </is>
      </c>
      <c r="E55" s="10" t="inlineStr">
        <is>
          <t>≥4</t>
        </is>
      </c>
      <c r="F55" s="10" t="inlineStr"/>
      <c r="G55" s="10" t="inlineStr"/>
      <c r="H55" s="10" t="inlineStr">
        <is>
          <t>On Track</t>
        </is>
      </c>
      <c r="I55" s="9" t="inlineStr"/>
    </row>
    <row r="56" ht="22" customHeight="1"/>
    <row r="57" ht="24" customHeight="1">
      <c r="B57" s="20" t="inlineStr">
        <is>
          <t>GREEN ICT KPIs</t>
        </is>
      </c>
    </row>
    <row r="58" ht="22" customHeight="1">
      <c r="B58" s="21" t="inlineStr">
        <is>
          <t>Sl.</t>
        </is>
      </c>
      <c r="C58" s="21" t="inlineStr">
        <is>
          <t>Key Performance Indicator</t>
        </is>
      </c>
      <c r="D58" s="21" t="inlineStr">
        <is>
          <t>Unit</t>
        </is>
      </c>
      <c r="E58" s="21" t="inlineStr">
        <is>
          <t>Annual
Target</t>
        </is>
      </c>
      <c r="F58" s="21" t="inlineStr">
        <is>
          <t>Prev. Year
Actual</t>
        </is>
      </c>
      <c r="G58" s="21" t="inlineStr">
        <is>
          <t>Q-to-Date
Actual</t>
        </is>
      </c>
      <c r="H58" s="21" t="inlineStr">
        <is>
          <t>Status</t>
        </is>
      </c>
      <c r="I58" s="21" t="inlineStr">
        <is>
          <t>Action Required</t>
        </is>
      </c>
    </row>
    <row r="59" ht="22" customHeight="1">
      <c r="B59" s="54" t="n">
        <v>1</v>
      </c>
      <c r="C59" s="43" t="inlineStr">
        <is>
          <t>IT energy consumption reduction (% YoY)</t>
        </is>
      </c>
      <c r="D59" s="22" t="inlineStr">
        <is>
          <t>% reduction</t>
        </is>
      </c>
      <c r="E59" s="22" t="inlineStr">
        <is>
          <t>≥5%</t>
        </is>
      </c>
      <c r="F59" s="22" t="inlineStr"/>
      <c r="G59" s="22" t="inlineStr"/>
      <c r="H59" s="22" t="inlineStr">
        <is>
          <t>On Track</t>
        </is>
      </c>
      <c r="I59" s="43" t="inlineStr"/>
    </row>
    <row r="60" ht="22" customHeight="1">
      <c r="B60" s="8" t="n">
        <v>2</v>
      </c>
      <c r="C60" s="9" t="inlineStr">
        <is>
          <t>e-Waste disposed via authorised recycler</t>
        </is>
      </c>
      <c r="D60" s="10" t="inlineStr">
        <is>
          <t>% of total</t>
        </is>
      </c>
      <c r="E60" s="10" t="inlineStr">
        <is>
          <t>100%</t>
        </is>
      </c>
      <c r="F60" s="10" t="inlineStr"/>
      <c r="G60" s="10" t="inlineStr"/>
      <c r="H60" s="10" t="inlineStr">
        <is>
          <t>On Track</t>
        </is>
      </c>
      <c r="I60" s="9" t="inlineStr"/>
    </row>
    <row r="61" ht="22" customHeight="1">
      <c r="B61" s="54" t="n">
        <v>3</v>
      </c>
      <c r="C61" s="43" t="inlineStr">
        <is>
          <t>Energy-efficient devices (BEE 5-star %)</t>
        </is>
      </c>
      <c r="D61" s="22" t="inlineStr">
        <is>
          <t>% of new purchases</t>
        </is>
      </c>
      <c r="E61" s="22" t="inlineStr">
        <is>
          <t>≥60%</t>
        </is>
      </c>
      <c r="F61" s="22" t="inlineStr"/>
      <c r="G61" s="22" t="inlineStr"/>
      <c r="H61" s="22" t="inlineStr">
        <is>
          <t>On Track</t>
        </is>
      </c>
      <c r="I61" s="43" t="inlineStr"/>
    </row>
    <row r="62" ht="22" customHeight="1">
      <c r="B62" s="8" t="n">
        <v>4</v>
      </c>
      <c r="C62" s="9" t="inlineStr">
        <is>
          <t>Paperless processes implemented (%)</t>
        </is>
      </c>
      <c r="D62" s="10" t="inlineStr">
        <is>
          <t>% of admin</t>
        </is>
      </c>
      <c r="E62" s="10" t="inlineStr">
        <is>
          <t>≥70%</t>
        </is>
      </c>
      <c r="F62" s="10" t="inlineStr"/>
      <c r="G62" s="10" t="inlineStr"/>
      <c r="H62" s="10" t="inlineStr">
        <is>
          <t>On Track</t>
        </is>
      </c>
      <c r="I62" s="9" t="inlineStr"/>
    </row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</sheetData>
  <mergeCells count="9">
    <mergeCell ref="B50:I50"/>
    <mergeCell ref="B2:I2"/>
    <mergeCell ref="B3:I3"/>
    <mergeCell ref="B14:I14"/>
    <mergeCell ref="B23:I23"/>
    <mergeCell ref="B57:I57"/>
    <mergeCell ref="B32:I32"/>
    <mergeCell ref="B4:I4"/>
    <mergeCell ref="B40:I40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2:H6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8" customHeight="1">
      <c r="B2" s="12" t="inlineStr">
        <is>
          <t>ICT-38: ICT COMMITTEE ANNUAL REPORT COMPILATION FORM</t>
        </is>
      </c>
    </row>
    <row r="3" ht="25" customHeight="1">
      <c r="B3" s="2" t="inlineStr">
        <is>
          <t>A.Y.: _______  Compiled by: ICT Committee  Submitted to: Management / IQAC / NAAC  Date: _______</t>
        </is>
      </c>
    </row>
    <row r="4" ht="24" customHeight="1">
      <c r="B4" s="19" t="inlineStr">
        <is>
          <t>SECTION 1 — INFRASTRUCTURE</t>
        </is>
      </c>
    </row>
    <row r="5" ht="22" customHeight="1">
      <c r="B5" s="13" t="inlineStr">
        <is>
          <t>Sl.</t>
        </is>
      </c>
      <c r="C5" s="13" t="inlineStr">
        <is>
          <t>Performance Metric</t>
        </is>
      </c>
      <c r="D5" s="13" t="inlineStr">
        <is>
          <t>Unit</t>
        </is>
      </c>
      <c r="E5" s="13" t="inlineStr">
        <is>
          <t>Current A.Y.</t>
        </is>
      </c>
      <c r="F5" s="13" t="inlineStr">
        <is>
          <t>Previous A.Y.</t>
        </is>
      </c>
      <c r="G5" s="13" t="inlineStr">
        <is>
          <t>Growth %</t>
        </is>
      </c>
      <c r="H5" s="13" t="inlineStr">
        <is>
          <t>Target Next Year</t>
        </is>
      </c>
    </row>
    <row r="6" ht="22" customHeight="1">
      <c r="B6" s="14" t="n">
        <v>1</v>
      </c>
      <c r="C6" s="15" t="inlineStr">
        <is>
          <t>Total computers (desktops + laptops)</t>
        </is>
      </c>
      <c r="D6" s="16" t="inlineStr">
        <is>
          <t>No.</t>
        </is>
      </c>
      <c r="E6" s="16" t="inlineStr"/>
      <c r="F6" s="16" t="inlineStr"/>
      <c r="G6" s="16">
        <f>IFERROR(ROUND((E6-F6)/F6*100,1),"")</f>
        <v/>
      </c>
      <c r="H6" s="16" t="inlineStr"/>
    </row>
    <row r="7" ht="22" customHeight="1">
      <c r="B7" s="8" t="n">
        <v>2</v>
      </c>
      <c r="C7" s="9" t="inlineStr">
        <is>
          <t>Student-computer ratio</t>
        </is>
      </c>
      <c r="D7" s="10" t="inlineStr">
        <is>
          <t>Ratio</t>
        </is>
      </c>
      <c r="E7" s="10" t="inlineStr"/>
      <c r="F7" s="10" t="inlineStr"/>
      <c r="G7" s="10">
        <f>IFERROR(ROUND((E7-F7)/F7*100,1),"")</f>
        <v/>
      </c>
      <c r="H7" s="10" t="inlineStr"/>
    </row>
    <row r="8" ht="22" customHeight="1">
      <c r="B8" s="14" t="n">
        <v>3</v>
      </c>
      <c r="C8" s="15" t="inlineStr">
        <is>
          <t>Internet bandwidth (Mbps)</t>
        </is>
      </c>
      <c r="D8" s="16" t="inlineStr">
        <is>
          <t>Mbps</t>
        </is>
      </c>
      <c r="E8" s="16" t="inlineStr"/>
      <c r="F8" s="16" t="inlineStr"/>
      <c r="G8" s="16">
        <f>IFERROR(ROUND((E8-F8)/F8*100,1),"")</f>
        <v/>
      </c>
      <c r="H8" s="16" t="inlineStr"/>
    </row>
    <row r="9" ht="22" customHeight="1">
      <c r="B9" s="8" t="n">
        <v>4</v>
      </c>
      <c r="C9" s="9" t="inlineStr">
        <is>
          <t>Wi-Fi coverage (%)</t>
        </is>
      </c>
      <c r="D9" s="10" t="inlineStr">
        <is>
          <t>% area</t>
        </is>
      </c>
      <c r="E9" s="10" t="inlineStr"/>
      <c r="F9" s="10" t="inlineStr"/>
      <c r="G9" s="10">
        <f>IFERROR(ROUND((E9-F9)/F9*100,1),"")</f>
        <v/>
      </c>
      <c r="H9" s="10" t="inlineStr"/>
    </row>
    <row r="10" ht="22" customHeight="1">
      <c r="B10" s="14" t="n">
        <v>5</v>
      </c>
      <c r="C10" s="15" t="inlineStr">
        <is>
          <t>Servers maintained</t>
        </is>
      </c>
      <c r="D10" s="16" t="inlineStr">
        <is>
          <t>No.</t>
        </is>
      </c>
      <c r="E10" s="16" t="inlineStr"/>
      <c r="F10" s="16" t="inlineStr"/>
      <c r="G10" s="16">
        <f>IFERROR(ROUND((E10-F10)/F10*100,1),"")</f>
        <v/>
      </c>
      <c r="H10" s="16" t="inlineStr"/>
    </row>
    <row r="11" ht="22" customHeight="1">
      <c r="B11" s="8" t="n">
        <v>6</v>
      </c>
      <c r="C11" s="9" t="inlineStr">
        <is>
          <t>Hardware replacements done</t>
        </is>
      </c>
      <c r="D11" s="10" t="inlineStr">
        <is>
          <t>No. units</t>
        </is>
      </c>
      <c r="E11" s="10" t="inlineStr"/>
      <c r="F11" s="10" t="inlineStr"/>
      <c r="G11" s="10">
        <f>IFERROR(ROUND((E11-F11)/F11*100,1),"")</f>
        <v/>
      </c>
      <c r="H11" s="10" t="inlineStr"/>
    </row>
    <row r="12" ht="22" customHeight="1">
      <c r="B12" s="14" t="n">
        <v>7</v>
      </c>
      <c r="C12" s="15" t="inlineStr">
        <is>
          <t>AMC coverage (% of assets)</t>
        </is>
      </c>
      <c r="D12" s="16" t="inlineStr">
        <is>
          <t>% covered</t>
        </is>
      </c>
      <c r="E12" s="16" t="inlineStr"/>
      <c r="F12" s="16" t="inlineStr"/>
      <c r="G12" s="16">
        <f>IFERROR(ROUND((E12-F12)/F12*100,1),"")</f>
        <v/>
      </c>
      <c r="H12" s="16" t="inlineStr"/>
    </row>
    <row r="13" ht="22" customHeight="1">
      <c r="B13" s="8" t="n">
        <v>8</v>
      </c>
      <c r="C13" s="9" t="inlineStr">
        <is>
          <t>Helpdesk tickets resolved (%)</t>
        </is>
      </c>
      <c r="D13" s="10" t="inlineStr">
        <is>
          <t>% resolved</t>
        </is>
      </c>
      <c r="E13" s="10" t="inlineStr"/>
      <c r="F13" s="10" t="inlineStr"/>
      <c r="G13" s="10">
        <f>IFERROR(ROUND((E13-F13)/F13*100,1),"")</f>
        <v/>
      </c>
      <c r="H13" s="10" t="inlineStr"/>
    </row>
    <row r="14" ht="22" customHeight="1"/>
    <row r="15" ht="24" customHeight="1">
      <c r="B15" s="38" t="inlineStr">
        <is>
          <t>SECTION 2 — CYBERSECURITY</t>
        </is>
      </c>
    </row>
    <row r="16" ht="22" customHeight="1">
      <c r="B16" s="39" t="inlineStr">
        <is>
          <t>Sl.</t>
        </is>
      </c>
      <c r="C16" s="39" t="inlineStr">
        <is>
          <t>Performance Metric</t>
        </is>
      </c>
      <c r="D16" s="39" t="inlineStr">
        <is>
          <t>Unit</t>
        </is>
      </c>
      <c r="E16" s="39" t="inlineStr">
        <is>
          <t>Current A.Y.</t>
        </is>
      </c>
      <c r="F16" s="39" t="inlineStr">
        <is>
          <t>Previous A.Y.</t>
        </is>
      </c>
      <c r="G16" s="39" t="inlineStr">
        <is>
          <t>Growth %</t>
        </is>
      </c>
      <c r="H16" s="39" t="inlineStr">
        <is>
          <t>Target Next Year</t>
        </is>
      </c>
    </row>
    <row r="17" ht="22" customHeight="1">
      <c r="B17" s="40" t="n">
        <v>1</v>
      </c>
      <c r="C17" s="41" t="inlineStr">
        <is>
          <t>Cybersecurity audit score</t>
        </is>
      </c>
      <c r="D17" s="42" t="inlineStr">
        <is>
          <t>/ 100</t>
        </is>
      </c>
      <c r="E17" s="42" t="inlineStr"/>
      <c r="F17" s="42" t="inlineStr"/>
      <c r="G17" s="42">
        <f>IFERROR(ROUND((E17-F17)/F17*100,1),"")</f>
        <v/>
      </c>
      <c r="H17" s="42" t="inlineStr"/>
    </row>
    <row r="18" ht="22" customHeight="1">
      <c r="B18" s="8" t="n">
        <v>2</v>
      </c>
      <c r="C18" s="9" t="inlineStr">
        <is>
          <t>Critical incidents</t>
        </is>
      </c>
      <c r="D18" s="10" t="inlineStr">
        <is>
          <t>No.</t>
        </is>
      </c>
      <c r="E18" s="10" t="inlineStr"/>
      <c r="F18" s="10" t="inlineStr"/>
      <c r="G18" s="10">
        <f>IFERROR(ROUND((E18-F18)/F18*100,1),"")</f>
        <v/>
      </c>
      <c r="H18" s="10" t="inlineStr"/>
    </row>
    <row r="19" ht="22" customHeight="1">
      <c r="B19" s="40" t="n">
        <v>3</v>
      </c>
      <c r="C19" s="41" t="inlineStr">
        <is>
          <t>Staff security training (% completed)</t>
        </is>
      </c>
      <c r="D19" s="42" t="inlineStr">
        <is>
          <t>% staff</t>
        </is>
      </c>
      <c r="E19" s="42" t="inlineStr"/>
      <c r="F19" s="42" t="inlineStr"/>
      <c r="G19" s="42">
        <f>IFERROR(ROUND((E19-F19)/F19*100,1),"")</f>
        <v/>
      </c>
      <c r="H19" s="42" t="inlineStr"/>
    </row>
    <row r="20" ht="22" customHeight="1">
      <c r="B20" s="8" t="n">
        <v>4</v>
      </c>
      <c r="C20" s="9" t="inlineStr">
        <is>
          <t>Patches current (%)</t>
        </is>
      </c>
      <c r="D20" s="10" t="inlineStr">
        <is>
          <t>% devices</t>
        </is>
      </c>
      <c r="E20" s="10" t="inlineStr"/>
      <c r="F20" s="10" t="inlineStr"/>
      <c r="G20" s="10">
        <f>IFERROR(ROUND((E20-F20)/F20*100,1),"")</f>
        <v/>
      </c>
      <c r="H20" s="10" t="inlineStr"/>
    </row>
    <row r="21" ht="22" customHeight="1">
      <c r="B21" s="40" t="n">
        <v>5</v>
      </c>
      <c r="C21" s="41" t="inlineStr">
        <is>
          <t>Penetration test conducted</t>
        </is>
      </c>
      <c r="D21" s="42" t="inlineStr">
        <is>
          <t>Y/N</t>
        </is>
      </c>
      <c r="E21" s="42" t="inlineStr"/>
      <c r="F21" s="42" t="inlineStr"/>
      <c r="G21" s="42">
        <f>IFERROR(ROUND((E21-F21)/F21*100,1),"")</f>
        <v/>
      </c>
      <c r="H21" s="42" t="inlineStr"/>
    </row>
    <row r="22" ht="22" customHeight="1">
      <c r="B22" s="8" t="n">
        <v>6</v>
      </c>
      <c r="C22" s="9" t="inlineStr">
        <is>
          <t>Incident response plan updated</t>
        </is>
      </c>
      <c r="D22" s="10" t="inlineStr">
        <is>
          <t>Y/N</t>
        </is>
      </c>
      <c r="E22" s="10" t="inlineStr"/>
      <c r="F22" s="10" t="inlineStr"/>
      <c r="G22" s="10">
        <f>IFERROR(ROUND((E22-F22)/F22*100,1),"")</f>
        <v/>
      </c>
      <c r="H22" s="10" t="inlineStr"/>
    </row>
    <row r="23" ht="22" customHeight="1"/>
    <row r="24" ht="24" customHeight="1">
      <c r="B24" s="34" t="inlineStr">
        <is>
          <t>SECTION 3 — WEBSITE &amp; DIGITAL</t>
        </is>
      </c>
    </row>
    <row r="25" ht="22" customHeight="1">
      <c r="B25" s="30" t="inlineStr">
        <is>
          <t>Sl.</t>
        </is>
      </c>
      <c r="C25" s="30" t="inlineStr">
        <is>
          <t>Performance Metric</t>
        </is>
      </c>
      <c r="D25" s="30" t="inlineStr">
        <is>
          <t>Unit</t>
        </is>
      </c>
      <c r="E25" s="30" t="inlineStr">
        <is>
          <t>Current A.Y.</t>
        </is>
      </c>
      <c r="F25" s="30" t="inlineStr">
        <is>
          <t>Previous A.Y.</t>
        </is>
      </c>
      <c r="G25" s="30" t="inlineStr">
        <is>
          <t>Growth %</t>
        </is>
      </c>
      <c r="H25" s="30" t="inlineStr">
        <is>
          <t>Target Next Year</t>
        </is>
      </c>
    </row>
    <row r="26" ht="22" customHeight="1">
      <c r="B26" s="31" t="n">
        <v>1</v>
      </c>
      <c r="C26" s="32" t="inlineStr">
        <is>
          <t>Website uptime (%)</t>
        </is>
      </c>
      <c r="D26" s="33" t="inlineStr">
        <is>
          <t>% uptime</t>
        </is>
      </c>
      <c r="E26" s="33" t="inlineStr"/>
      <c r="F26" s="33" t="inlineStr"/>
      <c r="G26" s="33">
        <f>IFERROR(ROUND((E26-F26)/F26*100,1),"")</f>
        <v/>
      </c>
      <c r="H26" s="33" t="inlineStr"/>
    </row>
    <row r="27" ht="22" customHeight="1">
      <c r="B27" s="8" t="n">
        <v>2</v>
      </c>
      <c r="C27" s="9" t="inlineStr">
        <is>
          <t>PageSpeed score</t>
        </is>
      </c>
      <c r="D27" s="10" t="inlineStr">
        <is>
          <t>Score</t>
        </is>
      </c>
      <c r="E27" s="10" t="inlineStr"/>
      <c r="F27" s="10" t="inlineStr"/>
      <c r="G27" s="10">
        <f>IFERROR(ROUND((E27-F27)/F27*100,1),"")</f>
        <v/>
      </c>
      <c r="H27" s="10" t="inlineStr"/>
    </row>
    <row r="28" ht="22" customHeight="1">
      <c r="B28" s="31" t="n">
        <v>3</v>
      </c>
      <c r="C28" s="32" t="inlineStr">
        <is>
          <t>AICTE mandatory disclosure — compliant</t>
        </is>
      </c>
      <c r="D28" s="33" t="inlineStr">
        <is>
          <t>Y/N</t>
        </is>
      </c>
      <c r="E28" s="33" t="inlineStr"/>
      <c r="F28" s="33" t="inlineStr"/>
      <c r="G28" s="33">
        <f>IFERROR(ROUND((E28-F28)/F28*100,1),"")</f>
        <v/>
      </c>
      <c r="H28" s="33" t="inlineStr"/>
    </row>
    <row r="29" ht="22" customHeight="1">
      <c r="B29" s="8" t="n">
        <v>4</v>
      </c>
      <c r="C29" s="9" t="inlineStr">
        <is>
          <t>Website audits conducted</t>
        </is>
      </c>
      <c r="D29" s="10" t="inlineStr">
        <is>
          <t>No.</t>
        </is>
      </c>
      <c r="E29" s="10" t="inlineStr"/>
      <c r="F29" s="10" t="inlineStr"/>
      <c r="G29" s="10">
        <f>IFERROR(ROUND((E29-F29)/F29*100,1),"")</f>
        <v/>
      </c>
      <c r="H29" s="10" t="inlineStr"/>
    </row>
    <row r="30" ht="22" customHeight="1">
      <c r="B30" s="31" t="n">
        <v>5</v>
      </c>
      <c r="C30" s="32" t="inlineStr">
        <is>
          <t>Avg. monthly visitors</t>
        </is>
      </c>
      <c r="D30" s="33" t="inlineStr">
        <is>
          <t>No.</t>
        </is>
      </c>
      <c r="E30" s="33" t="inlineStr"/>
      <c r="F30" s="33" t="inlineStr"/>
      <c r="G30" s="33">
        <f>IFERROR(ROUND((E30-F30)/F30*100,1),"")</f>
        <v/>
      </c>
      <c r="H30" s="33" t="inlineStr"/>
    </row>
    <row r="31" ht="22" customHeight="1">
      <c r="B31" s="8" t="n">
        <v>6</v>
      </c>
      <c r="C31" s="9" t="inlineStr">
        <is>
          <t>Content updates (no. of pages)</t>
        </is>
      </c>
      <c r="D31" s="10" t="inlineStr">
        <is>
          <t>No.</t>
        </is>
      </c>
      <c r="E31" s="10" t="inlineStr"/>
      <c r="F31" s="10" t="inlineStr"/>
      <c r="G31" s="10">
        <f>IFERROR(ROUND((E31-F31)/F31*100,1),"")</f>
        <v/>
      </c>
      <c r="H31" s="10" t="inlineStr"/>
    </row>
    <row r="32" ht="22" customHeight="1"/>
    <row r="33" ht="24" customHeight="1">
      <c r="B33" s="49" t="inlineStr">
        <is>
          <t>SECTION 4 — ERP / MIS</t>
        </is>
      </c>
    </row>
    <row r="34" ht="22" customHeight="1">
      <c r="B34" s="50" t="inlineStr">
        <is>
          <t>Sl.</t>
        </is>
      </c>
      <c r="C34" s="50" t="inlineStr">
        <is>
          <t>Performance Metric</t>
        </is>
      </c>
      <c r="D34" s="50" t="inlineStr">
        <is>
          <t>Unit</t>
        </is>
      </c>
      <c r="E34" s="50" t="inlineStr">
        <is>
          <t>Current A.Y.</t>
        </is>
      </c>
      <c r="F34" s="50" t="inlineStr">
        <is>
          <t>Previous A.Y.</t>
        </is>
      </c>
      <c r="G34" s="50" t="inlineStr">
        <is>
          <t>Growth %</t>
        </is>
      </c>
      <c r="H34" s="50" t="inlineStr">
        <is>
          <t>Target Next Year</t>
        </is>
      </c>
    </row>
    <row r="35" ht="22" customHeight="1">
      <c r="B35" s="51" t="n">
        <v>1</v>
      </c>
      <c r="C35" s="52" t="inlineStr">
        <is>
          <t>ERP modules live</t>
        </is>
      </c>
      <c r="D35" s="53" t="inlineStr">
        <is>
          <t>No.</t>
        </is>
      </c>
      <c r="E35" s="53" t="inlineStr"/>
      <c r="F35" s="53" t="inlineStr"/>
      <c r="G35" s="53">
        <f>IFERROR(ROUND((E35-F35)/F35*100,1),"")</f>
        <v/>
      </c>
      <c r="H35" s="53" t="inlineStr"/>
    </row>
    <row r="36" ht="22" customHeight="1">
      <c r="B36" s="8" t="n">
        <v>2</v>
      </c>
      <c r="C36" s="9" t="inlineStr">
        <is>
          <t>Admin processes digitised (%)</t>
        </is>
      </c>
      <c r="D36" s="10" t="inlineStr">
        <is>
          <t>% paperless</t>
        </is>
      </c>
      <c r="E36" s="10" t="inlineStr"/>
      <c r="F36" s="10" t="inlineStr"/>
      <c r="G36" s="10">
        <f>IFERROR(ROUND((E36-F36)/F36*100,1),"")</f>
        <v/>
      </c>
      <c r="H36" s="10" t="inlineStr"/>
    </row>
    <row r="37" ht="22" customHeight="1">
      <c r="B37" s="51" t="n">
        <v>3</v>
      </c>
      <c r="C37" s="52" t="inlineStr">
        <is>
          <t>Faculty using ERP (%)</t>
        </is>
      </c>
      <c r="D37" s="53" t="inlineStr">
        <is>
          <t>% active</t>
        </is>
      </c>
      <c r="E37" s="53" t="inlineStr"/>
      <c r="F37" s="53" t="inlineStr"/>
      <c r="G37" s="53">
        <f>IFERROR(ROUND((E37-F37)/F37*100,1),"")</f>
        <v/>
      </c>
      <c r="H37" s="53" t="inlineStr"/>
    </row>
    <row r="38" ht="22" customHeight="1">
      <c r="B38" s="8" t="n">
        <v>4</v>
      </c>
      <c r="C38" s="9" t="inlineStr">
        <is>
          <t>Students using portal (%)</t>
        </is>
      </c>
      <c r="D38" s="10" t="inlineStr">
        <is>
          <t>% active</t>
        </is>
      </c>
      <c r="E38" s="10" t="inlineStr"/>
      <c r="F38" s="10" t="inlineStr"/>
      <c r="G38" s="10">
        <f>IFERROR(ROUND((E38-F38)/F38*100,1),"")</f>
        <v/>
      </c>
      <c r="H38" s="10" t="inlineStr"/>
    </row>
    <row r="39" ht="22" customHeight="1">
      <c r="B39" s="51" t="n">
        <v>5</v>
      </c>
      <c r="C39" s="52" t="inlineStr">
        <is>
          <t>New modules deployed this year</t>
        </is>
      </c>
      <c r="D39" s="53" t="inlineStr">
        <is>
          <t>No.</t>
        </is>
      </c>
      <c r="E39" s="53" t="inlineStr"/>
      <c r="F39" s="53" t="inlineStr"/>
      <c r="G39" s="53">
        <f>IFERROR(ROUND((E39-F39)/F39*100,1),"")</f>
        <v/>
      </c>
      <c r="H39" s="53" t="inlineStr"/>
    </row>
    <row r="40" ht="22" customHeight="1">
      <c r="B40" s="8" t="n">
        <v>6</v>
      </c>
      <c r="C40" s="9" t="inlineStr">
        <is>
          <t>Data quality (error-free %)</t>
        </is>
      </c>
      <c r="D40" s="10" t="inlineStr">
        <is>
          <t>% accurate</t>
        </is>
      </c>
      <c r="E40" s="10" t="inlineStr"/>
      <c r="F40" s="10" t="inlineStr"/>
      <c r="G40" s="10">
        <f>IFERROR(ROUND((E40-F40)/F40*100,1),"")</f>
        <v/>
      </c>
      <c r="H40" s="10" t="inlineStr"/>
    </row>
    <row r="41" ht="22" customHeight="1"/>
    <row r="42" ht="24" customHeight="1">
      <c r="B42" s="68" t="inlineStr">
        <is>
          <t>SECTION 5 — e-LEARNING / LMS</t>
        </is>
      </c>
    </row>
    <row r="43" ht="22" customHeight="1">
      <c r="B43" s="69" t="inlineStr">
        <is>
          <t>Sl.</t>
        </is>
      </c>
      <c r="C43" s="69" t="inlineStr">
        <is>
          <t>Performance Metric</t>
        </is>
      </c>
      <c r="D43" s="69" t="inlineStr">
        <is>
          <t>Unit</t>
        </is>
      </c>
      <c r="E43" s="69" t="inlineStr">
        <is>
          <t>Current A.Y.</t>
        </is>
      </c>
      <c r="F43" s="69" t="inlineStr">
        <is>
          <t>Previous A.Y.</t>
        </is>
      </c>
      <c r="G43" s="69" t="inlineStr">
        <is>
          <t>Growth %</t>
        </is>
      </c>
      <c r="H43" s="69" t="inlineStr">
        <is>
          <t>Target Next Year</t>
        </is>
      </c>
    </row>
    <row r="44" ht="22" customHeight="1">
      <c r="B44" s="70" t="n">
        <v>1</v>
      </c>
      <c r="C44" s="71" t="inlineStr">
        <is>
          <t>Courses on LMS (%)</t>
        </is>
      </c>
      <c r="D44" s="72" t="inlineStr">
        <is>
          <t>% of total</t>
        </is>
      </c>
      <c r="E44" s="72" t="inlineStr"/>
      <c r="F44" s="72" t="inlineStr"/>
      <c r="G44" s="72">
        <f>IFERROR(ROUND((E44-F44)/F44*100,1),"")</f>
        <v/>
      </c>
      <c r="H44" s="72" t="inlineStr"/>
    </row>
    <row r="45" ht="22" customHeight="1">
      <c r="B45" s="8" t="n">
        <v>2</v>
      </c>
      <c r="C45" s="9" t="inlineStr">
        <is>
          <t>Faculty active on LMS (%)</t>
        </is>
      </c>
      <c r="D45" s="10" t="inlineStr">
        <is>
          <t>% of total</t>
        </is>
      </c>
      <c r="E45" s="10" t="inlineStr"/>
      <c r="F45" s="10" t="inlineStr"/>
      <c r="G45" s="10">
        <f>IFERROR(ROUND((E45-F45)/F45*100,1),"")</f>
        <v/>
      </c>
      <c r="H45" s="10" t="inlineStr"/>
    </row>
    <row r="46" ht="22" customHeight="1">
      <c r="B46" s="70" t="n">
        <v>3</v>
      </c>
      <c r="C46" s="71" t="inlineStr">
        <is>
          <t>MOOC enrolments</t>
        </is>
      </c>
      <c r="D46" s="72" t="inlineStr">
        <is>
          <t>No.</t>
        </is>
      </c>
      <c r="E46" s="72" t="inlineStr"/>
      <c r="F46" s="72" t="inlineStr"/>
      <c r="G46" s="72">
        <f>IFERROR(ROUND((E46-F46)/F46*100,1),"")</f>
        <v/>
      </c>
      <c r="H46" s="72" t="inlineStr"/>
    </row>
    <row r="47" ht="22" customHeight="1">
      <c r="B47" s="8" t="n">
        <v>4</v>
      </c>
      <c r="C47" s="9" t="inlineStr">
        <is>
          <t>MOOC completions</t>
        </is>
      </c>
      <c r="D47" s="10" t="inlineStr">
        <is>
          <t>No.</t>
        </is>
      </c>
      <c r="E47" s="10" t="inlineStr"/>
      <c r="F47" s="10" t="inlineStr"/>
      <c r="G47" s="10">
        <f>IFERROR(ROUND((E47-F47)/F47*100,1),"")</f>
        <v/>
      </c>
      <c r="H47" s="10" t="inlineStr"/>
    </row>
    <row r="48" ht="22" customHeight="1">
      <c r="B48" s="70" t="n">
        <v>5</v>
      </c>
      <c r="C48" s="71" t="inlineStr">
        <is>
          <t>MOOC credits mapped to curriculum</t>
        </is>
      </c>
      <c r="D48" s="72" t="inlineStr">
        <is>
          <t>No.</t>
        </is>
      </c>
      <c r="E48" s="72" t="inlineStr"/>
      <c r="F48" s="72" t="inlineStr"/>
      <c r="G48" s="72">
        <f>IFERROR(ROUND((E48-F48)/F48*100,1),"")</f>
        <v/>
      </c>
      <c r="H48" s="72" t="inlineStr"/>
    </row>
    <row r="49" ht="22" customHeight="1">
      <c r="B49" s="8" t="n">
        <v>6</v>
      </c>
      <c r="C49" s="9" t="inlineStr">
        <is>
          <t>LMS student engagement (avg logins/week)</t>
        </is>
      </c>
      <c r="D49" s="10" t="inlineStr">
        <is>
          <t>No.</t>
        </is>
      </c>
      <c r="E49" s="10" t="inlineStr"/>
      <c r="F49" s="10" t="inlineStr"/>
      <c r="G49" s="10">
        <f>IFERROR(ROUND((E49-F49)/F49*100,1),"")</f>
        <v/>
      </c>
      <c r="H49" s="10" t="inlineStr"/>
    </row>
    <row r="50" ht="22" customHeight="1"/>
    <row r="51" ht="24" customHeight="1">
      <c r="B51" s="55" t="inlineStr">
        <is>
          <t>SECTION 6 — DIGITAL SKILLS &amp; GREEN ICT</t>
        </is>
      </c>
    </row>
    <row r="52" ht="22" customHeight="1">
      <c r="B52" s="56" t="inlineStr">
        <is>
          <t>Sl.</t>
        </is>
      </c>
      <c r="C52" s="56" t="inlineStr">
        <is>
          <t>Performance Metric</t>
        </is>
      </c>
      <c r="D52" s="56" t="inlineStr">
        <is>
          <t>Unit</t>
        </is>
      </c>
      <c r="E52" s="56" t="inlineStr">
        <is>
          <t>Current A.Y.</t>
        </is>
      </c>
      <c r="F52" s="56" t="inlineStr">
        <is>
          <t>Previous A.Y.</t>
        </is>
      </c>
      <c r="G52" s="56" t="inlineStr">
        <is>
          <t>Growth %</t>
        </is>
      </c>
      <c r="H52" s="56" t="inlineStr">
        <is>
          <t>Target Next Year</t>
        </is>
      </c>
    </row>
    <row r="53" ht="22" customHeight="1">
      <c r="B53" s="57" t="n">
        <v>1</v>
      </c>
      <c r="C53" s="58" t="inlineStr">
        <is>
          <t>Staff digital training sessions</t>
        </is>
      </c>
      <c r="D53" s="59" t="inlineStr">
        <is>
          <t>No.</t>
        </is>
      </c>
      <c r="E53" s="59" t="inlineStr"/>
      <c r="F53" s="59" t="inlineStr"/>
      <c r="G53" s="59">
        <f>IFERROR(ROUND((E53-F53)/F53*100,1),"")</f>
        <v/>
      </c>
      <c r="H53" s="59" t="inlineStr"/>
    </row>
    <row r="54" ht="22" customHeight="1">
      <c r="B54" s="8" t="n">
        <v>2</v>
      </c>
      <c r="C54" s="9" t="inlineStr">
        <is>
          <t>Students digital literacy trained</t>
        </is>
      </c>
      <c r="D54" s="10" t="inlineStr">
        <is>
          <t>No.</t>
        </is>
      </c>
      <c r="E54" s="10" t="inlineStr"/>
      <c r="F54" s="10" t="inlineStr"/>
      <c r="G54" s="10">
        <f>IFERROR(ROUND((E54-F54)/F54*100,1),"")</f>
        <v/>
      </c>
      <c r="H54" s="10" t="inlineStr"/>
    </row>
    <row r="55" ht="22" customHeight="1">
      <c r="B55" s="57" t="n">
        <v>3</v>
      </c>
      <c r="C55" s="58" t="inlineStr">
        <is>
          <t>e-Waste disposed (kg)</t>
        </is>
      </c>
      <c r="D55" s="59" t="inlineStr">
        <is>
          <t>kg</t>
        </is>
      </c>
      <c r="E55" s="59" t="inlineStr"/>
      <c r="F55" s="59" t="inlineStr"/>
      <c r="G55" s="59">
        <f>IFERROR(ROUND((E55-F55)/F55*100,1),"")</f>
        <v/>
      </c>
      <c r="H55" s="59" t="inlineStr"/>
    </row>
    <row r="56" ht="22" customHeight="1">
      <c r="B56" s="8" t="n">
        <v>4</v>
      </c>
      <c r="C56" s="9" t="inlineStr">
        <is>
          <t>Energy-efficient devices purchased (%)</t>
        </is>
      </c>
      <c r="D56" s="10" t="inlineStr">
        <is>
          <t>% of buys</t>
        </is>
      </c>
      <c r="E56" s="10" t="inlineStr"/>
      <c r="F56" s="10" t="inlineStr"/>
      <c r="G56" s="10">
        <f>IFERROR(ROUND((E56-F56)/F56*100,1),"")</f>
        <v/>
      </c>
      <c r="H56" s="10" t="inlineStr"/>
    </row>
    <row r="57" ht="22" customHeight="1">
      <c r="B57" s="57" t="n">
        <v>5</v>
      </c>
      <c r="C57" s="58" t="inlineStr">
        <is>
          <t>Paperless processes achieved</t>
        </is>
      </c>
      <c r="D57" s="59" t="inlineStr">
        <is>
          <t>No.</t>
        </is>
      </c>
      <c r="E57" s="59" t="inlineStr"/>
      <c r="F57" s="59" t="inlineStr"/>
      <c r="G57" s="59">
        <f>IFERROR(ROUND((E57-F57)/F57*100,1),"")</f>
        <v/>
      </c>
      <c r="H57" s="59" t="inlineStr"/>
    </row>
    <row r="58" ht="22" customHeight="1">
      <c r="B58" s="8" t="n">
        <v>6</v>
      </c>
      <c r="C58" s="9" t="inlineStr">
        <is>
          <t>Green ICT savings (₹L)</t>
        </is>
      </c>
      <c r="D58" s="10" t="inlineStr">
        <is>
          <t>₹L</t>
        </is>
      </c>
      <c r="E58" s="10" t="inlineStr"/>
      <c r="F58" s="10" t="inlineStr"/>
      <c r="G58" s="10">
        <f>IFERROR(ROUND((E58-F58)/F58*100,1),"")</f>
        <v/>
      </c>
      <c r="H58" s="10" t="inlineStr"/>
    </row>
    <row r="59" ht="22" customHeight="1"/>
    <row r="60" ht="20" customHeight="1">
      <c r="B60" s="17" t="inlineStr">
        <is>
          <t>Annual Report to be submitted to: Management, IQAC (AQAR Criteria II, IV, VI), NAAC SSR, NIRF, AICTE portal and Governing Body by April 30 each year.</t>
        </is>
      </c>
    </row>
    <row r="61" ht="22" customHeight="1">
      <c r="B61" s="29" t="inlineStr">
        <is>
          <t>ICT Head: ___________________    Committee Chairperson: ___________________    IQAC Coordinator: ___________________    Date: ___________________</t>
        </is>
      </c>
    </row>
    <row r="62" ht="22" customHeight="1"/>
    <row r="63" ht="22" customHeight="1"/>
    <row r="64" ht="22" customHeight="1"/>
    <row r="65" ht="22" customHeight="1"/>
    <row r="66" ht="22" customHeight="1"/>
    <row r="67" ht="22" customHeight="1"/>
  </sheetData>
  <mergeCells count="10">
    <mergeCell ref="B4:H4"/>
    <mergeCell ref="B24:H24"/>
    <mergeCell ref="B2:H2"/>
    <mergeCell ref="B15:H15"/>
    <mergeCell ref="B33:H33"/>
    <mergeCell ref="B42:H42"/>
    <mergeCell ref="B3:H3"/>
    <mergeCell ref="B51:H51"/>
    <mergeCell ref="B60:H60"/>
    <mergeCell ref="B61:H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2026-04-20T10:10:05Z</dcterms:created>
  <dcterms:modified xmlns:dcterms="http://purl.org/dc/terms/" xmlns:xsi="http://www.w3.org/2001/XMLSchema-instance" xsi:type="dcterms:W3CDTF">2026-04-20T10:10:06Z</dcterms:modified>
</cp:coreProperties>
</file>