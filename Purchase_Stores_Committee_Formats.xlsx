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SC-00 Composition" sheetId="2" state="visible" r:id="rId2"/>
    <sheet xmlns:r="http://schemas.openxmlformats.org/officeDocument/2006/relationships" name="PSC-NA Notice &amp; Agenda" sheetId="3" state="visible" r:id="rId3"/>
    <sheet xmlns:r="http://schemas.openxmlformats.org/officeDocument/2006/relationships" name="PSC-AT Attendance" sheetId="4" state="visible" r:id="rId4"/>
    <sheet xmlns:r="http://schemas.openxmlformats.org/officeDocument/2006/relationships" name="PSC-MM Minutes" sheetId="5" state="visible" r:id="rId5"/>
    <sheet xmlns:r="http://schemas.openxmlformats.org/officeDocument/2006/relationships" name="PSC-ATR Action Report" sheetId="6" state="visible" r:id="rId6"/>
    <sheet xmlns:r="http://schemas.openxmlformats.org/officeDocument/2006/relationships" name="PSC-05 Indent Register" sheetId="7" state="visible" r:id="rId7"/>
    <sheet xmlns:r="http://schemas.openxmlformats.org/officeDocument/2006/relationships" name="PSC-09 Vendor Master Register" sheetId="8" state="visible" r:id="rId8"/>
    <sheet xmlns:r="http://schemas.openxmlformats.org/officeDocument/2006/relationships" name="PSC-13 Comparative Statement" sheetId="9" state="visible" r:id="rId9"/>
    <sheet xmlns:r="http://schemas.openxmlformats.org/officeDocument/2006/relationships" name="PSC-18 Purchase Order Register" sheetId="10" state="visible" r:id="rId10"/>
    <sheet xmlns:r="http://schemas.openxmlformats.org/officeDocument/2006/relationships" name="PSC-21 GRN Register" sheetId="11" state="visible" r:id="rId11"/>
    <sheet xmlns:r="http://schemas.openxmlformats.org/officeDocument/2006/relationships" name="PSC-25 Stores Inventory Master" sheetId="12" state="visible" r:id="rId12"/>
    <sheet xmlns:r="http://schemas.openxmlformats.org/officeDocument/2006/relationships" name="PSC-26 Goods Issue Register" sheetId="13" state="visible" r:id="rId13"/>
    <sheet xmlns:r="http://schemas.openxmlformats.org/officeDocument/2006/relationships" name="PSC-28 Stock Ledger" sheetId="14" state="visible" r:id="rId14"/>
    <sheet xmlns:r="http://schemas.openxmlformats.org/officeDocument/2006/relationships" name="PSC-32 Capital Equipment" sheetId="15" state="visible" r:id="rId15"/>
    <sheet xmlns:r="http://schemas.openxmlformats.org/officeDocument/2006/relationships" name="PSC-35 Asset Register Movable" sheetId="16" state="visible" r:id="rId16"/>
    <sheet xmlns:r="http://schemas.openxmlformats.org/officeDocument/2006/relationships" name="PSC-42 Physical Verification" sheetId="17" state="visible" r:id="rId17"/>
    <sheet xmlns:r="http://schemas.openxmlformats.org/officeDocument/2006/relationships" name="PSC-44 KPI Dashboard" sheetId="18" state="visible" r:id="rId18"/>
    <sheet xmlns:r="http://schemas.openxmlformats.org/officeDocument/2006/relationships" name="PSC-45 Annual Repor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78350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78350F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color rgb="000D9488"/>
      <sz val="9"/>
    </font>
    <font>
      <name val="Arial"/>
      <b val="1"/>
      <color rgb="003F2000"/>
      <sz val="10"/>
    </font>
  </fonts>
  <fills count="19">
    <fill>
      <patternFill/>
    </fill>
    <fill>
      <patternFill patternType="gray125"/>
    </fill>
    <fill>
      <patternFill patternType="solid">
        <fgColor rgb="001C0A00"/>
      </patternFill>
    </fill>
    <fill>
      <patternFill patternType="solid">
        <fgColor rgb="00FEF3C7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78350F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92400E"/>
      </patternFill>
    </fill>
    <fill>
      <patternFill patternType="solid">
        <fgColor rgb="007C3AED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15" fillId="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3" fillId="14" borderId="0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75" customHeight="1">
      <c r="B2" s="1" t="inlineStr">
        <is>
          <t>PURCHASE &amp; STORES COMMITTEE (PSC)
Data Collection Formats — Master Workbook</t>
        </is>
      </c>
    </row>
    <row r="3" ht="28" customHeight="1">
      <c r="B3" s="2" t="inlineStr">
        <is>
          <t>Institution: _________________________  PSC Coordinator: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PSC-00</t>
        </is>
      </c>
      <c r="C6" s="6" t="inlineStr">
        <is>
          <t>Committee Composition &amp; Members Register</t>
        </is>
      </c>
      <c r="D6" s="6" t="inlineStr">
        <is>
          <t>Record PSC members, store keepers &amp; HoD reps</t>
        </is>
      </c>
      <c r="E6" s="7" t="inlineStr">
        <is>
          <t>Annual</t>
        </is>
      </c>
    </row>
    <row r="7" ht="20" customHeight="1">
      <c r="B7" s="8" t="inlineStr">
        <is>
          <t>PSC-NA</t>
        </is>
      </c>
      <c r="C7" s="9" t="inlineStr">
        <is>
          <t>Meeting Notice, Agenda &amp; Dispatch Record</t>
        </is>
      </c>
      <c r="D7" s="9" t="inlineStr">
        <is>
          <t>Formal notice and agenda for PSC meetings</t>
        </is>
      </c>
      <c r="E7" s="10" t="inlineStr">
        <is>
          <t>Each Meeting</t>
        </is>
      </c>
    </row>
    <row r="8" ht="20" customHeight="1">
      <c r="B8" s="5" t="inlineStr">
        <is>
          <t>PSC-AT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PSC-MM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PSC-ATR</t>
        </is>
      </c>
      <c r="C10" s="6" t="inlineStr">
        <is>
          <t>Action Taken Report</t>
        </is>
      </c>
      <c r="D10" s="6" t="inlineStr">
        <is>
          <t>Track implementation of PSC resolutions</t>
        </is>
      </c>
      <c r="E10" s="7" t="inlineStr">
        <is>
          <t>Each Meeting</t>
        </is>
      </c>
    </row>
    <row r="11" ht="20" customHeight="1">
      <c r="B11" s="4" t="inlineStr">
        <is>
          <t>── POLICY &amp; PLANNING ──</t>
        </is>
      </c>
    </row>
    <row r="12" ht="20" customHeight="1">
      <c r="B12" s="5" t="inlineStr">
        <is>
          <t>PSC-01</t>
        </is>
      </c>
      <c r="C12" s="6" t="inlineStr">
        <is>
          <t>Purchase &amp; Procurement Policy Document</t>
        </is>
      </c>
      <c r="D12" s="6" t="inlineStr">
        <is>
          <t>Document purchase rules, financial limits &amp; authority</t>
        </is>
      </c>
      <c r="E12" s="7" t="inlineStr">
        <is>
          <t>Annual</t>
        </is>
      </c>
    </row>
    <row r="13" ht="20" customHeight="1">
      <c r="B13" s="8" t="inlineStr">
        <is>
          <t>PSC-02</t>
        </is>
      </c>
      <c r="C13" s="9" t="inlineStr">
        <is>
          <t>Annual Procurement Plan</t>
        </is>
      </c>
      <c r="D13" s="9" t="inlineStr">
        <is>
          <t>Plan all purchases for the year — department-wise</t>
        </is>
      </c>
      <c r="E13" s="10" t="inlineStr">
        <is>
          <t>Annual</t>
        </is>
      </c>
    </row>
    <row r="14" ht="20" customHeight="1">
      <c r="B14" s="5" t="inlineStr">
        <is>
          <t>PSC-03</t>
        </is>
      </c>
      <c r="C14" s="6" t="inlineStr">
        <is>
          <t>PSC Budget &amp; Capital Expenditure Plan</t>
        </is>
      </c>
      <c r="D14" s="6" t="inlineStr">
        <is>
          <t>Plan budget for equipment, consumables &amp; services</t>
        </is>
      </c>
      <c r="E14" s="7" t="inlineStr">
        <is>
          <t>Annual</t>
        </is>
      </c>
    </row>
    <row r="15" ht="20" customHeight="1">
      <c r="B15" s="4" t="inlineStr">
        <is>
          <t>── INDENT &amp; REQUISITION ──</t>
        </is>
      </c>
    </row>
    <row r="16" ht="20" customHeight="1">
      <c r="B16" s="5" t="inlineStr">
        <is>
          <t>PSC-04</t>
        </is>
      </c>
      <c r="C16" s="6" t="inlineStr">
        <is>
          <t>Purchase Indent / Requisition Form</t>
        </is>
      </c>
      <c r="D16" s="6" t="inlineStr">
        <is>
          <t>Formal purchase request by department / user</t>
        </is>
      </c>
      <c r="E16" s="7" t="inlineStr">
        <is>
          <t>Per Requirement</t>
        </is>
      </c>
    </row>
    <row r="17" ht="20" customHeight="1">
      <c r="B17" s="8" t="inlineStr">
        <is>
          <t>PSC-05</t>
        </is>
      </c>
      <c r="C17" s="9" t="inlineStr">
        <is>
          <t>Indent Register</t>
        </is>
      </c>
      <c r="D17" s="9" t="inlineStr">
        <is>
          <t>Consolidated register of all indents received</t>
        </is>
      </c>
      <c r="E17" s="10" t="inlineStr">
        <is>
          <t>Continuous</t>
        </is>
      </c>
    </row>
    <row r="18" ht="20" customHeight="1">
      <c r="B18" s="5" t="inlineStr">
        <is>
          <t>PSC-06</t>
        </is>
      </c>
      <c r="C18" s="6" t="inlineStr">
        <is>
          <t>Indent Approval Register</t>
        </is>
      </c>
      <c r="D18" s="6" t="inlineStr">
        <is>
          <t>Track approval status of each indent</t>
        </is>
      </c>
      <c r="E18" s="7" t="inlineStr">
        <is>
          <t>Per Indent</t>
        </is>
      </c>
    </row>
    <row r="19" ht="20" customHeight="1">
      <c r="B19" s="8" t="inlineStr">
        <is>
          <t>PSC-07</t>
        </is>
      </c>
      <c r="C19" s="9" t="inlineStr">
        <is>
          <t>Urgent / Emergency Purchase Register</t>
        </is>
      </c>
      <c r="D19" s="9" t="inlineStr">
        <is>
          <t>Handle urgent purchases outside normal cycle</t>
        </is>
      </c>
      <c r="E19" s="10" t="inlineStr">
        <is>
          <t>Per Emergency</t>
        </is>
      </c>
    </row>
    <row r="20" ht="20" customHeight="1">
      <c r="B20" s="4" t="inlineStr">
        <is>
          <t>── VENDOR MANAGEMENT ──</t>
        </is>
      </c>
    </row>
    <row r="21" ht="20" customHeight="1">
      <c r="B21" s="8" t="inlineStr">
        <is>
          <t>PSC-08</t>
        </is>
      </c>
      <c r="C21" s="9" t="inlineStr">
        <is>
          <t>Vendor / Supplier Registration Form</t>
        </is>
      </c>
      <c r="D21" s="9" t="inlineStr">
        <is>
          <t>Register vendors with credentials, GST &amp; track record</t>
        </is>
      </c>
      <c r="E21" s="10" t="inlineStr">
        <is>
          <t>Annual / Per Vendor</t>
        </is>
      </c>
    </row>
    <row r="22" ht="20" customHeight="1">
      <c r="B22" s="5" t="inlineStr">
        <is>
          <t>PSC-09</t>
        </is>
      </c>
      <c r="C22" s="6" t="inlineStr">
        <is>
          <t>Approved Vendor / Supplier Master Register</t>
        </is>
      </c>
      <c r="D22" s="6" t="inlineStr">
        <is>
          <t>Maintain list of pre-approved, verified suppliers</t>
        </is>
      </c>
      <c r="E22" s="7" t="inlineStr">
        <is>
          <t>Annual</t>
        </is>
      </c>
    </row>
    <row r="23" ht="20" customHeight="1">
      <c r="B23" s="8" t="inlineStr">
        <is>
          <t>PSC-10</t>
        </is>
      </c>
      <c r="C23" s="9" t="inlineStr">
        <is>
          <t>Vendor Performance Evaluation Register</t>
        </is>
      </c>
      <c r="D23" s="9" t="inlineStr">
        <is>
          <t>Evaluate vendor delivery, quality &amp; compliance</t>
        </is>
      </c>
      <c r="E23" s="10" t="inlineStr">
        <is>
          <t>Annual</t>
        </is>
      </c>
    </row>
    <row r="24" ht="20" customHeight="1">
      <c r="B24" s="5" t="inlineStr">
        <is>
          <t>PSC-11</t>
        </is>
      </c>
      <c r="C24" s="6" t="inlineStr">
        <is>
          <t>Vendor Blacklist &amp; Debarment Register</t>
        </is>
      </c>
      <c r="D24" s="6" t="inlineStr">
        <is>
          <t>Record debarred vendors with reasons</t>
        </is>
      </c>
      <c r="E24" s="7" t="inlineStr">
        <is>
          <t>Per Decision</t>
        </is>
      </c>
    </row>
    <row r="25" ht="20" customHeight="1">
      <c r="B25" s="4" t="inlineStr">
        <is>
          <t>── QUOTATION &amp; TENDER ──</t>
        </is>
      </c>
    </row>
    <row r="26" ht="20" customHeight="1">
      <c r="B26" s="5" t="inlineStr">
        <is>
          <t>PSC-12</t>
        </is>
      </c>
      <c r="C26" s="6" t="inlineStr">
        <is>
          <t>Quotation Request &amp; Receipt Register</t>
        </is>
      </c>
      <c r="D26" s="6" t="inlineStr">
        <is>
          <t>Send and track requests for quotations from vendors</t>
        </is>
      </c>
      <c r="E26" s="7" t="inlineStr">
        <is>
          <t>Per Purchase</t>
        </is>
      </c>
    </row>
    <row r="27" ht="20" customHeight="1">
      <c r="B27" s="8" t="inlineStr">
        <is>
          <t>PSC-13</t>
        </is>
      </c>
      <c r="C27" s="9" t="inlineStr">
        <is>
          <t>Comparative Statement Register</t>
        </is>
      </c>
      <c r="D27" s="9" t="inlineStr">
        <is>
          <t>Compare quotations — price, quality, terms</t>
        </is>
      </c>
      <c r="E27" s="10" t="inlineStr">
        <is>
          <t>Per Purchase</t>
        </is>
      </c>
    </row>
    <row r="28" ht="20" customHeight="1">
      <c r="B28" s="5" t="inlineStr">
        <is>
          <t>PSC-14</t>
        </is>
      </c>
      <c r="C28" s="6" t="inlineStr">
        <is>
          <t>Single-Source / Sole-Source Justification Reg.</t>
        </is>
      </c>
      <c r="D28" s="6" t="inlineStr">
        <is>
          <t>Justify and approve single-vendor purchases</t>
        </is>
      </c>
      <c r="E28" s="7" t="inlineStr">
        <is>
          <t>Per Case</t>
        </is>
      </c>
    </row>
    <row r="29" ht="20" customHeight="1">
      <c r="B29" s="8" t="inlineStr">
        <is>
          <t>PSC-15</t>
        </is>
      </c>
      <c r="C29" s="9" t="inlineStr">
        <is>
          <t>Tender Notice &amp; Publication Register</t>
        </is>
      </c>
      <c r="D29" s="9" t="inlineStr">
        <is>
          <t>Track tender notice publication and responses</t>
        </is>
      </c>
      <c r="E29" s="10" t="inlineStr">
        <is>
          <t>Per Tender</t>
        </is>
      </c>
    </row>
    <row r="30" ht="20" customHeight="1">
      <c r="B30" s="5" t="inlineStr">
        <is>
          <t>PSC-16</t>
        </is>
      </c>
      <c r="C30" s="6" t="inlineStr">
        <is>
          <t>Tender Opening &amp; Evaluation Register</t>
        </is>
      </c>
      <c r="D30" s="6" t="inlineStr">
        <is>
          <t>Document tender opening and technical evaluation</t>
        </is>
      </c>
      <c r="E30" s="7" t="inlineStr">
        <is>
          <t>Per Tender</t>
        </is>
      </c>
    </row>
    <row r="31" ht="20" customHeight="1">
      <c r="B31" s="8" t="inlineStr">
        <is>
          <t>PSC-17</t>
        </is>
      </c>
      <c r="C31" s="9" t="inlineStr">
        <is>
          <t>Tender Award &amp; Work Order Register</t>
        </is>
      </c>
      <c r="D31" s="9" t="inlineStr">
        <is>
          <t>Record tender award decision and work order issue</t>
        </is>
      </c>
      <c r="E31" s="10" t="inlineStr">
        <is>
          <t>Per Tender</t>
        </is>
      </c>
    </row>
    <row r="32" ht="20" customHeight="1">
      <c r="B32" s="4" t="inlineStr">
        <is>
          <t>── PURCHASE ORDER &amp; PROCUREMENT ──</t>
        </is>
      </c>
    </row>
    <row r="33" ht="20" customHeight="1">
      <c r="B33" s="8" t="inlineStr">
        <is>
          <t>PSC-18</t>
        </is>
      </c>
      <c r="C33" s="9" t="inlineStr">
        <is>
          <t>Purchase Order Register</t>
        </is>
      </c>
      <c r="D33" s="9" t="inlineStr">
        <is>
          <t>Register all purchase orders issued</t>
        </is>
      </c>
      <c r="E33" s="10" t="inlineStr">
        <is>
          <t>Per PO</t>
        </is>
      </c>
    </row>
    <row r="34" ht="20" customHeight="1">
      <c r="B34" s="5" t="inlineStr">
        <is>
          <t>PSC-19</t>
        </is>
      </c>
      <c r="C34" s="6" t="inlineStr">
        <is>
          <t>Rate Contract / AMC Register</t>
        </is>
      </c>
      <c r="D34" s="6" t="inlineStr">
        <is>
          <t>Manage rate contracts and annual maintenance contracts</t>
        </is>
      </c>
      <c r="E34" s="7" t="inlineStr">
        <is>
          <t>Annual</t>
        </is>
      </c>
    </row>
    <row r="35" ht="20" customHeight="1">
      <c r="B35" s="8" t="inlineStr">
        <is>
          <t>PSC-20</t>
        </is>
      </c>
      <c r="C35" s="9" t="inlineStr">
        <is>
          <t>Import Purchase Register</t>
        </is>
      </c>
      <c r="D35" s="9" t="inlineStr">
        <is>
          <t>Track imports — foreign vendors, customs, duty</t>
        </is>
      </c>
      <c r="E35" s="10" t="inlineStr">
        <is>
          <t>Per Import</t>
        </is>
      </c>
    </row>
    <row r="36" ht="20" customHeight="1">
      <c r="B36" s="4" t="inlineStr">
        <is>
          <t>── GOODS RECEIPT &amp; INSPECTION ──</t>
        </is>
      </c>
    </row>
    <row r="37" ht="20" customHeight="1">
      <c r="B37" s="8" t="inlineStr">
        <is>
          <t>PSC-21</t>
        </is>
      </c>
      <c r="C37" s="9" t="inlineStr">
        <is>
          <t>Goods Receipt Note (GRN) Register</t>
        </is>
      </c>
      <c r="D37" s="9" t="inlineStr">
        <is>
          <t>Record goods received against each purchase order</t>
        </is>
      </c>
      <c r="E37" s="10" t="inlineStr">
        <is>
          <t>Per Delivery</t>
        </is>
      </c>
    </row>
    <row r="38" ht="20" customHeight="1">
      <c r="B38" s="5" t="inlineStr">
        <is>
          <t>PSC-22</t>
        </is>
      </c>
      <c r="C38" s="6" t="inlineStr">
        <is>
          <t>Inspection &amp; Quality Control Register</t>
        </is>
      </c>
      <c r="D38" s="6" t="inlineStr">
        <is>
          <t>Inspect goods received — quality, quantity, specs</t>
        </is>
      </c>
      <c r="E38" s="7" t="inlineStr">
        <is>
          <t>Per GRN</t>
        </is>
      </c>
    </row>
    <row r="39" ht="20" customHeight="1">
      <c r="B39" s="8" t="inlineStr">
        <is>
          <t>PSC-23</t>
        </is>
      </c>
      <c r="C39" s="9" t="inlineStr">
        <is>
          <t>Short / Damaged Supply Register</t>
        </is>
      </c>
      <c r="D39" s="9" t="inlineStr">
        <is>
          <t>Record shortages, damages and vendor complaints</t>
        </is>
      </c>
      <c r="E39" s="10" t="inlineStr">
        <is>
          <t>Per Incident</t>
        </is>
      </c>
    </row>
    <row r="40" ht="20" customHeight="1">
      <c r="B40" s="5" t="inlineStr">
        <is>
          <t>PSC-24</t>
        </is>
      </c>
      <c r="C40" s="6" t="inlineStr">
        <is>
          <t>Return / Rejection Register</t>
        </is>
      </c>
      <c r="D40" s="6" t="inlineStr">
        <is>
          <t>Track goods returned or rejected after inspection</t>
        </is>
      </c>
      <c r="E40" s="7" t="inlineStr">
        <is>
          <t>Per Return</t>
        </is>
      </c>
    </row>
    <row r="41" ht="20" customHeight="1">
      <c r="B41" s="4" t="inlineStr">
        <is>
          <t>── STORES MANAGEMENT ──</t>
        </is>
      </c>
    </row>
    <row r="42" ht="20" customHeight="1">
      <c r="B42" s="5" t="inlineStr">
        <is>
          <t>PSC-25</t>
        </is>
      </c>
      <c r="C42" s="6" t="inlineStr">
        <is>
          <t>Stores Inventory Master Register</t>
        </is>
      </c>
      <c r="D42" s="6" t="inlineStr">
        <is>
          <t>Master register of all items in institutional stores</t>
        </is>
      </c>
      <c r="E42" s="7" t="inlineStr">
        <is>
          <t>Annual / Continuous</t>
        </is>
      </c>
    </row>
    <row r="43" ht="20" customHeight="1">
      <c r="B43" s="8" t="inlineStr">
        <is>
          <t>PSC-26</t>
        </is>
      </c>
      <c r="C43" s="9" t="inlineStr">
        <is>
          <t>Goods Issue Register</t>
        </is>
      </c>
      <c r="D43" s="9" t="inlineStr">
        <is>
          <t>Track issue of stores items to departments</t>
        </is>
      </c>
      <c r="E43" s="10" t="inlineStr">
        <is>
          <t>Per Issue</t>
        </is>
      </c>
    </row>
    <row r="44" ht="20" customHeight="1">
      <c r="B44" s="5" t="inlineStr">
        <is>
          <t>PSC-27</t>
        </is>
      </c>
      <c r="C44" s="6" t="inlineStr">
        <is>
          <t>Goods Return to Stores Register</t>
        </is>
      </c>
      <c r="D44" s="6" t="inlineStr">
        <is>
          <t>Track goods returned by departments to stores</t>
        </is>
      </c>
      <c r="E44" s="7" t="inlineStr">
        <is>
          <t>Per Return</t>
        </is>
      </c>
    </row>
    <row r="45" ht="20" customHeight="1">
      <c r="B45" s="8" t="inlineStr">
        <is>
          <t>PSC-28</t>
        </is>
      </c>
      <c r="C45" s="9" t="inlineStr">
        <is>
          <t>Stock Ledger — Item-wise</t>
        </is>
      </c>
      <c r="D45" s="9" t="inlineStr">
        <is>
          <t>Individual stock ledger for each stores item</t>
        </is>
      </c>
      <c r="E45" s="10" t="inlineStr">
        <is>
          <t>Continuous</t>
        </is>
      </c>
    </row>
    <row r="46" ht="20" customHeight="1">
      <c r="B46" s="5" t="inlineStr">
        <is>
          <t>PSC-29</t>
        </is>
      </c>
      <c r="C46" s="6" t="inlineStr">
        <is>
          <t>Minimum Stock Level &amp; Reorder Register</t>
        </is>
      </c>
      <c r="D46" s="6" t="inlineStr">
        <is>
          <t>Track stock levels and trigger reorder points</t>
        </is>
      </c>
      <c r="E46" s="7" t="inlineStr">
        <is>
          <t>Weekly / Monthly</t>
        </is>
      </c>
    </row>
    <row r="47" ht="20" customHeight="1">
      <c r="B47" s="8" t="inlineStr">
        <is>
          <t>PSC-30</t>
        </is>
      </c>
      <c r="C47" s="9" t="inlineStr">
        <is>
          <t>Dead Stock / Surplus Stock Register</t>
        </is>
      </c>
      <c r="D47" s="9" t="inlineStr">
        <is>
          <t>Identify and dispose of surplus / obsolete stock</t>
        </is>
      </c>
      <c r="E47" s="10" t="inlineStr">
        <is>
          <t>Annual</t>
        </is>
      </c>
    </row>
    <row r="48" ht="20" customHeight="1">
      <c r="B48" s="5" t="inlineStr">
        <is>
          <t>PSC-31</t>
        </is>
      </c>
      <c r="C48" s="6" t="inlineStr">
        <is>
          <t>Perishable / Consumable Stock Register</t>
        </is>
      </c>
      <c r="D48" s="6" t="inlineStr">
        <is>
          <t>Track fast-moving consumable items with expiry dates</t>
        </is>
      </c>
      <c r="E48" s="7" t="inlineStr">
        <is>
          <t>Monthly</t>
        </is>
      </c>
    </row>
    <row r="49" ht="20" customHeight="1">
      <c r="B49" s="4" t="inlineStr">
        <is>
          <t>── CAPITAL EQUIPMENT ──</t>
        </is>
      </c>
    </row>
    <row r="50" ht="20" customHeight="1">
      <c r="B50" s="5" t="inlineStr">
        <is>
          <t>PSC-32</t>
        </is>
      </c>
      <c r="C50" s="6" t="inlineStr">
        <is>
          <t>Capital Equipment Purchase Register</t>
        </is>
      </c>
      <c r="D50" s="6" t="inlineStr">
        <is>
          <t>Track all capital equipment purchases ≥ ₹50,000</t>
        </is>
      </c>
      <c r="E50" s="7" t="inlineStr">
        <is>
          <t>Per Purchase</t>
        </is>
      </c>
    </row>
    <row r="51" ht="20" customHeight="1">
      <c r="B51" s="8" t="inlineStr">
        <is>
          <t>PSC-33</t>
        </is>
      </c>
      <c r="C51" s="9" t="inlineStr">
        <is>
          <t>Equipment Installation &amp; Commissioning Reg.</t>
        </is>
      </c>
      <c r="D51" s="9" t="inlineStr">
        <is>
          <t>Record installation, testing and commissioning</t>
        </is>
      </c>
      <c r="E51" s="10" t="inlineStr">
        <is>
          <t>Per Equipment</t>
        </is>
      </c>
    </row>
    <row r="52" ht="20" customHeight="1">
      <c r="B52" s="5" t="inlineStr">
        <is>
          <t>PSC-34</t>
        </is>
      </c>
      <c r="C52" s="6" t="inlineStr">
        <is>
          <t>Equipment AMC / Warranty Register</t>
        </is>
      </c>
      <c r="D52" s="6" t="inlineStr">
        <is>
          <t>Track warranty, AMC and service contracts</t>
        </is>
      </c>
      <c r="E52" s="7" t="inlineStr">
        <is>
          <t>Annual</t>
        </is>
      </c>
    </row>
    <row r="53" ht="20" customHeight="1">
      <c r="B53" s="4" t="inlineStr">
        <is>
          <t>── ASSET MANAGEMENT ──</t>
        </is>
      </c>
    </row>
    <row r="54" ht="20" customHeight="1">
      <c r="B54" s="5" t="inlineStr">
        <is>
          <t>PSC-35</t>
        </is>
      </c>
      <c r="C54" s="6" t="inlineStr">
        <is>
          <t>Asset Register — Movable</t>
        </is>
      </c>
      <c r="D54" s="6" t="inlineStr">
        <is>
          <t>Register all movable assets with asset codes</t>
        </is>
      </c>
      <c r="E54" s="7" t="inlineStr">
        <is>
          <t>Annual</t>
        </is>
      </c>
    </row>
    <row r="55" ht="20" customHeight="1">
      <c r="B55" s="8" t="inlineStr">
        <is>
          <t>PSC-36</t>
        </is>
      </c>
      <c r="C55" s="9" t="inlineStr">
        <is>
          <t>Asset Register — Immovable</t>
        </is>
      </c>
      <c r="D55" s="9" t="inlineStr">
        <is>
          <t>Register all land, buildings and immovable property</t>
        </is>
      </c>
      <c r="E55" s="10" t="inlineStr">
        <is>
          <t>Annual</t>
        </is>
      </c>
    </row>
    <row r="56" ht="20" customHeight="1">
      <c r="B56" s="5" t="inlineStr">
        <is>
          <t>PSC-37</t>
        </is>
      </c>
      <c r="C56" s="6" t="inlineStr">
        <is>
          <t>Asset Transfer / Movement Register</t>
        </is>
      </c>
      <c r="D56" s="6" t="inlineStr">
        <is>
          <t>Track movement of assets between departments</t>
        </is>
      </c>
      <c r="E56" s="7" t="inlineStr">
        <is>
          <t>Per Movement</t>
        </is>
      </c>
    </row>
    <row r="57" ht="20" customHeight="1">
      <c r="B57" s="8" t="inlineStr">
        <is>
          <t>PSC-38</t>
        </is>
      </c>
      <c r="C57" s="9" t="inlineStr">
        <is>
          <t>Asset Disposal / Condemnation Register</t>
        </is>
      </c>
      <c r="D57" s="9" t="inlineStr">
        <is>
          <t>Document disposal of condemned / obsolete assets</t>
        </is>
      </c>
      <c r="E57" s="10" t="inlineStr">
        <is>
          <t>Per Disposal</t>
        </is>
      </c>
    </row>
    <row r="58" ht="20" customHeight="1">
      <c r="B58" s="4" t="inlineStr">
        <is>
          <t>── PAYMENT &amp; FINANCE ──</t>
        </is>
      </c>
    </row>
    <row r="59" ht="20" customHeight="1">
      <c r="B59" s="8" t="inlineStr">
        <is>
          <t>PSC-39</t>
        </is>
      </c>
      <c r="C59" s="9" t="inlineStr">
        <is>
          <t>Payment Voucher &amp; Processing Register</t>
        </is>
      </c>
      <c r="D59" s="9" t="inlineStr">
        <is>
          <t>Track payments to vendors — invoice to payment</t>
        </is>
      </c>
      <c r="E59" s="10" t="inlineStr">
        <is>
          <t>Per Payment</t>
        </is>
      </c>
    </row>
    <row r="60" ht="20" customHeight="1">
      <c r="B60" s="5" t="inlineStr">
        <is>
          <t>PSC-40</t>
        </is>
      </c>
      <c r="C60" s="6" t="inlineStr">
        <is>
          <t>Security Deposit &amp; EMD Register</t>
        </is>
      </c>
      <c r="D60" s="6" t="inlineStr">
        <is>
          <t>Track EMD and security deposits from vendors</t>
        </is>
      </c>
      <c r="E60" s="7" t="inlineStr">
        <is>
          <t>Per Tender</t>
        </is>
      </c>
    </row>
    <row r="61" ht="20" customHeight="1">
      <c r="B61" s="8" t="inlineStr">
        <is>
          <t>PSC-41</t>
        </is>
      </c>
      <c r="C61" s="9" t="inlineStr">
        <is>
          <t>Purchase Return &amp; Credit Note Register</t>
        </is>
      </c>
      <c r="D61" s="9" t="inlineStr">
        <is>
          <t>Track credit notes received from vendors</t>
        </is>
      </c>
      <c r="E61" s="10" t="inlineStr">
        <is>
          <t>Per Return</t>
        </is>
      </c>
    </row>
    <row r="62" ht="20" customHeight="1">
      <c r="B62" s="4" t="inlineStr">
        <is>
          <t>── AUDIT &amp; COMPLIANCE ──</t>
        </is>
      </c>
    </row>
    <row r="63" ht="20" customHeight="1">
      <c r="B63" s="8" t="inlineStr">
        <is>
          <t>PSC-42</t>
        </is>
      </c>
      <c r="C63" s="9" t="inlineStr">
        <is>
          <t>Annual Physical Verification Register</t>
        </is>
      </c>
      <c r="D63" s="9" t="inlineStr">
        <is>
          <t>Annual physical stock verification across stores/depts</t>
        </is>
      </c>
      <c r="E63" s="10" t="inlineStr">
        <is>
          <t>Annual</t>
        </is>
      </c>
    </row>
    <row r="64" ht="20" customHeight="1">
      <c r="B64" s="5" t="inlineStr">
        <is>
          <t>PSC-43</t>
        </is>
      </c>
      <c r="C64" s="6" t="inlineStr">
        <is>
          <t>Audit Observation &amp; Compliance Register</t>
        </is>
      </c>
      <c r="D64" s="6" t="inlineStr">
        <is>
          <t>Track internal / external audit observations</t>
        </is>
      </c>
      <c r="E64" s="7" t="inlineStr">
        <is>
          <t>Per Audit</t>
        </is>
      </c>
    </row>
    <row r="65" ht="20" customHeight="1">
      <c r="B65" s="4" t="inlineStr">
        <is>
          <t>── MONITORING &amp; REPORTING ──</t>
        </is>
      </c>
    </row>
    <row r="66" ht="20" customHeight="1">
      <c r="B66" s="5" t="inlineStr">
        <is>
          <t>PSC-44</t>
        </is>
      </c>
      <c r="C66" s="6" t="inlineStr">
        <is>
          <t>PSC KPI Dashboard</t>
        </is>
      </c>
      <c r="D66" s="6" t="inlineStr">
        <is>
          <t>Track all procurement and stores KPIs</t>
        </is>
      </c>
      <c r="E66" s="7" t="inlineStr">
        <is>
          <t>Monthly / Quarterly</t>
        </is>
      </c>
    </row>
    <row r="67" ht="20" customHeight="1">
      <c r="B67" s="8" t="inlineStr">
        <is>
          <t>PSC-45</t>
        </is>
      </c>
      <c r="C67" s="9" t="inlineStr">
        <is>
          <t>PSC Annual Report Compilation Form</t>
        </is>
      </c>
      <c r="D67" s="9" t="inlineStr">
        <is>
          <t>Year-end report for management, Finance, NAAC</t>
        </is>
      </c>
      <c r="E67" s="10" t="inlineStr">
        <is>
          <t>Annual</t>
        </is>
      </c>
    </row>
    <row r="138">
      <c r="B138" s="11" t="inlineStr">
        <is>
          <t>• PSC = Purchase &amp; Stores Committee — responsible for all procurement, vendor management, stores and asset management.</t>
        </is>
      </c>
    </row>
    <row r="139">
      <c r="B139" s="11" t="inlineStr">
        <is>
          <t>• Financial limits: Proprietary / emergency purchases ≤ ₹10,000 (HOD authority); ₹10,001–₹1L (PSC); &gt; ₹1L (Governing Body).</t>
        </is>
      </c>
    </row>
    <row r="140">
      <c r="B140" s="11" t="inlineStr">
        <is>
          <t>• Minimum 3 quotations required for purchases above ₹10,000. Open tender for purchases above ₹5 lakhs (as per GFR).</t>
        </is>
      </c>
    </row>
    <row r="141">
      <c r="B141" s="11" t="inlineStr">
        <is>
          <t>• Comparative statement must be prepared and signed by PSC before any purchase order is raised.</t>
        </is>
      </c>
    </row>
    <row r="142">
      <c r="B142" s="11" t="inlineStr">
        <is>
          <t>• All purchases must be GST-compliant. Input Tax Credit (ITC) to be tracked by Finance for eligible purchases.</t>
        </is>
      </c>
    </row>
    <row r="143">
      <c r="B143" s="11" t="inlineStr">
        <is>
          <t>• Capital equipment (≥ ₹50,000) must be asset-tagged, entered in asset register and insured.</t>
        </is>
      </c>
    </row>
    <row r="144">
      <c r="B144" s="11" t="inlineStr">
        <is>
          <t>• Annual physical verification of all stores and assets is mandatory — discrepancies to be reported to management.</t>
        </is>
      </c>
    </row>
    <row r="145">
      <c r="B145" s="11" t="inlineStr">
        <is>
          <t>• PSC data feeds into: NAAC AQAR Criterion IV (Infrastructure), Finance Committee records, External Audit.</t>
        </is>
      </c>
    </row>
    <row r="146">
      <c r="B146" s="11" t="inlineStr">
        <is>
          <t>• Vendor blacklisting requires PSC recommendation + Principal / Governing Body approval.</t>
        </is>
      </c>
    </row>
    <row r="147">
      <c r="B147" s="11" t="inlineStr">
        <is>
          <t>• Stock reorder levels must be set for all critical items to prevent stockouts affecting academic operations.</t>
        </is>
      </c>
    </row>
  </sheetData>
  <mergeCells count="25">
    <mergeCell ref="B146:E146"/>
    <mergeCell ref="B49:E49"/>
    <mergeCell ref="B65:E65"/>
    <mergeCell ref="B143:E143"/>
    <mergeCell ref="B139:E139"/>
    <mergeCell ref="B15:E15"/>
    <mergeCell ref="B142:E142"/>
    <mergeCell ref="B5:E5"/>
    <mergeCell ref="B20:E20"/>
    <mergeCell ref="B36:E36"/>
    <mergeCell ref="B32:E32"/>
    <mergeCell ref="B41:E41"/>
    <mergeCell ref="B144:E144"/>
    <mergeCell ref="B62:E62"/>
    <mergeCell ref="B138:E138"/>
    <mergeCell ref="B25:E25"/>
    <mergeCell ref="B3:E3"/>
    <mergeCell ref="B141:E141"/>
    <mergeCell ref="B140:E140"/>
    <mergeCell ref="B58:E58"/>
    <mergeCell ref="B11:E11"/>
    <mergeCell ref="B2:E2"/>
    <mergeCell ref="B145:E145"/>
    <mergeCell ref="B53:E53"/>
    <mergeCell ref="B147:E1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PSC-00: PURCHASE &amp; STORES COMMITTEE — COMPOSITION REGISTER</t>
        </is>
      </c>
    </row>
    <row r="3" ht="25" customHeight="1">
      <c r="B3" s="2" t="inlineStr">
        <is>
          <t>Institution: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PSC</t>
        </is>
      </c>
      <c r="F4" s="13" t="inlineStr">
        <is>
          <t>Domain / Dept.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Chairperson</t>
        </is>
      </c>
      <c r="F5" s="16" t="inlineStr">
        <is>
          <t>PSC Leadership &amp; Final Approval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Administrative Officer / Purchase Officer</t>
        </is>
      </c>
      <c r="E6" s="8" t="inlineStr">
        <is>
          <t>PSC Coordinator</t>
        </is>
      </c>
      <c r="F6" s="10" t="inlineStr">
        <is>
          <t>Day-to-day Procurement Coordination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Finance Officer / Accounts Officer</t>
        </is>
      </c>
      <c r="E7" s="14" t="inlineStr">
        <is>
          <t>Finance Officer</t>
        </is>
      </c>
      <c r="F7" s="16" t="inlineStr">
        <is>
          <t>Budget &amp; Payment Compliance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Stores In-charge / Store Keeper</t>
        </is>
      </c>
      <c r="E8" s="8" t="inlineStr">
        <is>
          <t>Store Keeper / Head</t>
        </is>
      </c>
      <c r="F8" s="10" t="inlineStr">
        <is>
          <t>Stores &amp; Inventory Management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Senior Faculty (Engineering / Technical)</t>
        </is>
      </c>
      <c r="E9" s="14" t="inlineStr">
        <is>
          <t>Faculty Member – Technical</t>
        </is>
      </c>
      <c r="F9" s="16" t="inlineStr">
        <is>
          <t>Technical Specification &amp; Inspection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Faculty / IT In-charge</t>
        </is>
      </c>
      <c r="E10" s="8" t="inlineStr">
        <is>
          <t>Faculty Member – IT</t>
        </is>
      </c>
      <c r="F10" s="10" t="inlineStr">
        <is>
          <t>ICT &amp; Software Procurement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Head, Mechanical Engg. Dept.</t>
        </is>
      </c>
      <c r="E11" s="14" t="inlineStr">
        <is>
          <t>HoD – Mechanical</t>
        </is>
      </c>
      <c r="F11" s="16" t="inlineStr">
        <is>
          <t>Lab &amp; Workshop Equipment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Head, Civil Engg. / Estate Officer</t>
        </is>
      </c>
      <c r="E12" s="8" t="inlineStr">
        <is>
          <t>HoD – Civil</t>
        </is>
      </c>
      <c r="F12" s="10" t="inlineStr">
        <is>
          <t>Civil Works &amp; Infrastructure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Head, Chemistry / Physics / Bio Labs</t>
        </is>
      </c>
      <c r="E13" s="14" t="inlineStr">
        <is>
          <t>HoD – Science Labs</t>
        </is>
      </c>
      <c r="F13" s="16" t="inlineStr">
        <is>
          <t>Chemical &amp; Lab Consumables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Head Librarian</t>
        </is>
      </c>
      <c r="E14" s="8" t="inlineStr">
        <is>
          <t>Library In-charge</t>
        </is>
      </c>
      <c r="F14" s="10" t="inlineStr">
        <is>
          <t>Books, Journals &amp; Library Resources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Estate / Works Department In-charge</t>
        </is>
      </c>
      <c r="E15" s="14" t="inlineStr">
        <is>
          <t>Estate Officer</t>
        </is>
      </c>
      <c r="F15" s="16" t="inlineStr">
        <is>
          <t>Furniture, Fixtures &amp; Civil Items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Legal Advisor (for tender &gt; ₹5L)</t>
        </is>
      </c>
      <c r="E16" s="8" t="inlineStr">
        <is>
          <t>Legal / Tender Advisor</t>
        </is>
      </c>
      <c r="F16" s="10" t="inlineStr">
        <is>
          <t>Legal &amp; Compliance — Tender Cases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IQAC In-charge</t>
        </is>
      </c>
      <c r="E17" s="14" t="inlineStr">
        <is>
          <t>IQAC Coordinator (Ex-off.)</t>
        </is>
      </c>
      <c r="F17" s="16" t="inlineStr">
        <is>
          <t>Quality &amp; NAAC Compliance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Internal Auditor / Finance Committee Rep</t>
        </is>
      </c>
      <c r="E18" s="8" t="inlineStr">
        <is>
          <t>External Auditor (Ex-off.)</t>
        </is>
      </c>
      <c r="F18" s="10" t="inlineStr">
        <is>
          <t>Audit &amp; Financial Compliance</t>
        </is>
      </c>
      <c r="G18" s="9" t="inlineStr"/>
      <c r="H18" s="10" t="inlineStr"/>
      <c r="I18" s="10" t="inlineStr"/>
    </row>
    <row r="19" ht="22" customHeight="1"/>
    <row r="20" ht="20" customHeight="1">
      <c r="B20" s="17" t="inlineStr">
        <is>
          <t>PSC meets monthly or on need basis. For high-value tenders (&gt; ₹5L), Legal Advisor attendance is mandatory. Finance Officer countersigns all purchase orders above ₹10,000.</t>
        </is>
      </c>
    </row>
    <row r="21" ht="22" customHeight="1"/>
    <row r="22" ht="22" customHeight="1"/>
    <row r="23" ht="22" customHeight="1"/>
    <row r="24" ht="22" customHeight="1"/>
    <row r="25" ht="22" customHeight="1"/>
  </sheetData>
  <mergeCells count="3">
    <mergeCell ref="B3:I3"/>
    <mergeCell ref="B2:I2"/>
    <mergeCell ref="B20:I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PURCHASE &amp; STORES COMMITTEE: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Academic Year:</t>
        </is>
      </c>
      <c r="C4" s="9" t="n"/>
    </row>
    <row r="5" ht="22" customHeight="1">
      <c r="B5" s="18" t="inlineStr">
        <is>
          <t>Date:</t>
        </is>
      </c>
      <c r="C5" s="9" t="n"/>
    </row>
    <row r="6" ht="22" customHeight="1">
      <c r="B6" s="18" t="inlineStr">
        <is>
          <t>Time:</t>
        </is>
      </c>
      <c r="C6" s="9" t="n"/>
    </row>
    <row r="7" ht="22" customHeight="1">
      <c r="B7" s="18" t="inlineStr">
        <is>
          <t>Venue:</t>
        </is>
      </c>
      <c r="C7" s="9" t="n"/>
    </row>
    <row r="8" ht="22" customHeight="1">
      <c r="B8" s="18" t="inlineStr">
        <is>
          <t>Mode:</t>
        </is>
      </c>
      <c r="C8" s="9" t="n"/>
    </row>
    <row r="9" ht="22" customHeight="1">
      <c r="B9" s="18" t="inlineStr">
        <is>
          <t>Notice by:</t>
        </is>
      </c>
      <c r="C9" s="9" t="n"/>
    </row>
    <row r="10" ht="22" customHeight="1">
      <c r="B10" s="18" t="inlineStr">
        <is>
          <t>Notice Date:</t>
        </is>
      </c>
      <c r="C10" s="9" t="n"/>
    </row>
    <row r="11" ht="24" customHeight="1">
      <c r="B11" s="19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</t>
        </is>
      </c>
      <c r="D12" s="13" t="inlineStr">
        <is>
          <t>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PSC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Pending indents — approval and prioritisation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Quotations received — comparative statement review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Purchase orders — status and pending deliveries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GRN review — goods received, inspected, pending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Short supply / damage complaints — vendor action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Vendor registration / renewal — new vendor proposals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Vendor performance evaluation — review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Stores inventory — stock levels and reorder requirements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Dead / surplus stock — disposal recommendations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Capital equipment — new requirements and AMC renewals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Tender proposals — new tenders to be floated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Tender awards — evaluation and recommendation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Asset tagging and verification — status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Payment pending — vendor claims review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Annual physical verification — planning and findings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Audit compliance — outstanding observations</t>
        </is>
      </c>
      <c r="D30" s="10" t="inlineStr"/>
      <c r="E30" s="10" t="inlineStr"/>
    </row>
    <row r="31" ht="24" customHeight="1">
      <c r="B31" s="14" t="n">
        <v>19</v>
      </c>
      <c r="C31" s="15" t="inlineStr">
        <is>
          <t>Budget vs. expenditure — monthly review</t>
        </is>
      </c>
      <c r="D31" s="16" t="inlineStr"/>
      <c r="E31" s="16" t="inlineStr"/>
    </row>
    <row r="32" ht="24" customHeight="1">
      <c r="B32" s="8" t="n">
        <v>20</v>
      </c>
      <c r="C32" s="9" t="inlineStr">
        <is>
          <t>Any Other Matter with Permission of Chairperson (AOMPC)</t>
        </is>
      </c>
      <c r="D32" s="10" t="inlineStr"/>
      <c r="E32" s="10" t="inlineStr"/>
    </row>
    <row r="33" ht="24" customHeight="1"/>
    <row r="34" ht="24" customHeight="1">
      <c r="B34" s="20" t="inlineStr">
        <is>
          <t>DISPATCH RECORD</t>
        </is>
      </c>
    </row>
    <row r="35">
      <c r="B35" s="21" t="inlineStr">
        <is>
          <t>Sl.</t>
        </is>
      </c>
      <c r="C35" s="21" t="inlineStr">
        <is>
          <t>Member Name &amp; Role</t>
        </is>
      </c>
      <c r="D35" s="21" t="inlineStr">
        <is>
          <t>Mode</t>
        </is>
      </c>
      <c r="E35" s="21" t="inlineStr">
        <is>
          <t>Date &amp; Acknowledgement</t>
        </is>
      </c>
    </row>
    <row r="36" ht="22" customHeight="1">
      <c r="B36" s="16" t="n"/>
      <c r="C36" s="16" t="n"/>
      <c r="D36" s="16" t="n"/>
      <c r="E36" s="16" t="n"/>
    </row>
    <row r="37" ht="22" customHeight="1">
      <c r="B37" s="10" t="n"/>
      <c r="C37" s="10" t="n"/>
      <c r="D37" s="10" t="n"/>
      <c r="E37" s="10" t="n"/>
    </row>
    <row r="38" ht="22" customHeight="1">
      <c r="B38" s="16" t="n"/>
      <c r="C38" s="16" t="n"/>
      <c r="D38" s="16" t="n"/>
      <c r="E38" s="16" t="n"/>
    </row>
    <row r="39" ht="22" customHeight="1">
      <c r="B39" s="10" t="n"/>
      <c r="C39" s="10" t="n"/>
      <c r="D39" s="10" t="n"/>
      <c r="E39" s="10" t="n"/>
    </row>
  </sheetData>
  <mergeCells count="11">
    <mergeCell ref="C5:E5"/>
    <mergeCell ref="C8:E8"/>
    <mergeCell ref="C9:E9"/>
    <mergeCell ref="C4:E4"/>
    <mergeCell ref="C3:E3"/>
    <mergeCell ref="B11:E11"/>
    <mergeCell ref="B2:E2"/>
    <mergeCell ref="B34:E34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PSC: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/>
    <row r="22" ht="24" customHeight="1">
      <c r="B22" s="20" t="inlineStr">
        <is>
          <t>QUORUM VERIFICATION</t>
        </is>
      </c>
    </row>
    <row r="23" ht="22" customHeight="1">
      <c r="B23" s="22" t="inlineStr">
        <is>
          <t>Total PSC Members</t>
        </is>
      </c>
      <c r="G23" s="23" t="inlineStr"/>
    </row>
    <row r="24" ht="22" customHeight="1">
      <c r="B24" s="24" t="inlineStr">
        <is>
          <t>Present (Physical)</t>
        </is>
      </c>
      <c r="G24" s="23">
        <f>COUNTIF(F5:F20,"P")</f>
        <v/>
      </c>
    </row>
    <row r="25" ht="22" customHeight="1">
      <c r="B25" s="22" t="inlineStr">
        <is>
          <t>Present (VC)</t>
        </is>
      </c>
      <c r="G25" s="23" t="inlineStr"/>
    </row>
    <row r="26" ht="22" customHeight="1">
      <c r="B26" s="24" t="inlineStr">
        <is>
          <t>Total Effective</t>
        </is>
      </c>
      <c r="G26" s="23">
        <f>IFERROR(C24+C25,"")</f>
        <v/>
      </c>
    </row>
    <row r="27" ht="22" customHeight="1">
      <c r="B27" s="22" t="inlineStr">
        <is>
          <t>Quorum Required (50%)</t>
        </is>
      </c>
      <c r="G27" s="23" t="inlineStr"/>
    </row>
    <row r="28">
      <c r="B28" s="24" t="inlineStr">
        <is>
          <t>Quorum Achieved?</t>
        </is>
      </c>
      <c r="G28" s="25">
        <f>IFERROR(IF(C26&gt;=C27,"YES — Meeting Valid","NO — Adjourned"),"")</f>
        <v/>
      </c>
    </row>
  </sheetData>
  <mergeCells count="15">
    <mergeCell ref="G24:I24"/>
    <mergeCell ref="G28:I28"/>
    <mergeCell ref="B24:F24"/>
    <mergeCell ref="G27:I27"/>
    <mergeCell ref="B2:I2"/>
    <mergeCell ref="B25:F25"/>
    <mergeCell ref="G23:I23"/>
    <mergeCell ref="B28:F28"/>
    <mergeCell ref="B3:I3"/>
    <mergeCell ref="B22:I22"/>
    <mergeCell ref="B23:F23"/>
    <mergeCell ref="G26:I26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PSC: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6" t="inlineStr">
        <is>
          <t>DISCUSSION &amp; RESOLUTIONS</t>
        </is>
      </c>
    </row>
    <row r="5" ht="30" customHeight="1">
      <c r="B5" s="27" t="inlineStr">
        <is>
          <t>Resolution
No.</t>
        </is>
      </c>
      <c r="C5" s="27" t="inlineStr">
        <is>
          <t>Discussion &amp; Resolution</t>
        </is>
      </c>
      <c r="D5" s="27" t="inlineStr">
        <is>
          <t>Responsible</t>
        </is>
      </c>
      <c r="E5" s="27" t="inlineStr">
        <is>
          <t>Voting</t>
        </is>
      </c>
      <c r="F5" s="27" t="inlineStr">
        <is>
          <t>Target
Date</t>
        </is>
      </c>
      <c r="G5" s="27" t="inlineStr">
        <is>
          <t>Status</t>
        </is>
      </c>
    </row>
    <row r="6" ht="30" customHeight="1">
      <c r="B6" s="14" t="inlineStr">
        <is>
          <t>PSC/RES/001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PSC/RES/002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PSC/RES/003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PSC/RES/004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PSC/RES/005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PSC/RES/006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PSC/RES/007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PSC/RES/008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PSC/RES/009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PSC/RES/010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PSC/RES/011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PSC/RES/012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PSC/RES/013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PSC/RES/014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8" t="inlineStr">
        <is>
          <t>Next Meeting: _______    Chairperson: ___________________    PSC Coordinator: ___________________</t>
        </is>
      </c>
    </row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PSC: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29" t="inlineStr">
        <is>
          <t>Resolution
No.</t>
        </is>
      </c>
      <c r="C4" s="29" t="inlineStr">
        <is>
          <t>Resolution / Decision</t>
        </is>
      </c>
      <c r="D4" s="29" t="inlineStr">
        <is>
          <t>Action Required</t>
        </is>
      </c>
      <c r="E4" s="29" t="inlineStr">
        <is>
          <t>Responsible</t>
        </is>
      </c>
      <c r="F4" s="29" t="inlineStr">
        <is>
          <t>Target
Date</t>
        </is>
      </c>
      <c r="G4" s="29" t="inlineStr">
        <is>
          <t>Completion
Date</t>
        </is>
      </c>
      <c r="H4" s="29" t="inlineStr">
        <is>
          <t>Status</t>
        </is>
      </c>
    </row>
    <row r="5" ht="26" customHeight="1">
      <c r="B5" s="30" t="inlineStr">
        <is>
          <t>PSC/RES/001</t>
        </is>
      </c>
      <c r="C5" s="31" t="inlineStr"/>
      <c r="D5" s="31" t="inlineStr"/>
      <c r="E5" s="32" t="inlineStr"/>
      <c r="F5" s="32" t="inlineStr"/>
      <c r="G5" s="32" t="inlineStr"/>
      <c r="H5" s="31" t="inlineStr">
        <is>
          <t>In Progress</t>
        </is>
      </c>
    </row>
    <row r="6" ht="26" customHeight="1">
      <c r="B6" s="8" t="inlineStr">
        <is>
          <t>PSC/RES/002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0" t="inlineStr">
        <is>
          <t>PSC/RES/003</t>
        </is>
      </c>
      <c r="C7" s="31" t="inlineStr"/>
      <c r="D7" s="31" t="inlineStr"/>
      <c r="E7" s="32" t="inlineStr"/>
      <c r="F7" s="32" t="inlineStr"/>
      <c r="G7" s="32" t="inlineStr"/>
      <c r="H7" s="31" t="inlineStr">
        <is>
          <t>In Progress</t>
        </is>
      </c>
    </row>
    <row r="8" ht="26" customHeight="1">
      <c r="B8" s="8" t="inlineStr">
        <is>
          <t>PSC/RES/004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0" t="inlineStr">
        <is>
          <t>PSC/RES/005</t>
        </is>
      </c>
      <c r="C9" s="31" t="inlineStr"/>
      <c r="D9" s="31" t="inlineStr"/>
      <c r="E9" s="32" t="inlineStr"/>
      <c r="F9" s="32" t="inlineStr"/>
      <c r="G9" s="32" t="inlineStr"/>
      <c r="H9" s="31" t="inlineStr">
        <is>
          <t>In Progress</t>
        </is>
      </c>
    </row>
    <row r="10" ht="26" customHeight="1">
      <c r="B10" s="8" t="inlineStr">
        <is>
          <t>PSC/RES/006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0" t="inlineStr">
        <is>
          <t>PSC/RES/007</t>
        </is>
      </c>
      <c r="C11" s="31" t="inlineStr"/>
      <c r="D11" s="31" t="inlineStr"/>
      <c r="E11" s="32" t="inlineStr"/>
      <c r="F11" s="32" t="inlineStr"/>
      <c r="G11" s="32" t="inlineStr"/>
      <c r="H11" s="31" t="inlineStr">
        <is>
          <t>In Progress</t>
        </is>
      </c>
    </row>
    <row r="12" ht="26" customHeight="1">
      <c r="B12" s="8" t="inlineStr">
        <is>
          <t>PSC/RES/008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0" t="inlineStr">
        <is>
          <t>PSC/RES/009</t>
        </is>
      </c>
      <c r="C13" s="31" t="inlineStr"/>
      <c r="D13" s="31" t="inlineStr"/>
      <c r="E13" s="32" t="inlineStr"/>
      <c r="F13" s="32" t="inlineStr"/>
      <c r="G13" s="32" t="inlineStr"/>
      <c r="H13" s="31" t="inlineStr">
        <is>
          <t>In Progress</t>
        </is>
      </c>
    </row>
    <row r="14" ht="26" customHeight="1">
      <c r="B14" s="8" t="inlineStr">
        <is>
          <t>PSC/RES/010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0" t="inlineStr">
        <is>
          <t>PSC/RES/011</t>
        </is>
      </c>
      <c r="C15" s="31" t="inlineStr"/>
      <c r="D15" s="31" t="inlineStr"/>
      <c r="E15" s="32" t="inlineStr"/>
      <c r="F15" s="32" t="inlineStr"/>
      <c r="G15" s="32" t="inlineStr"/>
      <c r="H15" s="31" t="inlineStr">
        <is>
          <t>In Progress</t>
        </is>
      </c>
    </row>
    <row r="16" ht="26" customHeight="1">
      <c r="B16" s="8" t="inlineStr">
        <is>
          <t>PSC/RES/012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0" t="inlineStr">
        <is>
          <t>PSC/RES/013</t>
        </is>
      </c>
      <c r="C17" s="31" t="inlineStr"/>
      <c r="D17" s="31" t="inlineStr"/>
      <c r="E17" s="32" t="inlineStr"/>
      <c r="F17" s="32" t="inlineStr"/>
      <c r="G17" s="32" t="inlineStr"/>
      <c r="H17" s="31" t="inlineStr">
        <is>
          <t>In Progress</t>
        </is>
      </c>
    </row>
    <row r="18" ht="26" customHeight="1">
      <c r="B18" s="8" t="inlineStr">
        <is>
          <t>PSC/RES/014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/>
    <row r="20" ht="24" customHeight="1">
      <c r="B20" s="33" t="inlineStr">
        <is>
          <t>ATR SUMMARY</t>
        </is>
      </c>
    </row>
    <row r="21" ht="26" customHeight="1">
      <c r="B21" s="34" t="inlineStr">
        <is>
          <t>Total Resolutions Under Review</t>
        </is>
      </c>
      <c r="F21" s="35">
        <f>COUNTA(B5:B18)</f>
        <v/>
      </c>
    </row>
    <row r="22" ht="26" customHeight="1">
      <c r="B22" s="24" t="inlineStr">
        <is>
          <t>Implemented</t>
        </is>
      </c>
      <c r="F22" s="36">
        <f>COUNTIF(H5:H18,"Implemented")</f>
        <v/>
      </c>
    </row>
    <row r="23" ht="26" customHeight="1">
      <c r="B23" s="34" t="inlineStr">
        <is>
          <t>In Progress</t>
        </is>
      </c>
      <c r="F23" s="35">
        <f>COUNTIF(H5:H18,"In Progress")</f>
        <v/>
      </c>
    </row>
    <row r="24" ht="26" customHeight="1">
      <c r="B24" s="24" t="inlineStr">
        <is>
          <t>Pending</t>
        </is>
      </c>
      <c r="F24" s="36">
        <f>COUNTIF(H5:H18,"Pending")</f>
        <v/>
      </c>
    </row>
    <row r="25">
      <c r="B25" s="34" t="inlineStr">
        <is>
          <t>Deferred</t>
        </is>
      </c>
      <c r="F25" s="35">
        <f>COUNTIF(H5:H18,"Deferred")</f>
        <v/>
      </c>
    </row>
    <row r="26">
      <c r="B26" s="24" t="inlineStr">
        <is>
          <t>Implementation Rate (%)</t>
        </is>
      </c>
      <c r="F26" s="36">
        <f>IFERROR(ROUND(C22/C21*100,1),"")</f>
        <v/>
      </c>
    </row>
  </sheetData>
  <mergeCells count="15">
    <mergeCell ref="F23:H23"/>
    <mergeCell ref="B23:E23"/>
    <mergeCell ref="B26:E26"/>
    <mergeCell ref="F22:H22"/>
    <mergeCell ref="B21:E21"/>
    <mergeCell ref="F26:H26"/>
    <mergeCell ref="B2:H2"/>
    <mergeCell ref="B25:E25"/>
    <mergeCell ref="B24:E24"/>
    <mergeCell ref="B3:H3"/>
    <mergeCell ref="F21:H21"/>
    <mergeCell ref="B20:H20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PSC-05: PURCHASE INDENT / REQUISITION REGISTER</t>
        </is>
      </c>
    </row>
    <row r="3" ht="20" customHeight="1">
      <c r="B3" s="2" t="inlineStr">
        <is>
          <t>A.Y.: _______  PSC Coordinator: ___________________  Financial Year: _______</t>
        </is>
      </c>
    </row>
    <row r="4" ht="25" customHeight="1">
      <c r="B4" s="13" t="inlineStr">
        <is>
          <t>Indent
Ref.</t>
        </is>
      </c>
      <c r="C4" s="13" t="inlineStr">
        <is>
          <t>Item Description</t>
        </is>
      </c>
      <c r="D4" s="13" t="inlineStr">
        <is>
          <t>Category</t>
        </is>
      </c>
      <c r="E4" s="13" t="inlineStr">
        <is>
          <t>Requested by
(Dept. / HoD)</t>
        </is>
      </c>
      <c r="F4" s="13" t="inlineStr">
        <is>
          <t>Quantity
Required</t>
        </is>
      </c>
      <c r="G4" s="13" t="inlineStr">
        <is>
          <t>Estimated
Cost (₹)</t>
        </is>
      </c>
      <c r="H4" s="13" t="inlineStr">
        <is>
          <t>Date
Received</t>
        </is>
      </c>
      <c r="I4" s="13" t="inlineStr">
        <is>
          <t>Priority
(H/M/L)</t>
        </is>
      </c>
      <c r="J4" s="13" t="inlineStr">
        <is>
          <t>PSC
Approval</t>
        </is>
      </c>
      <c r="K4" s="13" t="inlineStr">
        <is>
          <t>Status</t>
        </is>
      </c>
    </row>
    <row r="5" ht="22" customHeight="1">
      <c r="B5" s="14" t="inlineStr">
        <is>
          <t>IND/2024/0001</t>
        </is>
      </c>
      <c r="C5" s="15" t="inlineStr"/>
      <c r="D5" s="16" t="inlineStr">
        <is>
          <t>ICT &amp; Computers</t>
        </is>
      </c>
      <c r="E5" s="15" t="inlineStr"/>
      <c r="F5" s="16" t="inlineStr"/>
      <c r="G5" s="16" t="inlineStr"/>
      <c r="H5" s="16" t="inlineStr"/>
      <c r="I5" s="14" t="inlineStr">
        <is>
          <t>H</t>
        </is>
      </c>
      <c r="J5" s="16" t="inlineStr">
        <is>
          <t>Pending</t>
        </is>
      </c>
      <c r="K5" s="16" t="inlineStr">
        <is>
          <t>Open</t>
        </is>
      </c>
    </row>
    <row r="6" ht="22" customHeight="1">
      <c r="B6" s="8" t="inlineStr">
        <is>
          <t>IND/2024/0002</t>
        </is>
      </c>
      <c r="C6" s="9" t="inlineStr"/>
      <c r="D6" s="10" t="inlineStr">
        <is>
          <t>Lab Equipment</t>
        </is>
      </c>
      <c r="E6" s="9" t="inlineStr"/>
      <c r="F6" s="10" t="inlineStr"/>
      <c r="G6" s="10" t="inlineStr"/>
      <c r="H6" s="10" t="inlineStr"/>
      <c r="I6" s="8" t="inlineStr">
        <is>
          <t>M</t>
        </is>
      </c>
      <c r="J6" s="10" t="inlineStr">
        <is>
          <t>Pending</t>
        </is>
      </c>
      <c r="K6" s="10" t="inlineStr">
        <is>
          <t>Open</t>
        </is>
      </c>
    </row>
    <row r="7" ht="22" customHeight="1">
      <c r="B7" s="14" t="inlineStr">
        <is>
          <t>IND/2024/0003</t>
        </is>
      </c>
      <c r="C7" s="15" t="inlineStr"/>
      <c r="D7" s="16" t="inlineStr">
        <is>
          <t>Lab Consumables / Chemicals</t>
        </is>
      </c>
      <c r="E7" s="15" t="inlineStr"/>
      <c r="F7" s="16" t="inlineStr"/>
      <c r="G7" s="16" t="inlineStr"/>
      <c r="H7" s="16" t="inlineStr"/>
      <c r="I7" s="14" t="inlineStr">
        <is>
          <t>L</t>
        </is>
      </c>
      <c r="J7" s="16" t="inlineStr">
        <is>
          <t>Pending</t>
        </is>
      </c>
      <c r="K7" s="16" t="inlineStr">
        <is>
          <t>Open</t>
        </is>
      </c>
    </row>
    <row r="8" ht="22" customHeight="1">
      <c r="B8" s="8" t="inlineStr">
        <is>
          <t>IND/2024/0004</t>
        </is>
      </c>
      <c r="C8" s="9" t="inlineStr"/>
      <c r="D8" s="10" t="inlineStr">
        <is>
          <t>Furniture &amp; Fixtures</t>
        </is>
      </c>
      <c r="E8" s="9" t="inlineStr"/>
      <c r="F8" s="10" t="inlineStr"/>
      <c r="G8" s="10" t="inlineStr"/>
      <c r="H8" s="10" t="inlineStr"/>
      <c r="I8" s="8" t="inlineStr">
        <is>
          <t>H</t>
        </is>
      </c>
      <c r="J8" s="10" t="inlineStr">
        <is>
          <t>Pending</t>
        </is>
      </c>
      <c r="K8" s="10" t="inlineStr">
        <is>
          <t>Open</t>
        </is>
      </c>
    </row>
    <row r="9" ht="22" customHeight="1">
      <c r="B9" s="14" t="inlineStr">
        <is>
          <t>IND/2024/0005</t>
        </is>
      </c>
      <c r="C9" s="15" t="inlineStr"/>
      <c r="D9" s="16" t="inlineStr">
        <is>
          <t>Office Stationery</t>
        </is>
      </c>
      <c r="E9" s="15" t="inlineStr"/>
      <c r="F9" s="16" t="inlineStr"/>
      <c r="G9" s="16" t="inlineStr"/>
      <c r="H9" s="16" t="inlineStr"/>
      <c r="I9" s="14" t="inlineStr">
        <is>
          <t>M</t>
        </is>
      </c>
      <c r="J9" s="16" t="inlineStr">
        <is>
          <t>Pending</t>
        </is>
      </c>
      <c r="K9" s="16" t="inlineStr">
        <is>
          <t>Open</t>
        </is>
      </c>
    </row>
    <row r="10" ht="22" customHeight="1">
      <c r="B10" s="8" t="inlineStr">
        <is>
          <t>IND/2024/0006</t>
        </is>
      </c>
      <c r="C10" s="9" t="inlineStr"/>
      <c r="D10" s="10" t="inlineStr">
        <is>
          <t>Library Books &amp; Journals</t>
        </is>
      </c>
      <c r="E10" s="9" t="inlineStr"/>
      <c r="F10" s="10" t="inlineStr"/>
      <c r="G10" s="10" t="inlineStr"/>
      <c r="H10" s="10" t="inlineStr"/>
      <c r="I10" s="8" t="inlineStr">
        <is>
          <t>L</t>
        </is>
      </c>
      <c r="J10" s="10" t="inlineStr">
        <is>
          <t>Pending</t>
        </is>
      </c>
      <c r="K10" s="10" t="inlineStr">
        <is>
          <t>Open</t>
        </is>
      </c>
    </row>
    <row r="11" ht="22" customHeight="1">
      <c r="B11" s="14" t="inlineStr">
        <is>
          <t>IND/2024/0007</t>
        </is>
      </c>
      <c r="C11" s="15" t="inlineStr"/>
      <c r="D11" s="16" t="inlineStr">
        <is>
          <t>Software &amp; Licences</t>
        </is>
      </c>
      <c r="E11" s="15" t="inlineStr"/>
      <c r="F11" s="16" t="inlineStr"/>
      <c r="G11" s="16" t="inlineStr"/>
      <c r="H11" s="16" t="inlineStr"/>
      <c r="I11" s="14" t="inlineStr">
        <is>
          <t>H</t>
        </is>
      </c>
      <c r="J11" s="16" t="inlineStr">
        <is>
          <t>Pending</t>
        </is>
      </c>
      <c r="K11" s="16" t="inlineStr">
        <is>
          <t>Open</t>
        </is>
      </c>
    </row>
    <row r="12" ht="22" customHeight="1">
      <c r="B12" s="8" t="inlineStr">
        <is>
          <t>IND/2024/0008</t>
        </is>
      </c>
      <c r="C12" s="9" t="inlineStr"/>
      <c r="D12" s="10" t="inlineStr">
        <is>
          <t>Civil &amp; Maintenance</t>
        </is>
      </c>
      <c r="E12" s="9" t="inlineStr"/>
      <c r="F12" s="10" t="inlineStr"/>
      <c r="G12" s="10" t="inlineStr"/>
      <c r="H12" s="10" t="inlineStr"/>
      <c r="I12" s="8" t="inlineStr">
        <is>
          <t>M</t>
        </is>
      </c>
      <c r="J12" s="10" t="inlineStr">
        <is>
          <t>Pending</t>
        </is>
      </c>
      <c r="K12" s="10" t="inlineStr">
        <is>
          <t>Open</t>
        </is>
      </c>
    </row>
    <row r="13" ht="22" customHeight="1">
      <c r="B13" s="14" t="inlineStr">
        <is>
          <t>IND/2024/0009</t>
        </is>
      </c>
      <c r="C13" s="15" t="inlineStr"/>
      <c r="D13" s="16" t="inlineStr">
        <is>
          <t>Electrical &amp; Electronics</t>
        </is>
      </c>
      <c r="E13" s="15" t="inlineStr"/>
      <c r="F13" s="16" t="inlineStr"/>
      <c r="G13" s="16" t="inlineStr"/>
      <c r="H13" s="16" t="inlineStr"/>
      <c r="I13" s="14" t="inlineStr">
        <is>
          <t>L</t>
        </is>
      </c>
      <c r="J13" s="16" t="inlineStr">
        <is>
          <t>Pending</t>
        </is>
      </c>
      <c r="K13" s="16" t="inlineStr">
        <is>
          <t>Open</t>
        </is>
      </c>
    </row>
    <row r="14" ht="22" customHeight="1">
      <c r="B14" s="8" t="inlineStr">
        <is>
          <t>IND/2024/0010</t>
        </is>
      </c>
      <c r="C14" s="9" t="inlineStr"/>
      <c r="D14" s="10" t="inlineStr">
        <is>
          <t>Sports Equipment</t>
        </is>
      </c>
      <c r="E14" s="9" t="inlineStr"/>
      <c r="F14" s="10" t="inlineStr"/>
      <c r="G14" s="10" t="inlineStr"/>
      <c r="H14" s="10" t="inlineStr"/>
      <c r="I14" s="8" t="inlineStr">
        <is>
          <t>H</t>
        </is>
      </c>
      <c r="J14" s="10" t="inlineStr">
        <is>
          <t>Pending</t>
        </is>
      </c>
      <c r="K14" s="10" t="inlineStr">
        <is>
          <t>Open</t>
        </is>
      </c>
    </row>
    <row r="15" ht="22" customHeight="1">
      <c r="B15" s="14" t="inlineStr">
        <is>
          <t>IND/2024/0011</t>
        </is>
      </c>
      <c r="C15" s="15" t="inlineStr"/>
      <c r="D15" s="16" t="inlineStr">
        <is>
          <t>Medical / First Aid</t>
        </is>
      </c>
      <c r="E15" s="15" t="inlineStr"/>
      <c r="F15" s="16" t="inlineStr"/>
      <c r="G15" s="16" t="inlineStr"/>
      <c r="H15" s="16" t="inlineStr"/>
      <c r="I15" s="14" t="inlineStr">
        <is>
          <t>M</t>
        </is>
      </c>
      <c r="J15" s="16" t="inlineStr">
        <is>
          <t>Pending</t>
        </is>
      </c>
      <c r="K15" s="16" t="inlineStr">
        <is>
          <t>Open</t>
        </is>
      </c>
    </row>
    <row r="16" ht="22" customHeight="1">
      <c r="B16" s="8" t="inlineStr">
        <is>
          <t>IND/2024/0012</t>
        </is>
      </c>
      <c r="C16" s="9" t="inlineStr"/>
      <c r="D16" s="10" t="inlineStr">
        <is>
          <t>Printing &amp; Reprographics</t>
        </is>
      </c>
      <c r="E16" s="9" t="inlineStr"/>
      <c r="F16" s="10" t="inlineStr"/>
      <c r="G16" s="10" t="inlineStr"/>
      <c r="H16" s="10" t="inlineStr"/>
      <c r="I16" s="8" t="inlineStr">
        <is>
          <t>L</t>
        </is>
      </c>
      <c r="J16" s="10" t="inlineStr">
        <is>
          <t>Pending</t>
        </is>
      </c>
      <c r="K16" s="10" t="inlineStr">
        <is>
          <t>Open</t>
        </is>
      </c>
    </row>
    <row r="17" ht="22" customHeight="1">
      <c r="B17" s="14" t="inlineStr">
        <is>
          <t>IND/2024/0013</t>
        </is>
      </c>
      <c r="C17" s="15" t="inlineStr"/>
      <c r="D17" s="16" t="inlineStr">
        <is>
          <t>Cleaning &amp; Housekeeping</t>
        </is>
      </c>
      <c r="E17" s="15" t="inlineStr"/>
      <c r="F17" s="16" t="inlineStr"/>
      <c r="G17" s="16" t="inlineStr"/>
      <c r="H17" s="16" t="inlineStr"/>
      <c r="I17" s="14" t="inlineStr">
        <is>
          <t>H</t>
        </is>
      </c>
      <c r="J17" s="16" t="inlineStr">
        <is>
          <t>Pending</t>
        </is>
      </c>
      <c r="K17" s="16" t="inlineStr">
        <is>
          <t>Open</t>
        </is>
      </c>
    </row>
    <row r="18" ht="22" customHeight="1">
      <c r="B18" s="8" t="inlineStr">
        <is>
          <t>IND/2024/0014</t>
        </is>
      </c>
      <c r="C18" s="9" t="inlineStr"/>
      <c r="D18" s="10" t="inlineStr">
        <is>
          <t>Safety &amp; Security Equipment</t>
        </is>
      </c>
      <c r="E18" s="9" t="inlineStr"/>
      <c r="F18" s="10" t="inlineStr"/>
      <c r="G18" s="10" t="inlineStr"/>
      <c r="H18" s="10" t="inlineStr"/>
      <c r="I18" s="8" t="inlineStr">
        <is>
          <t>M</t>
        </is>
      </c>
      <c r="J18" s="10" t="inlineStr">
        <is>
          <t>Pending</t>
        </is>
      </c>
      <c r="K18" s="10" t="inlineStr">
        <is>
          <t>Open</t>
        </is>
      </c>
    </row>
    <row r="19" ht="22" customHeight="1">
      <c r="B19" s="14" t="inlineStr">
        <is>
          <t>IND/2024/0015</t>
        </is>
      </c>
      <c r="C19" s="15" t="inlineStr"/>
      <c r="D19" s="16" t="inlineStr">
        <is>
          <t>Miscellaneous</t>
        </is>
      </c>
      <c r="E19" s="15" t="inlineStr"/>
      <c r="F19" s="16" t="inlineStr"/>
      <c r="G19" s="16" t="inlineStr"/>
      <c r="H19" s="16" t="inlineStr"/>
      <c r="I19" s="14" t="inlineStr">
        <is>
          <t>L</t>
        </is>
      </c>
      <c r="J19" s="16" t="inlineStr">
        <is>
          <t>Pending</t>
        </is>
      </c>
      <c r="K19" s="16" t="inlineStr">
        <is>
          <t>Open</t>
        </is>
      </c>
    </row>
    <row r="20" ht="22" customHeight="1">
      <c r="B20" s="8" t="inlineStr">
        <is>
          <t>IND/2025/0016</t>
        </is>
      </c>
      <c r="C20" s="9" t="inlineStr"/>
      <c r="D20" s="10" t="inlineStr">
        <is>
          <t>ICT &amp; Computers</t>
        </is>
      </c>
      <c r="E20" s="9" t="inlineStr"/>
      <c r="F20" s="10" t="inlineStr"/>
      <c r="G20" s="10" t="inlineStr"/>
      <c r="H20" s="10" t="inlineStr"/>
      <c r="I20" s="8" t="inlineStr">
        <is>
          <t>H</t>
        </is>
      </c>
      <c r="J20" s="10" t="inlineStr">
        <is>
          <t>Pending</t>
        </is>
      </c>
      <c r="K20" s="10" t="inlineStr">
        <is>
          <t>Open</t>
        </is>
      </c>
    </row>
    <row r="21" ht="22" customHeight="1">
      <c r="B21" s="14" t="inlineStr">
        <is>
          <t>IND/2025/0017</t>
        </is>
      </c>
      <c r="C21" s="15" t="inlineStr"/>
      <c r="D21" s="16" t="inlineStr">
        <is>
          <t>Lab Equipment</t>
        </is>
      </c>
      <c r="E21" s="15" t="inlineStr"/>
      <c r="F21" s="16" t="inlineStr"/>
      <c r="G21" s="16" t="inlineStr"/>
      <c r="H21" s="16" t="inlineStr"/>
      <c r="I21" s="14" t="inlineStr">
        <is>
          <t>M</t>
        </is>
      </c>
      <c r="J21" s="16" t="inlineStr">
        <is>
          <t>Pending</t>
        </is>
      </c>
      <c r="K21" s="16" t="inlineStr">
        <is>
          <t>Open</t>
        </is>
      </c>
    </row>
    <row r="22" ht="22" customHeight="1">
      <c r="B22" s="8" t="inlineStr">
        <is>
          <t>IND/2025/0018</t>
        </is>
      </c>
      <c r="C22" s="9" t="inlineStr"/>
      <c r="D22" s="10" t="inlineStr">
        <is>
          <t>Lab Consumables / Chemicals</t>
        </is>
      </c>
      <c r="E22" s="9" t="inlineStr"/>
      <c r="F22" s="10" t="inlineStr"/>
      <c r="G22" s="10" t="inlineStr"/>
      <c r="H22" s="10" t="inlineStr"/>
      <c r="I22" s="8" t="inlineStr">
        <is>
          <t>L</t>
        </is>
      </c>
      <c r="J22" s="10" t="inlineStr">
        <is>
          <t>Pending</t>
        </is>
      </c>
      <c r="K22" s="10" t="inlineStr">
        <is>
          <t>Open</t>
        </is>
      </c>
    </row>
    <row r="23" ht="22" customHeight="1">
      <c r="B23" s="14" t="inlineStr">
        <is>
          <t>IND/2025/0019</t>
        </is>
      </c>
      <c r="C23" s="15" t="inlineStr"/>
      <c r="D23" s="16" t="inlineStr">
        <is>
          <t>Furniture &amp; Fixtures</t>
        </is>
      </c>
      <c r="E23" s="15" t="inlineStr"/>
      <c r="F23" s="16" t="inlineStr"/>
      <c r="G23" s="16" t="inlineStr"/>
      <c r="H23" s="16" t="inlineStr"/>
      <c r="I23" s="14" t="inlineStr">
        <is>
          <t>H</t>
        </is>
      </c>
      <c r="J23" s="16" t="inlineStr">
        <is>
          <t>Pending</t>
        </is>
      </c>
      <c r="K23" s="16" t="inlineStr">
        <is>
          <t>Open</t>
        </is>
      </c>
    </row>
    <row r="24" ht="22" customHeight="1">
      <c r="B24" s="8" t="inlineStr">
        <is>
          <t>IND/2025/0020</t>
        </is>
      </c>
      <c r="C24" s="9" t="inlineStr"/>
      <c r="D24" s="10" t="inlineStr">
        <is>
          <t>Office Stationery</t>
        </is>
      </c>
      <c r="E24" s="9" t="inlineStr"/>
      <c r="F24" s="10" t="inlineStr"/>
      <c r="G24" s="10" t="inlineStr"/>
      <c r="H24" s="10" t="inlineStr"/>
      <c r="I24" s="8" t="inlineStr">
        <is>
          <t>M</t>
        </is>
      </c>
      <c r="J24" s="10" t="inlineStr">
        <is>
          <t>Pending</t>
        </is>
      </c>
      <c r="K24" s="10" t="inlineStr">
        <is>
          <t>Open</t>
        </is>
      </c>
    </row>
    <row r="25" ht="22" customHeight="1">
      <c r="B25" s="14" t="inlineStr">
        <is>
          <t>IND/2025/0021</t>
        </is>
      </c>
      <c r="C25" s="15" t="inlineStr"/>
      <c r="D25" s="16" t="inlineStr">
        <is>
          <t>Library Books &amp; Journals</t>
        </is>
      </c>
      <c r="E25" s="15" t="inlineStr"/>
      <c r="F25" s="16" t="inlineStr"/>
      <c r="G25" s="16" t="inlineStr"/>
      <c r="H25" s="16" t="inlineStr"/>
      <c r="I25" s="14" t="inlineStr">
        <is>
          <t>L</t>
        </is>
      </c>
      <c r="J25" s="16" t="inlineStr">
        <is>
          <t>Pending</t>
        </is>
      </c>
      <c r="K25" s="16" t="inlineStr">
        <is>
          <t>Open</t>
        </is>
      </c>
    </row>
    <row r="26" ht="22" customHeight="1">
      <c r="B26" s="8" t="inlineStr">
        <is>
          <t>IND/2025/0022</t>
        </is>
      </c>
      <c r="C26" s="9" t="inlineStr"/>
      <c r="D26" s="10" t="inlineStr">
        <is>
          <t>Software &amp; Licences</t>
        </is>
      </c>
      <c r="E26" s="9" t="inlineStr"/>
      <c r="F26" s="10" t="inlineStr"/>
      <c r="G26" s="10" t="inlineStr"/>
      <c r="H26" s="10" t="inlineStr"/>
      <c r="I26" s="8" t="inlineStr">
        <is>
          <t>H</t>
        </is>
      </c>
      <c r="J26" s="10" t="inlineStr">
        <is>
          <t>Pending</t>
        </is>
      </c>
      <c r="K26" s="10" t="inlineStr">
        <is>
          <t>Open</t>
        </is>
      </c>
    </row>
    <row r="27" ht="22" customHeight="1">
      <c r="B27" s="14" t="inlineStr">
        <is>
          <t>IND/2025/0023</t>
        </is>
      </c>
      <c r="C27" s="15" t="inlineStr"/>
      <c r="D27" s="16" t="inlineStr">
        <is>
          <t>Civil &amp; Maintenance</t>
        </is>
      </c>
      <c r="E27" s="15" t="inlineStr"/>
      <c r="F27" s="16" t="inlineStr"/>
      <c r="G27" s="16" t="inlineStr"/>
      <c r="H27" s="16" t="inlineStr"/>
      <c r="I27" s="14" t="inlineStr">
        <is>
          <t>M</t>
        </is>
      </c>
      <c r="J27" s="16" t="inlineStr">
        <is>
          <t>Pending</t>
        </is>
      </c>
      <c r="K27" s="16" t="inlineStr">
        <is>
          <t>Open</t>
        </is>
      </c>
    </row>
    <row r="28" ht="22" customHeight="1">
      <c r="B28" s="8" t="inlineStr">
        <is>
          <t>IND/2025/0024</t>
        </is>
      </c>
      <c r="C28" s="9" t="inlineStr"/>
      <c r="D28" s="10" t="inlineStr">
        <is>
          <t>Electrical &amp; Electronics</t>
        </is>
      </c>
      <c r="E28" s="9" t="inlineStr"/>
      <c r="F28" s="10" t="inlineStr"/>
      <c r="G28" s="10" t="inlineStr"/>
      <c r="H28" s="10" t="inlineStr"/>
      <c r="I28" s="8" t="inlineStr">
        <is>
          <t>L</t>
        </is>
      </c>
      <c r="J28" s="10" t="inlineStr">
        <is>
          <t>Pending</t>
        </is>
      </c>
      <c r="K28" s="10" t="inlineStr">
        <is>
          <t>Open</t>
        </is>
      </c>
    </row>
    <row r="29" ht="22" customHeight="1">
      <c r="B29" s="14" t="inlineStr">
        <is>
          <t>IND/2025/0025</t>
        </is>
      </c>
      <c r="C29" s="15" t="inlineStr"/>
      <c r="D29" s="16" t="inlineStr">
        <is>
          <t>Sports Equipment</t>
        </is>
      </c>
      <c r="E29" s="15" t="inlineStr"/>
      <c r="F29" s="16" t="inlineStr"/>
      <c r="G29" s="16" t="inlineStr"/>
      <c r="H29" s="16" t="inlineStr"/>
      <c r="I29" s="14" t="inlineStr">
        <is>
          <t>H</t>
        </is>
      </c>
      <c r="J29" s="16" t="inlineStr">
        <is>
          <t>Pending</t>
        </is>
      </c>
      <c r="K29" s="16" t="inlineStr">
        <is>
          <t>Open</t>
        </is>
      </c>
    </row>
    <row r="30" ht="22" customHeight="1">
      <c r="B30" s="8" t="inlineStr">
        <is>
          <t>IND/2025/0026</t>
        </is>
      </c>
      <c r="C30" s="9" t="inlineStr"/>
      <c r="D30" s="10" t="inlineStr">
        <is>
          <t>Medical / First Aid</t>
        </is>
      </c>
      <c r="E30" s="9" t="inlineStr"/>
      <c r="F30" s="10" t="inlineStr"/>
      <c r="G30" s="10" t="inlineStr"/>
      <c r="H30" s="10" t="inlineStr"/>
      <c r="I30" s="8" t="inlineStr">
        <is>
          <t>M</t>
        </is>
      </c>
      <c r="J30" s="10" t="inlineStr">
        <is>
          <t>Pending</t>
        </is>
      </c>
      <c r="K30" s="10" t="inlineStr">
        <is>
          <t>Open</t>
        </is>
      </c>
    </row>
    <row r="31" ht="22" customHeight="1">
      <c r="B31" s="14" t="inlineStr">
        <is>
          <t>IND/2025/0027</t>
        </is>
      </c>
      <c r="C31" s="15" t="inlineStr"/>
      <c r="D31" s="16" t="inlineStr">
        <is>
          <t>Printing &amp; Reprographics</t>
        </is>
      </c>
      <c r="E31" s="15" t="inlineStr"/>
      <c r="F31" s="16" t="inlineStr"/>
      <c r="G31" s="16" t="inlineStr"/>
      <c r="H31" s="16" t="inlineStr"/>
      <c r="I31" s="14" t="inlineStr">
        <is>
          <t>L</t>
        </is>
      </c>
      <c r="J31" s="16" t="inlineStr">
        <is>
          <t>Pending</t>
        </is>
      </c>
      <c r="K31" s="16" t="inlineStr">
        <is>
          <t>Open</t>
        </is>
      </c>
    </row>
    <row r="32" ht="22" customHeight="1">
      <c r="B32" s="8" t="inlineStr">
        <is>
          <t>IND/2025/0028</t>
        </is>
      </c>
      <c r="C32" s="9" t="inlineStr"/>
      <c r="D32" s="10" t="inlineStr">
        <is>
          <t>Cleaning &amp; Housekeeping</t>
        </is>
      </c>
      <c r="E32" s="9" t="inlineStr"/>
      <c r="F32" s="10" t="inlineStr"/>
      <c r="G32" s="10" t="inlineStr"/>
      <c r="H32" s="10" t="inlineStr"/>
      <c r="I32" s="8" t="inlineStr">
        <is>
          <t>H</t>
        </is>
      </c>
      <c r="J32" s="10" t="inlineStr">
        <is>
          <t>Pending</t>
        </is>
      </c>
      <c r="K32" s="10" t="inlineStr">
        <is>
          <t>Open</t>
        </is>
      </c>
    </row>
    <row r="33" ht="22" customHeight="1">
      <c r="B33" s="14" t="inlineStr">
        <is>
          <t>IND/2025/0029</t>
        </is>
      </c>
      <c r="C33" s="15" t="inlineStr"/>
      <c r="D33" s="16" t="inlineStr">
        <is>
          <t>Safety &amp; Security Equipment</t>
        </is>
      </c>
      <c r="E33" s="15" t="inlineStr"/>
      <c r="F33" s="16" t="inlineStr"/>
      <c r="G33" s="16" t="inlineStr"/>
      <c r="H33" s="16" t="inlineStr"/>
      <c r="I33" s="14" t="inlineStr">
        <is>
          <t>M</t>
        </is>
      </c>
      <c r="J33" s="16" t="inlineStr">
        <is>
          <t>Pending</t>
        </is>
      </c>
      <c r="K33" s="16" t="inlineStr">
        <is>
          <t>Open</t>
        </is>
      </c>
    </row>
    <row r="34" ht="22" customHeight="1">
      <c r="B34" s="8" t="inlineStr">
        <is>
          <t>IND/2025/0030</t>
        </is>
      </c>
      <c r="C34" s="9" t="inlineStr"/>
      <c r="D34" s="10" t="inlineStr">
        <is>
          <t>Miscellaneous</t>
        </is>
      </c>
      <c r="E34" s="9" t="inlineStr"/>
      <c r="F34" s="10" t="inlineStr"/>
      <c r="G34" s="10" t="inlineStr"/>
      <c r="H34" s="10" t="inlineStr"/>
      <c r="I34" s="8" t="inlineStr">
        <is>
          <t>L</t>
        </is>
      </c>
      <c r="J34" s="10" t="inlineStr">
        <is>
          <t>Pending</t>
        </is>
      </c>
      <c r="K34" s="10" t="inlineStr">
        <is>
          <t>Open</t>
        </is>
      </c>
    </row>
    <row r="35" ht="22" customHeight="1"/>
    <row r="36" ht="24" customHeight="1">
      <c r="B36" s="33" t="inlineStr">
        <is>
          <t>INDENT STATISTICS</t>
        </is>
      </c>
    </row>
    <row r="37" ht="22" customHeight="1">
      <c r="B37" s="22" t="inlineStr">
        <is>
          <t>Total Indents Received</t>
        </is>
      </c>
      <c r="F37" s="35">
        <f>COUNTA(B5:B34)</f>
        <v/>
      </c>
    </row>
    <row r="38">
      <c r="B38" s="24" t="inlineStr">
        <is>
          <t>High Priority</t>
        </is>
      </c>
      <c r="F38" s="36">
        <f>COUNTIF(I5:I34,"H")</f>
        <v/>
      </c>
    </row>
    <row r="39">
      <c r="B39" s="22" t="inlineStr">
        <is>
          <t>PSC Approved</t>
        </is>
      </c>
      <c r="F39" s="35">
        <f>COUNTIF(J5:J34,"Approved")</f>
        <v/>
      </c>
    </row>
    <row r="40">
      <c r="B40" s="24" t="inlineStr">
        <is>
          <t>Pending Approval</t>
        </is>
      </c>
      <c r="F40" s="36">
        <f>COUNTIF(J5:J34,"Pending")</f>
        <v/>
      </c>
    </row>
    <row r="41">
      <c r="B41" s="22" t="inlineStr">
        <is>
          <t>Total Estimated Value (₹)</t>
        </is>
      </c>
      <c r="F41" s="35">
        <f>IFERROR(SUM(G5:G34),"")</f>
        <v/>
      </c>
    </row>
    <row r="42">
      <c r="B42" s="24" t="inlineStr">
        <is>
          <t>Indents Fulfilled</t>
        </is>
      </c>
      <c r="F42" s="36">
        <f>COUNTIF(K5:K34,"Fulfilled")</f>
        <v/>
      </c>
    </row>
  </sheetData>
  <mergeCells count="15">
    <mergeCell ref="B40:E40"/>
    <mergeCell ref="B41:E41"/>
    <mergeCell ref="F38:K38"/>
    <mergeCell ref="F42:K42"/>
    <mergeCell ref="B38:E38"/>
    <mergeCell ref="F40:K40"/>
    <mergeCell ref="F41:K41"/>
    <mergeCell ref="B2:K2"/>
    <mergeCell ref="B39:E39"/>
    <mergeCell ref="B37:E37"/>
    <mergeCell ref="F39:K39"/>
    <mergeCell ref="B42:E42"/>
    <mergeCell ref="B3:K3"/>
    <mergeCell ref="B36:K36"/>
    <mergeCell ref="F37:K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PSC-09: APPROVED VENDOR / SUPPLIER MASTER REGISTER</t>
        </is>
      </c>
    </row>
    <row r="3" ht="20" customHeight="1">
      <c r="B3" s="2" t="inlineStr">
        <is>
          <t>A.Y.: _______  PSC Coordinator: ___________________  Last Verified: _______</t>
        </is>
      </c>
    </row>
    <row r="4" ht="25" customHeight="1">
      <c r="B4" s="13" t="inlineStr">
        <is>
          <t>Vendor
Ref.</t>
        </is>
      </c>
      <c r="C4" s="13" t="inlineStr">
        <is>
          <t>Vendor / Company Name</t>
        </is>
      </c>
      <c r="D4" s="13" t="inlineStr">
        <is>
          <t>Category of
Supply</t>
        </is>
      </c>
      <c r="E4" s="13" t="inlineStr">
        <is>
          <t>GST No.</t>
        </is>
      </c>
      <c r="F4" s="13" t="inlineStr">
        <is>
          <t>PAN No.</t>
        </is>
      </c>
      <c r="G4" s="13" t="inlineStr">
        <is>
          <t>Contact
Person</t>
        </is>
      </c>
      <c r="H4" s="13" t="inlineStr">
        <is>
          <t>Contact
No.</t>
        </is>
      </c>
      <c r="I4" s="13" t="inlineStr">
        <is>
          <t>Registration
Date</t>
        </is>
      </c>
      <c r="J4" s="13" t="inlineStr">
        <is>
          <t>Performance
Rating</t>
        </is>
      </c>
      <c r="K4" s="13" t="inlineStr">
        <is>
          <t>Status</t>
        </is>
      </c>
    </row>
    <row r="5" ht="22" customHeight="1">
      <c r="B5" s="14" t="inlineStr">
        <is>
          <t>VND/001</t>
        </is>
      </c>
      <c r="C5" s="15" t="inlineStr"/>
      <c r="D5" s="16" t="inlineStr">
        <is>
          <t>ICT Hardware &amp; Peripherals</t>
        </is>
      </c>
      <c r="E5" s="16" t="inlineStr"/>
      <c r="F5" s="16" t="inlineStr"/>
      <c r="G5" s="15" t="inlineStr"/>
      <c r="H5" s="16" t="inlineStr"/>
      <c r="I5" s="16" t="inlineStr"/>
      <c r="J5" s="16" t="inlineStr">
        <is>
          <t>A — Excellent</t>
        </is>
      </c>
      <c r="K5" s="16" t="inlineStr">
        <is>
          <t>Active</t>
        </is>
      </c>
    </row>
    <row r="6" ht="22" customHeight="1">
      <c r="B6" s="8" t="inlineStr">
        <is>
          <t>VND/002</t>
        </is>
      </c>
      <c r="C6" s="9" t="inlineStr"/>
      <c r="D6" s="10" t="inlineStr">
        <is>
          <t>Software &amp; Licences</t>
        </is>
      </c>
      <c r="E6" s="10" t="inlineStr"/>
      <c r="F6" s="10" t="inlineStr"/>
      <c r="G6" s="9" t="inlineStr"/>
      <c r="H6" s="10" t="inlineStr"/>
      <c r="I6" s="10" t="inlineStr"/>
      <c r="J6" s="10" t="inlineStr">
        <is>
          <t>B — Good</t>
        </is>
      </c>
      <c r="K6" s="10" t="inlineStr">
        <is>
          <t>Active</t>
        </is>
      </c>
    </row>
    <row r="7" ht="22" customHeight="1">
      <c r="B7" s="14" t="inlineStr">
        <is>
          <t>VND/003</t>
        </is>
      </c>
      <c r="C7" s="15" t="inlineStr"/>
      <c r="D7" s="16" t="inlineStr">
        <is>
          <t>Lab Equipment</t>
        </is>
      </c>
      <c r="E7" s="16" t="inlineStr"/>
      <c r="F7" s="16" t="inlineStr"/>
      <c r="G7" s="15" t="inlineStr"/>
      <c r="H7" s="16" t="inlineStr"/>
      <c r="I7" s="16" t="inlineStr"/>
      <c r="J7" s="16" t="inlineStr">
        <is>
          <t>C — Average</t>
        </is>
      </c>
      <c r="K7" s="16" t="inlineStr">
        <is>
          <t>Active</t>
        </is>
      </c>
    </row>
    <row r="8" ht="22" customHeight="1">
      <c r="B8" s="8" t="inlineStr">
        <is>
          <t>VND/004</t>
        </is>
      </c>
      <c r="C8" s="9" t="inlineStr"/>
      <c r="D8" s="10" t="inlineStr">
        <is>
          <t>Lab Chemicals &amp; Reagents</t>
        </is>
      </c>
      <c r="E8" s="10" t="inlineStr"/>
      <c r="F8" s="10" t="inlineStr"/>
      <c r="G8" s="9" t="inlineStr"/>
      <c r="H8" s="10" t="inlineStr"/>
      <c r="I8" s="10" t="inlineStr"/>
      <c r="J8" s="10" t="inlineStr">
        <is>
          <t>A — Excellent</t>
        </is>
      </c>
      <c r="K8" s="10" t="inlineStr">
        <is>
          <t>Active</t>
        </is>
      </c>
    </row>
    <row r="9" ht="22" customHeight="1">
      <c r="B9" s="14" t="inlineStr">
        <is>
          <t>VND/005</t>
        </is>
      </c>
      <c r="C9" s="15" t="inlineStr"/>
      <c r="D9" s="16" t="inlineStr">
        <is>
          <t>Furniture &amp; Interiors</t>
        </is>
      </c>
      <c r="E9" s="16" t="inlineStr"/>
      <c r="F9" s="16" t="inlineStr"/>
      <c r="G9" s="15" t="inlineStr"/>
      <c r="H9" s="16" t="inlineStr"/>
      <c r="I9" s="16" t="inlineStr"/>
      <c r="J9" s="16" t="inlineStr">
        <is>
          <t>B — Good</t>
        </is>
      </c>
      <c r="K9" s="16" t="inlineStr">
        <is>
          <t>Active</t>
        </is>
      </c>
    </row>
    <row r="10" ht="22" customHeight="1">
      <c r="B10" s="8" t="inlineStr">
        <is>
          <t>VND/006</t>
        </is>
      </c>
      <c r="C10" s="9" t="inlineStr"/>
      <c r="D10" s="10" t="inlineStr">
        <is>
          <t>Office Stationery &amp; Printing</t>
        </is>
      </c>
      <c r="E10" s="10" t="inlineStr"/>
      <c r="F10" s="10" t="inlineStr"/>
      <c r="G10" s="9" t="inlineStr"/>
      <c r="H10" s="10" t="inlineStr"/>
      <c r="I10" s="10" t="inlineStr"/>
      <c r="J10" s="10" t="inlineStr">
        <is>
          <t>A — Excellent</t>
        </is>
      </c>
      <c r="K10" s="10" t="inlineStr">
        <is>
          <t>Active</t>
        </is>
      </c>
    </row>
    <row r="11" ht="22" customHeight="1">
      <c r="B11" s="14" t="inlineStr">
        <is>
          <t>VND/007</t>
        </is>
      </c>
      <c r="C11" s="15" t="inlineStr"/>
      <c r="D11" s="16" t="inlineStr">
        <is>
          <t>Books &amp; Journals</t>
        </is>
      </c>
      <c r="E11" s="16" t="inlineStr"/>
      <c r="F11" s="16" t="inlineStr"/>
      <c r="G11" s="15" t="inlineStr"/>
      <c r="H11" s="16" t="inlineStr"/>
      <c r="I11" s="16" t="inlineStr"/>
      <c r="J11" s="16" t="inlineStr">
        <is>
          <t>B — Good</t>
        </is>
      </c>
      <c r="K11" s="16" t="inlineStr">
        <is>
          <t>Active</t>
        </is>
      </c>
    </row>
    <row r="12" ht="22" customHeight="1">
      <c r="B12" s="8" t="inlineStr">
        <is>
          <t>VND/008</t>
        </is>
      </c>
      <c r="C12" s="9" t="inlineStr"/>
      <c r="D12" s="10" t="inlineStr">
        <is>
          <t>Civil &amp; Construction</t>
        </is>
      </c>
      <c r="E12" s="10" t="inlineStr"/>
      <c r="F12" s="10" t="inlineStr"/>
      <c r="G12" s="9" t="inlineStr"/>
      <c r="H12" s="10" t="inlineStr"/>
      <c r="I12" s="10" t="inlineStr"/>
      <c r="J12" s="10" t="inlineStr">
        <is>
          <t>C — Average</t>
        </is>
      </c>
      <c r="K12" s="10" t="inlineStr">
        <is>
          <t>Active</t>
        </is>
      </c>
    </row>
    <row r="13" ht="22" customHeight="1">
      <c r="B13" s="14" t="inlineStr">
        <is>
          <t>VND/009</t>
        </is>
      </c>
      <c r="C13" s="15" t="inlineStr"/>
      <c r="D13" s="16" t="inlineStr">
        <is>
          <t>Electrical &amp; Lighting</t>
        </is>
      </c>
      <c r="E13" s="16" t="inlineStr"/>
      <c r="F13" s="16" t="inlineStr"/>
      <c r="G13" s="15" t="inlineStr"/>
      <c r="H13" s="16" t="inlineStr"/>
      <c r="I13" s="16" t="inlineStr"/>
      <c r="J13" s="16" t="inlineStr">
        <is>
          <t>A — Excellent</t>
        </is>
      </c>
      <c r="K13" s="16" t="inlineStr">
        <is>
          <t>Active</t>
        </is>
      </c>
    </row>
    <row r="14" ht="22" customHeight="1">
      <c r="B14" s="8" t="inlineStr">
        <is>
          <t>VND/010</t>
        </is>
      </c>
      <c r="C14" s="9" t="inlineStr"/>
      <c r="D14" s="10" t="inlineStr">
        <is>
          <t>Cleaning Supplies</t>
        </is>
      </c>
      <c r="E14" s="10" t="inlineStr"/>
      <c r="F14" s="10" t="inlineStr"/>
      <c r="G14" s="9" t="inlineStr"/>
      <c r="H14" s="10" t="inlineStr"/>
      <c r="I14" s="10" t="inlineStr"/>
      <c r="J14" s="10" t="inlineStr">
        <is>
          <t>B — Good</t>
        </is>
      </c>
      <c r="K14" s="10" t="inlineStr">
        <is>
          <t>Active</t>
        </is>
      </c>
    </row>
    <row r="15" ht="22" customHeight="1">
      <c r="B15" s="14" t="inlineStr">
        <is>
          <t>VND/011</t>
        </is>
      </c>
      <c r="C15" s="15" t="inlineStr"/>
      <c r="D15" s="16" t="inlineStr">
        <is>
          <t>Sports &amp; Gymnasium</t>
        </is>
      </c>
      <c r="E15" s="16" t="inlineStr"/>
      <c r="F15" s="16" t="inlineStr"/>
      <c r="G15" s="15" t="inlineStr"/>
      <c r="H15" s="16" t="inlineStr"/>
      <c r="I15" s="16" t="inlineStr"/>
      <c r="J15" s="16" t="inlineStr">
        <is>
          <t>A — Excellent</t>
        </is>
      </c>
      <c r="K15" s="16" t="inlineStr">
        <is>
          <t>Active</t>
        </is>
      </c>
    </row>
    <row r="16" ht="22" customHeight="1">
      <c r="B16" s="8" t="inlineStr">
        <is>
          <t>VND/012</t>
        </is>
      </c>
      <c r="C16" s="9" t="inlineStr"/>
      <c r="D16" s="10" t="inlineStr">
        <is>
          <t>Medical &amp; First Aid</t>
        </is>
      </c>
      <c r="E16" s="10" t="inlineStr"/>
      <c r="F16" s="10" t="inlineStr"/>
      <c r="G16" s="9" t="inlineStr"/>
      <c r="H16" s="10" t="inlineStr"/>
      <c r="I16" s="10" t="inlineStr"/>
      <c r="J16" s="10" t="inlineStr">
        <is>
          <t>B — Good</t>
        </is>
      </c>
      <c r="K16" s="10" t="inlineStr">
        <is>
          <t>Active</t>
        </is>
      </c>
    </row>
    <row r="17" ht="22" customHeight="1">
      <c r="B17" s="14" t="inlineStr">
        <is>
          <t>VND/013</t>
        </is>
      </c>
      <c r="C17" s="15" t="inlineStr"/>
      <c r="D17" s="16" t="inlineStr">
        <is>
          <t>Security Systems</t>
        </is>
      </c>
      <c r="E17" s="16" t="inlineStr"/>
      <c r="F17" s="16" t="inlineStr"/>
      <c r="G17" s="15" t="inlineStr"/>
      <c r="H17" s="16" t="inlineStr"/>
      <c r="I17" s="16" t="inlineStr"/>
      <c r="J17" s="16" t="inlineStr">
        <is>
          <t>C — Average</t>
        </is>
      </c>
      <c r="K17" s="16" t="inlineStr">
        <is>
          <t>Active</t>
        </is>
      </c>
    </row>
    <row r="18" ht="22" customHeight="1">
      <c r="B18" s="8" t="inlineStr">
        <is>
          <t>VND/014</t>
        </is>
      </c>
      <c r="C18" s="9" t="inlineStr"/>
      <c r="D18" s="10" t="inlineStr">
        <is>
          <t>Catering &amp; Canteen Supplies</t>
        </is>
      </c>
      <c r="E18" s="10" t="inlineStr"/>
      <c r="F18" s="10" t="inlineStr"/>
      <c r="G18" s="9" t="inlineStr"/>
      <c r="H18" s="10" t="inlineStr"/>
      <c r="I18" s="10" t="inlineStr"/>
      <c r="J18" s="10" t="inlineStr">
        <is>
          <t>A — Excellent</t>
        </is>
      </c>
      <c r="K18" s="10" t="inlineStr">
        <is>
          <t>Active</t>
        </is>
      </c>
    </row>
    <row r="19" ht="22" customHeight="1">
      <c r="B19" s="14" t="inlineStr">
        <is>
          <t>VND/015</t>
        </is>
      </c>
      <c r="C19" s="15" t="inlineStr"/>
      <c r="D19" s="16" t="inlineStr">
        <is>
          <t>General Miscellaneous</t>
        </is>
      </c>
      <c r="E19" s="16" t="inlineStr"/>
      <c r="F19" s="16" t="inlineStr"/>
      <c r="G19" s="15" t="inlineStr"/>
      <c r="H19" s="16" t="inlineStr"/>
      <c r="I19" s="16" t="inlineStr"/>
      <c r="J19" s="16" t="inlineStr">
        <is>
          <t>B — Good</t>
        </is>
      </c>
      <c r="K19" s="16" t="inlineStr">
        <is>
          <t>Active</t>
        </is>
      </c>
    </row>
    <row r="20" ht="22" customHeight="1">
      <c r="B20" s="8" t="inlineStr">
        <is>
          <t>VND/016</t>
        </is>
      </c>
      <c r="C20" s="9" t="inlineStr"/>
      <c r="D20" s="10" t="inlineStr">
        <is>
          <t>ICT Hardware &amp; Peripherals</t>
        </is>
      </c>
      <c r="E20" s="10" t="inlineStr"/>
      <c r="F20" s="10" t="inlineStr"/>
      <c r="G20" s="9" t="inlineStr"/>
      <c r="H20" s="10" t="inlineStr"/>
      <c r="I20" s="10" t="inlineStr"/>
      <c r="J20" s="10" t="inlineStr">
        <is>
          <t>A — Excellent</t>
        </is>
      </c>
      <c r="K20" s="10" t="inlineStr">
        <is>
          <t>Active</t>
        </is>
      </c>
    </row>
    <row r="21" ht="22" customHeight="1">
      <c r="B21" s="14" t="inlineStr">
        <is>
          <t>VND/017</t>
        </is>
      </c>
      <c r="C21" s="15" t="inlineStr"/>
      <c r="D21" s="16" t="inlineStr">
        <is>
          <t>Software &amp; Licences</t>
        </is>
      </c>
      <c r="E21" s="16" t="inlineStr"/>
      <c r="F21" s="16" t="inlineStr"/>
      <c r="G21" s="15" t="inlineStr"/>
      <c r="H21" s="16" t="inlineStr"/>
      <c r="I21" s="16" t="inlineStr"/>
      <c r="J21" s="16" t="inlineStr">
        <is>
          <t>B — Good</t>
        </is>
      </c>
      <c r="K21" s="16" t="inlineStr">
        <is>
          <t>Active</t>
        </is>
      </c>
    </row>
    <row r="22" ht="22" customHeight="1">
      <c r="B22" s="8" t="inlineStr">
        <is>
          <t>VND/018</t>
        </is>
      </c>
      <c r="C22" s="9" t="inlineStr"/>
      <c r="D22" s="10" t="inlineStr">
        <is>
          <t>Lab Equipment</t>
        </is>
      </c>
      <c r="E22" s="10" t="inlineStr"/>
      <c r="F22" s="10" t="inlineStr"/>
      <c r="G22" s="9" t="inlineStr"/>
      <c r="H22" s="10" t="inlineStr"/>
      <c r="I22" s="10" t="inlineStr"/>
      <c r="J22" s="10" t="inlineStr">
        <is>
          <t>C — Average</t>
        </is>
      </c>
      <c r="K22" s="10" t="inlineStr">
        <is>
          <t>Active</t>
        </is>
      </c>
    </row>
    <row r="23" ht="22" customHeight="1">
      <c r="B23" s="14" t="inlineStr">
        <is>
          <t>VND/019</t>
        </is>
      </c>
      <c r="C23" s="15" t="inlineStr"/>
      <c r="D23" s="16" t="inlineStr">
        <is>
          <t>Lab Chemicals &amp; Reagents</t>
        </is>
      </c>
      <c r="E23" s="16" t="inlineStr"/>
      <c r="F23" s="16" t="inlineStr"/>
      <c r="G23" s="15" t="inlineStr"/>
      <c r="H23" s="16" t="inlineStr"/>
      <c r="I23" s="16" t="inlineStr"/>
      <c r="J23" s="16" t="inlineStr">
        <is>
          <t>A — Excellent</t>
        </is>
      </c>
      <c r="K23" s="16" t="inlineStr">
        <is>
          <t>Active</t>
        </is>
      </c>
    </row>
    <row r="24" ht="22" customHeight="1">
      <c r="B24" s="8" t="inlineStr">
        <is>
          <t>VND/020</t>
        </is>
      </c>
      <c r="C24" s="9" t="inlineStr"/>
      <c r="D24" s="10" t="inlineStr">
        <is>
          <t>Furniture &amp; Interiors</t>
        </is>
      </c>
      <c r="E24" s="10" t="inlineStr"/>
      <c r="F24" s="10" t="inlineStr"/>
      <c r="G24" s="9" t="inlineStr"/>
      <c r="H24" s="10" t="inlineStr"/>
      <c r="I24" s="10" t="inlineStr"/>
      <c r="J24" s="10" t="inlineStr">
        <is>
          <t>B — Good</t>
        </is>
      </c>
      <c r="K24" s="10" t="inlineStr">
        <is>
          <t>Active</t>
        </is>
      </c>
    </row>
    <row r="25" ht="22" customHeight="1">
      <c r="B25" s="14" t="inlineStr">
        <is>
          <t>VND/021</t>
        </is>
      </c>
      <c r="C25" s="15" t="inlineStr"/>
      <c r="D25" s="16" t="inlineStr">
        <is>
          <t>Office Stationery &amp; Printing</t>
        </is>
      </c>
      <c r="E25" s="16" t="inlineStr"/>
      <c r="F25" s="16" t="inlineStr"/>
      <c r="G25" s="15" t="inlineStr"/>
      <c r="H25" s="16" t="inlineStr"/>
      <c r="I25" s="16" t="inlineStr"/>
      <c r="J25" s="16" t="inlineStr">
        <is>
          <t>A — Excellent</t>
        </is>
      </c>
      <c r="K25" s="16" t="inlineStr">
        <is>
          <t>Active</t>
        </is>
      </c>
    </row>
    <row r="26" ht="22" customHeight="1">
      <c r="B26" s="8" t="inlineStr">
        <is>
          <t>VND/022</t>
        </is>
      </c>
      <c r="C26" s="9" t="inlineStr"/>
      <c r="D26" s="10" t="inlineStr">
        <is>
          <t>Books &amp; Journals</t>
        </is>
      </c>
      <c r="E26" s="10" t="inlineStr"/>
      <c r="F26" s="10" t="inlineStr"/>
      <c r="G26" s="9" t="inlineStr"/>
      <c r="H26" s="10" t="inlineStr"/>
      <c r="I26" s="10" t="inlineStr"/>
      <c r="J26" s="10" t="inlineStr">
        <is>
          <t>B — Good</t>
        </is>
      </c>
      <c r="K26" s="10" t="inlineStr">
        <is>
          <t>Active</t>
        </is>
      </c>
    </row>
    <row r="27" ht="22" customHeight="1">
      <c r="B27" s="14" t="inlineStr">
        <is>
          <t>VND/023</t>
        </is>
      </c>
      <c r="C27" s="15" t="inlineStr"/>
      <c r="D27" s="16" t="inlineStr">
        <is>
          <t>Civil &amp; Construction</t>
        </is>
      </c>
      <c r="E27" s="16" t="inlineStr"/>
      <c r="F27" s="16" t="inlineStr"/>
      <c r="G27" s="15" t="inlineStr"/>
      <c r="H27" s="16" t="inlineStr"/>
      <c r="I27" s="16" t="inlineStr"/>
      <c r="J27" s="16" t="inlineStr">
        <is>
          <t>C — Average</t>
        </is>
      </c>
      <c r="K27" s="16" t="inlineStr">
        <is>
          <t>Active</t>
        </is>
      </c>
    </row>
    <row r="28" ht="22" customHeight="1">
      <c r="B28" s="8" t="inlineStr">
        <is>
          <t>VND/024</t>
        </is>
      </c>
      <c r="C28" s="9" t="inlineStr"/>
      <c r="D28" s="10" t="inlineStr">
        <is>
          <t>Electrical &amp; Lighting</t>
        </is>
      </c>
      <c r="E28" s="10" t="inlineStr"/>
      <c r="F28" s="10" t="inlineStr"/>
      <c r="G28" s="9" t="inlineStr"/>
      <c r="H28" s="10" t="inlineStr"/>
      <c r="I28" s="10" t="inlineStr"/>
      <c r="J28" s="10" t="inlineStr">
        <is>
          <t>A — Excellent</t>
        </is>
      </c>
      <c r="K28" s="10" t="inlineStr">
        <is>
          <t>Active</t>
        </is>
      </c>
    </row>
    <row r="29" ht="22" customHeight="1">
      <c r="B29" s="14" t="inlineStr">
        <is>
          <t>VND/025</t>
        </is>
      </c>
      <c r="C29" s="15" t="inlineStr"/>
      <c r="D29" s="16" t="inlineStr">
        <is>
          <t>Cleaning Supplies</t>
        </is>
      </c>
      <c r="E29" s="16" t="inlineStr"/>
      <c r="F29" s="16" t="inlineStr"/>
      <c r="G29" s="15" t="inlineStr"/>
      <c r="H29" s="16" t="inlineStr"/>
      <c r="I29" s="16" t="inlineStr"/>
      <c r="J29" s="16" t="inlineStr">
        <is>
          <t>B — Good</t>
        </is>
      </c>
      <c r="K29" s="16" t="inlineStr">
        <is>
          <t>Active</t>
        </is>
      </c>
    </row>
    <row r="30" ht="22" customHeight="1">
      <c r="B30" s="8" t="inlineStr">
        <is>
          <t>VND/026</t>
        </is>
      </c>
      <c r="C30" s="9" t="inlineStr"/>
      <c r="D30" s="10" t="inlineStr">
        <is>
          <t>Sports &amp; Gymnasium</t>
        </is>
      </c>
      <c r="E30" s="10" t="inlineStr"/>
      <c r="F30" s="10" t="inlineStr"/>
      <c r="G30" s="9" t="inlineStr"/>
      <c r="H30" s="10" t="inlineStr"/>
      <c r="I30" s="10" t="inlineStr"/>
      <c r="J30" s="10" t="inlineStr">
        <is>
          <t>A — Excellent</t>
        </is>
      </c>
      <c r="K30" s="10" t="inlineStr">
        <is>
          <t>Active</t>
        </is>
      </c>
    </row>
    <row r="31" ht="22" customHeight="1">
      <c r="B31" s="14" t="inlineStr">
        <is>
          <t>VND/027</t>
        </is>
      </c>
      <c r="C31" s="15" t="inlineStr"/>
      <c r="D31" s="16" t="inlineStr">
        <is>
          <t>Medical &amp; First Aid</t>
        </is>
      </c>
      <c r="E31" s="16" t="inlineStr"/>
      <c r="F31" s="16" t="inlineStr"/>
      <c r="G31" s="15" t="inlineStr"/>
      <c r="H31" s="16" t="inlineStr"/>
      <c r="I31" s="16" t="inlineStr"/>
      <c r="J31" s="16" t="inlineStr">
        <is>
          <t>B — Good</t>
        </is>
      </c>
      <c r="K31" s="16" t="inlineStr">
        <is>
          <t>Active</t>
        </is>
      </c>
    </row>
    <row r="32" ht="22" customHeight="1">
      <c r="B32" s="8" t="inlineStr">
        <is>
          <t>VND/028</t>
        </is>
      </c>
      <c r="C32" s="9" t="inlineStr"/>
      <c r="D32" s="10" t="inlineStr">
        <is>
          <t>Security Systems</t>
        </is>
      </c>
      <c r="E32" s="10" t="inlineStr"/>
      <c r="F32" s="10" t="inlineStr"/>
      <c r="G32" s="9" t="inlineStr"/>
      <c r="H32" s="10" t="inlineStr"/>
      <c r="I32" s="10" t="inlineStr"/>
      <c r="J32" s="10" t="inlineStr">
        <is>
          <t>C — Average</t>
        </is>
      </c>
      <c r="K32" s="10" t="inlineStr">
        <is>
          <t>Active</t>
        </is>
      </c>
    </row>
    <row r="33" ht="22" customHeight="1"/>
    <row r="34" ht="24" customHeight="1">
      <c r="B34" s="33" t="inlineStr">
        <is>
          <t>VENDOR REGISTER SUMMARY</t>
        </is>
      </c>
    </row>
    <row r="35" ht="22" customHeight="1">
      <c r="B35" s="22" t="inlineStr">
        <is>
          <t>Total Approved Vendors</t>
        </is>
      </c>
      <c r="F35" s="35">
        <f>COUNTA(B5:B32)</f>
        <v/>
      </c>
    </row>
    <row r="36" ht="22" customHeight="1">
      <c r="B36" s="24" t="inlineStr">
        <is>
          <t>Active Vendors</t>
        </is>
      </c>
      <c r="F36" s="36">
        <f>COUNTIF(K5:K32,"Active")</f>
        <v/>
      </c>
    </row>
    <row r="37" ht="22" customHeight="1">
      <c r="B37" s="22" t="inlineStr">
        <is>
          <t>Blacklisted / Debarred</t>
        </is>
      </c>
      <c r="F37" s="35">
        <f>COUNTIF(K5:K32,"Blacklisted")</f>
        <v/>
      </c>
    </row>
    <row r="38">
      <c r="B38" s="24" t="inlineStr">
        <is>
          <t>'A' Grade Vendors</t>
        </is>
      </c>
      <c r="F38" s="36">
        <f>COUNTIF(J5:J32,"A — Excellent")</f>
        <v/>
      </c>
    </row>
    <row r="39">
      <c r="B39" s="22" t="inlineStr">
        <is>
          <t>Vendors by Category — ICT</t>
        </is>
      </c>
      <c r="F39" s="35">
        <f>COUNTIF(D5:D32,"ICT Hardware &amp; Peripherals")</f>
        <v/>
      </c>
    </row>
    <row r="40">
      <c r="B40" s="24" t="inlineStr">
        <is>
          <t>Vendors Due for Annual Renewal</t>
        </is>
      </c>
      <c r="F40" s="36" t="inlineStr"/>
    </row>
  </sheetData>
  <mergeCells count="15">
    <mergeCell ref="B36:E36"/>
    <mergeCell ref="B40:E40"/>
    <mergeCell ref="F38:K38"/>
    <mergeCell ref="B35:E35"/>
    <mergeCell ref="F36:K36"/>
    <mergeCell ref="B37:E37"/>
    <mergeCell ref="B38:E38"/>
    <mergeCell ref="F40:K40"/>
    <mergeCell ref="B39:E39"/>
    <mergeCell ref="F35:K35"/>
    <mergeCell ref="B2:K2"/>
    <mergeCell ref="B34:K34"/>
    <mergeCell ref="F39:K39"/>
    <mergeCell ref="B3:K3"/>
    <mergeCell ref="F37:K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K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PSC-13: QUOTATION COMPARATIVE STATEMENT</t>
        </is>
      </c>
    </row>
    <row r="3" ht="20" customHeight="1">
      <c r="B3" s="17" t="inlineStr">
        <is>
          <t>Mandatory for all purchases &gt; ₹10,000. Minimum 3 quotations required. Comparative statement to be signed by PSC Coordinator and at least 2 PSC members before PO is raised.</t>
        </is>
      </c>
    </row>
    <row r="4" ht="25" customHeight="1">
      <c r="B4" s="2" t="inlineStr">
        <is>
          <t>Indent Ref.: _______  Item Description: _______  Quantity: _______  Date of Comparative: _______</t>
        </is>
      </c>
    </row>
    <row r="5" ht="22" customHeight="1">
      <c r="B5" s="13" t="inlineStr">
        <is>
          <t>Sl.</t>
        </is>
      </c>
      <c r="C5" s="13" t="inlineStr">
        <is>
          <t>Specification / Feature</t>
        </is>
      </c>
      <c r="D5" s="13" t="inlineStr">
        <is>
          <t>Required
Spec.</t>
        </is>
      </c>
      <c r="E5" s="13" t="inlineStr">
        <is>
          <t>Vendor 1
Name:</t>
        </is>
      </c>
      <c r="F5" s="13" t="inlineStr">
        <is>
          <t>Vendor 2
Name:</t>
        </is>
      </c>
      <c r="G5" s="13" t="inlineStr">
        <is>
          <t>Vendor 3
Name:</t>
        </is>
      </c>
      <c r="H5" s="13" t="inlineStr">
        <is>
          <t>Vendor 4
(if any):</t>
        </is>
      </c>
      <c r="I5" s="13" t="inlineStr">
        <is>
          <t>Recommended
Vendor</t>
        </is>
      </c>
      <c r="J5" s="13" t="inlineStr">
        <is>
          <t>Reason for
Recommendation</t>
        </is>
      </c>
      <c r="K5" s="13" t="inlineStr">
        <is>
          <t>PSC
Decision</t>
        </is>
      </c>
    </row>
    <row r="6" ht="22" customHeight="1">
      <c r="B6" s="14" t="n">
        <v>1</v>
      </c>
      <c r="C6" s="15" t="inlineStr">
        <is>
          <t>Unit Price (₹ per unit — incl. GST)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5" t="inlineStr"/>
      <c r="K6" s="16" t="inlineStr"/>
    </row>
    <row r="7" ht="22" customHeight="1">
      <c r="B7" s="8" t="n">
        <v>2</v>
      </c>
      <c r="C7" s="9" t="inlineStr">
        <is>
          <t>Quantity Available / Delivery Time</t>
        </is>
      </c>
      <c r="D7" s="10" t="inlineStr"/>
      <c r="E7" s="10" t="inlineStr"/>
      <c r="F7" s="10" t="inlineStr"/>
      <c r="G7" s="10" t="inlineStr"/>
      <c r="H7" s="10" t="inlineStr"/>
      <c r="I7" s="10" t="inlineStr"/>
      <c r="J7" s="9" t="inlineStr"/>
      <c r="K7" s="10" t="inlineStr"/>
    </row>
    <row r="8" ht="22" customHeight="1">
      <c r="B8" s="14" t="n">
        <v>3</v>
      </c>
      <c r="C8" s="15" t="inlineStr">
        <is>
          <t>GST Rate (%)</t>
        </is>
      </c>
      <c r="D8" s="16" t="inlineStr"/>
      <c r="E8" s="16" t="inlineStr"/>
      <c r="F8" s="16" t="inlineStr"/>
      <c r="G8" s="16" t="inlineStr"/>
      <c r="H8" s="16" t="inlineStr"/>
      <c r="I8" s="16" t="inlineStr"/>
      <c r="J8" s="15" t="inlineStr"/>
      <c r="K8" s="16" t="inlineStr"/>
    </row>
    <row r="9" ht="22" customHeight="1">
      <c r="B9" s="8" t="n">
        <v>4</v>
      </c>
      <c r="C9" s="9" t="inlineStr">
        <is>
          <t>Discount Offered (%)</t>
        </is>
      </c>
      <c r="D9" s="10" t="inlineStr"/>
      <c r="E9" s="10" t="inlineStr"/>
      <c r="F9" s="10" t="inlineStr"/>
      <c r="G9" s="10" t="inlineStr"/>
      <c r="H9" s="10" t="inlineStr"/>
      <c r="I9" s="10" t="inlineStr"/>
      <c r="J9" s="9" t="inlineStr"/>
      <c r="K9" s="10" t="inlineStr"/>
    </row>
    <row r="10" ht="22" customHeight="1">
      <c r="B10" s="14" t="n">
        <v>5</v>
      </c>
      <c r="C10" s="15" t="inlineStr">
        <is>
          <t>Warranty / Guarantee Period</t>
        </is>
      </c>
      <c r="D10" s="16" t="inlineStr"/>
      <c r="E10" s="16" t="inlineStr"/>
      <c r="F10" s="16" t="inlineStr"/>
      <c r="G10" s="16" t="inlineStr"/>
      <c r="H10" s="16" t="inlineStr"/>
      <c r="I10" s="16" t="inlineStr"/>
      <c r="J10" s="15" t="inlineStr"/>
      <c r="K10" s="16" t="inlineStr"/>
    </row>
    <row r="11" ht="22" customHeight="1">
      <c r="B11" s="8" t="n">
        <v>6</v>
      </c>
      <c r="C11" s="9" t="inlineStr">
        <is>
          <t>Installation / Commissioning (incl.?)</t>
        </is>
      </c>
      <c r="D11" s="10" t="inlineStr"/>
      <c r="E11" s="10" t="inlineStr"/>
      <c r="F11" s="10" t="inlineStr"/>
      <c r="G11" s="10" t="inlineStr"/>
      <c r="H11" s="10" t="inlineStr"/>
      <c r="I11" s="10" t="inlineStr"/>
      <c r="J11" s="9" t="inlineStr"/>
      <c r="K11" s="10" t="inlineStr"/>
    </row>
    <row r="12" ht="22" customHeight="1">
      <c r="B12" s="14" t="n">
        <v>7</v>
      </c>
      <c r="C12" s="15" t="inlineStr">
        <is>
          <t>AMC / Service Contract Terms</t>
        </is>
      </c>
      <c r="D12" s="16" t="inlineStr"/>
      <c r="E12" s="16" t="inlineStr"/>
      <c r="F12" s="16" t="inlineStr"/>
      <c r="G12" s="16" t="inlineStr"/>
      <c r="H12" s="16" t="inlineStr"/>
      <c r="I12" s="16" t="inlineStr"/>
      <c r="J12" s="15" t="inlineStr"/>
      <c r="K12" s="16" t="inlineStr"/>
    </row>
    <row r="13" ht="22" customHeight="1">
      <c r="B13" s="8" t="n">
        <v>8</v>
      </c>
      <c r="C13" s="9" t="inlineStr">
        <is>
          <t>Brand &amp; Model / Catalogue Reference</t>
        </is>
      </c>
      <c r="D13" s="10" t="inlineStr"/>
      <c r="E13" s="10" t="inlineStr"/>
      <c r="F13" s="10" t="inlineStr"/>
      <c r="G13" s="10" t="inlineStr"/>
      <c r="H13" s="10" t="inlineStr"/>
      <c r="I13" s="10" t="inlineStr"/>
      <c r="J13" s="9" t="inlineStr"/>
      <c r="K13" s="10" t="inlineStr"/>
    </row>
    <row r="14" ht="22" customHeight="1">
      <c r="B14" s="14" t="n">
        <v>9</v>
      </c>
      <c r="C14" s="15" t="inlineStr">
        <is>
          <t>Country of Origin</t>
        </is>
      </c>
      <c r="D14" s="16" t="inlineStr"/>
      <c r="E14" s="16" t="inlineStr"/>
      <c r="F14" s="16" t="inlineStr"/>
      <c r="G14" s="16" t="inlineStr"/>
      <c r="H14" s="16" t="inlineStr"/>
      <c r="I14" s="16" t="inlineStr"/>
      <c r="J14" s="15" t="inlineStr"/>
      <c r="K14" s="16" t="inlineStr"/>
    </row>
    <row r="15" ht="22" customHeight="1">
      <c r="B15" s="8" t="n">
        <v>10</v>
      </c>
      <c r="C15" s="9" t="inlineStr">
        <is>
          <t>Compliance with Technical Specs</t>
        </is>
      </c>
      <c r="D15" s="10" t="inlineStr"/>
      <c r="E15" s="10" t="inlineStr"/>
      <c r="F15" s="10" t="inlineStr"/>
      <c r="G15" s="10" t="inlineStr"/>
      <c r="H15" s="10" t="inlineStr"/>
      <c r="I15" s="10" t="inlineStr"/>
      <c r="J15" s="9" t="inlineStr"/>
      <c r="K15" s="10" t="inlineStr"/>
    </row>
    <row r="16" ht="22" customHeight="1">
      <c r="B16" s="14" t="n">
        <v>11</v>
      </c>
      <c r="C16" s="15" t="inlineStr">
        <is>
          <t>Past Supply Track Record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5" t="inlineStr"/>
      <c r="K16" s="16" t="inlineStr"/>
    </row>
    <row r="17" ht="22" customHeight="1">
      <c r="B17" s="8" t="n">
        <v>12</v>
      </c>
      <c r="C17" s="9" t="inlineStr">
        <is>
          <t>Payment Terms</t>
        </is>
      </c>
      <c r="D17" s="10" t="inlineStr"/>
      <c r="E17" s="10" t="inlineStr"/>
      <c r="F17" s="10" t="inlineStr"/>
      <c r="G17" s="10" t="inlineStr"/>
      <c r="H17" s="10" t="inlineStr"/>
      <c r="I17" s="10" t="inlineStr"/>
      <c r="J17" s="9" t="inlineStr"/>
      <c r="K17" s="10" t="inlineStr"/>
    </row>
    <row r="18" ht="22" customHeight="1">
      <c r="B18" s="14" t="n">
        <v>13</v>
      </c>
      <c r="C18" s="15" t="inlineStr">
        <is>
          <t>Delivery Location (Ex-works / Delivered)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5" t="inlineStr"/>
      <c r="K18" s="16" t="inlineStr"/>
    </row>
    <row r="19" ht="22" customHeight="1">
      <c r="B19" s="14" t="n">
        <v>14</v>
      </c>
      <c r="C19" s="22" t="inlineStr">
        <is>
          <t>TOTAL EVALUATED COST (₹)</t>
        </is>
      </c>
      <c r="D19" s="14" t="inlineStr"/>
      <c r="E19" s="14" t="inlineStr"/>
      <c r="F19" s="14" t="inlineStr"/>
      <c r="G19" s="14" t="inlineStr"/>
      <c r="H19" s="14" t="inlineStr"/>
      <c r="I19" s="14" t="inlineStr"/>
      <c r="J19" s="22" t="inlineStr"/>
      <c r="K19" s="14" t="inlineStr"/>
    </row>
    <row r="20" ht="22" customHeight="1">
      <c r="B20" s="14" t="n">
        <v>15</v>
      </c>
      <c r="C20" s="22" t="inlineStr">
        <is>
          <t>RANK (1 = Best)</t>
        </is>
      </c>
      <c r="D20" s="14" t="inlineStr"/>
      <c r="E20" s="14" t="inlineStr"/>
      <c r="F20" s="14" t="inlineStr"/>
      <c r="G20" s="14" t="inlineStr"/>
      <c r="H20" s="14" t="inlineStr"/>
      <c r="I20" s="14" t="inlineStr"/>
      <c r="J20" s="22" t="inlineStr"/>
      <c r="K20" s="14" t="inlineStr"/>
    </row>
    <row r="21" ht="22" customHeight="1"/>
    <row r="22" ht="22" customHeight="1">
      <c r="B22" s="37" t="inlineStr">
        <is>
          <t>L1 (Lowest Qualifying Vendor) Identified: _______    Reason L1 not selected (if applicable): _______    PSC Coordinator Signature: ___________________</t>
        </is>
      </c>
    </row>
    <row r="23" ht="22" customHeight="1">
      <c r="B23" s="28" t="inlineStr">
        <is>
          <t>Member 1 Signature: ___________________    Member 2 Signature: ___________________    Chairperson Approval: ___________________    Date: ___________________</t>
        </is>
      </c>
    </row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</sheetData>
  <mergeCells count="5">
    <mergeCell ref="B23:K23"/>
    <mergeCell ref="B22:K22"/>
    <mergeCell ref="B4:K4"/>
    <mergeCell ref="B2:K2"/>
    <mergeCell ref="B3:K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L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3" customWidth="1" min="13" max="13"/>
  </cols>
  <sheetData>
    <row r="1" ht="10" customHeight="1"/>
    <row r="2" ht="48" customHeight="1">
      <c r="B2" s="12" t="inlineStr">
        <is>
          <t>PSC-18: PURCHASE ORDER REGISTER</t>
        </is>
      </c>
    </row>
    <row r="3" ht="20" customHeight="1">
      <c r="B3" s="2" t="inlineStr">
        <is>
          <t>A.Y.: _______  PSC Coordinator: ___________________  Finance Officer: ___________________</t>
        </is>
      </c>
    </row>
    <row r="4" ht="25" customHeight="1">
      <c r="B4" s="13" t="inlineStr">
        <is>
          <t>PO
Ref.</t>
        </is>
      </c>
      <c r="C4" s="13" t="inlineStr">
        <is>
          <t>Item Description</t>
        </is>
      </c>
      <c r="D4" s="13" t="inlineStr">
        <is>
          <t>Vendor
Name</t>
        </is>
      </c>
      <c r="E4" s="13" t="inlineStr">
        <is>
          <t>Category</t>
        </is>
      </c>
      <c r="F4" s="13" t="inlineStr">
        <is>
          <t>PO Date</t>
        </is>
      </c>
      <c r="G4" s="13" t="inlineStr">
        <is>
          <t>Quantity</t>
        </is>
      </c>
      <c r="H4" s="13" t="inlineStr">
        <is>
          <t>Unit
Price (₹)</t>
        </is>
      </c>
      <c r="I4" s="13" t="inlineStr">
        <is>
          <t>Total
Value (₹)</t>
        </is>
      </c>
      <c r="J4" s="13" t="inlineStr">
        <is>
          <t>Delivery
Deadline</t>
        </is>
      </c>
      <c r="K4" s="13" t="inlineStr">
        <is>
          <t>GRN
Date</t>
        </is>
      </c>
      <c r="L4" s="13" t="inlineStr">
        <is>
          <t>PO
Status</t>
        </is>
      </c>
    </row>
    <row r="5" ht="22" customHeight="1">
      <c r="B5" s="14" t="inlineStr">
        <is>
          <t>PO/2024/0001</t>
        </is>
      </c>
      <c r="C5" s="15" t="inlineStr"/>
      <c r="D5" s="15" t="inlineStr"/>
      <c r="E5" s="16" t="inlineStr">
        <is>
          <t>ICT &amp; Computers</t>
        </is>
      </c>
      <c r="F5" s="16" t="inlineStr"/>
      <c r="G5" s="16" t="inlineStr"/>
      <c r="H5" s="16" t="inlineStr"/>
      <c r="I5" s="38">
        <f>IFERROR(G5*H5,"")</f>
        <v/>
      </c>
      <c r="J5" s="16" t="inlineStr"/>
      <c r="K5" s="16" t="inlineStr"/>
      <c r="L5" s="16" t="inlineStr">
        <is>
          <t>Open — Awaiting Delivery</t>
        </is>
      </c>
    </row>
    <row r="6" ht="22" customHeight="1">
      <c r="B6" s="8" t="inlineStr">
        <is>
          <t>PO/2024/0002</t>
        </is>
      </c>
      <c r="C6" s="9" t="inlineStr"/>
      <c r="D6" s="9" t="inlineStr"/>
      <c r="E6" s="10" t="inlineStr">
        <is>
          <t>Lab Equipment</t>
        </is>
      </c>
      <c r="F6" s="10" t="inlineStr"/>
      <c r="G6" s="10" t="inlineStr"/>
      <c r="H6" s="10" t="inlineStr"/>
      <c r="I6" s="36">
        <f>IFERROR(G6*H6,"")</f>
        <v/>
      </c>
      <c r="J6" s="10" t="inlineStr"/>
      <c r="K6" s="10" t="inlineStr"/>
      <c r="L6" s="10" t="inlineStr">
        <is>
          <t>Partially Delivered</t>
        </is>
      </c>
    </row>
    <row r="7" ht="22" customHeight="1">
      <c r="B7" s="14" t="inlineStr">
        <is>
          <t>PO/2024/0003</t>
        </is>
      </c>
      <c r="C7" s="15" t="inlineStr"/>
      <c r="D7" s="15" t="inlineStr"/>
      <c r="E7" s="16" t="inlineStr">
        <is>
          <t>Lab Consumables / Chemicals</t>
        </is>
      </c>
      <c r="F7" s="16" t="inlineStr"/>
      <c r="G7" s="16" t="inlineStr"/>
      <c r="H7" s="16" t="inlineStr"/>
      <c r="I7" s="38">
        <f>IFERROR(G7*H7,"")</f>
        <v/>
      </c>
      <c r="J7" s="16" t="inlineStr"/>
      <c r="K7" s="16" t="inlineStr"/>
      <c r="L7" s="16" t="inlineStr">
        <is>
          <t>Fully Delivered — GRN Done</t>
        </is>
      </c>
    </row>
    <row r="8" ht="22" customHeight="1">
      <c r="B8" s="8" t="inlineStr">
        <is>
          <t>PO/2024/0004</t>
        </is>
      </c>
      <c r="C8" s="9" t="inlineStr"/>
      <c r="D8" s="9" t="inlineStr"/>
      <c r="E8" s="10" t="inlineStr">
        <is>
          <t>Furniture &amp; Fixtures</t>
        </is>
      </c>
      <c r="F8" s="10" t="inlineStr"/>
      <c r="G8" s="10" t="inlineStr"/>
      <c r="H8" s="10" t="inlineStr"/>
      <c r="I8" s="36">
        <f>IFERROR(G8*H8,"")</f>
        <v/>
      </c>
      <c r="J8" s="10" t="inlineStr"/>
      <c r="K8" s="10" t="inlineStr"/>
      <c r="L8" s="10" t="inlineStr">
        <is>
          <t>Payment Processed</t>
        </is>
      </c>
    </row>
    <row r="9" ht="22" customHeight="1">
      <c r="B9" s="14" t="inlineStr">
        <is>
          <t>PO/2024/0005</t>
        </is>
      </c>
      <c r="C9" s="15" t="inlineStr"/>
      <c r="D9" s="15" t="inlineStr"/>
      <c r="E9" s="16" t="inlineStr">
        <is>
          <t>Office Stationery</t>
        </is>
      </c>
      <c r="F9" s="16" t="inlineStr"/>
      <c r="G9" s="16" t="inlineStr"/>
      <c r="H9" s="16" t="inlineStr"/>
      <c r="I9" s="38">
        <f>IFERROR(G9*H9,"")</f>
        <v/>
      </c>
      <c r="J9" s="16" t="inlineStr"/>
      <c r="K9" s="16" t="inlineStr"/>
      <c r="L9" s="16" t="inlineStr">
        <is>
          <t>Cancelled</t>
        </is>
      </c>
    </row>
    <row r="10" ht="22" customHeight="1">
      <c r="B10" s="8" t="inlineStr">
        <is>
          <t>PO/2024/0006</t>
        </is>
      </c>
      <c r="C10" s="9" t="inlineStr"/>
      <c r="D10" s="9" t="inlineStr"/>
      <c r="E10" s="10" t="inlineStr">
        <is>
          <t>Library Books &amp; Journals</t>
        </is>
      </c>
      <c r="F10" s="10" t="inlineStr"/>
      <c r="G10" s="10" t="inlineStr"/>
      <c r="H10" s="10" t="inlineStr"/>
      <c r="I10" s="36">
        <f>IFERROR(G10*H10,"")</f>
        <v/>
      </c>
      <c r="J10" s="10" t="inlineStr"/>
      <c r="K10" s="10" t="inlineStr"/>
      <c r="L10" s="10" t="inlineStr">
        <is>
          <t>On Hold</t>
        </is>
      </c>
    </row>
    <row r="11" ht="22" customHeight="1">
      <c r="B11" s="14" t="inlineStr">
        <is>
          <t>PO/2024/0007</t>
        </is>
      </c>
      <c r="C11" s="15" t="inlineStr"/>
      <c r="D11" s="15" t="inlineStr"/>
      <c r="E11" s="16" t="inlineStr">
        <is>
          <t>Software &amp; Licences</t>
        </is>
      </c>
      <c r="F11" s="16" t="inlineStr"/>
      <c r="G11" s="16" t="inlineStr"/>
      <c r="H11" s="16" t="inlineStr"/>
      <c r="I11" s="38">
        <f>IFERROR(G11*H11,"")</f>
        <v/>
      </c>
      <c r="J11" s="16" t="inlineStr"/>
      <c r="K11" s="16" t="inlineStr"/>
      <c r="L11" s="16" t="inlineStr">
        <is>
          <t>Open — Awaiting Delivery</t>
        </is>
      </c>
    </row>
    <row r="12" ht="22" customHeight="1">
      <c r="B12" s="8" t="inlineStr">
        <is>
          <t>PO/2024/0008</t>
        </is>
      </c>
      <c r="C12" s="9" t="inlineStr"/>
      <c r="D12" s="9" t="inlineStr"/>
      <c r="E12" s="10" t="inlineStr">
        <is>
          <t>Civil &amp; Maintenance</t>
        </is>
      </c>
      <c r="F12" s="10" t="inlineStr"/>
      <c r="G12" s="10" t="inlineStr"/>
      <c r="H12" s="10" t="inlineStr"/>
      <c r="I12" s="36">
        <f>IFERROR(G12*H12,"")</f>
        <v/>
      </c>
      <c r="J12" s="10" t="inlineStr"/>
      <c r="K12" s="10" t="inlineStr"/>
      <c r="L12" s="10" t="inlineStr">
        <is>
          <t>Partially Delivered</t>
        </is>
      </c>
    </row>
    <row r="13" ht="22" customHeight="1">
      <c r="B13" s="14" t="inlineStr">
        <is>
          <t>PO/2024/0009</t>
        </is>
      </c>
      <c r="C13" s="15" t="inlineStr"/>
      <c r="D13" s="15" t="inlineStr"/>
      <c r="E13" s="16" t="inlineStr">
        <is>
          <t>Electrical &amp; Electronics</t>
        </is>
      </c>
      <c r="F13" s="16" t="inlineStr"/>
      <c r="G13" s="16" t="inlineStr"/>
      <c r="H13" s="16" t="inlineStr"/>
      <c r="I13" s="38">
        <f>IFERROR(G13*H13,"")</f>
        <v/>
      </c>
      <c r="J13" s="16" t="inlineStr"/>
      <c r="K13" s="16" t="inlineStr"/>
      <c r="L13" s="16" t="inlineStr">
        <is>
          <t>Fully Delivered — GRN Done</t>
        </is>
      </c>
    </row>
    <row r="14" ht="22" customHeight="1">
      <c r="B14" s="8" t="inlineStr">
        <is>
          <t>PO/2024/0010</t>
        </is>
      </c>
      <c r="C14" s="9" t="inlineStr"/>
      <c r="D14" s="9" t="inlineStr"/>
      <c r="E14" s="10" t="inlineStr">
        <is>
          <t>Sports Equipment</t>
        </is>
      </c>
      <c r="F14" s="10" t="inlineStr"/>
      <c r="G14" s="10" t="inlineStr"/>
      <c r="H14" s="10" t="inlineStr"/>
      <c r="I14" s="36">
        <f>IFERROR(G14*H14,"")</f>
        <v/>
      </c>
      <c r="J14" s="10" t="inlineStr"/>
      <c r="K14" s="10" t="inlineStr"/>
      <c r="L14" s="10" t="inlineStr">
        <is>
          <t>Payment Processed</t>
        </is>
      </c>
    </row>
    <row r="15" ht="22" customHeight="1">
      <c r="B15" s="14" t="inlineStr">
        <is>
          <t>PO/2024/0011</t>
        </is>
      </c>
      <c r="C15" s="15" t="inlineStr"/>
      <c r="D15" s="15" t="inlineStr"/>
      <c r="E15" s="16" t="inlineStr">
        <is>
          <t>Medical / First Aid</t>
        </is>
      </c>
      <c r="F15" s="16" t="inlineStr"/>
      <c r="G15" s="16" t="inlineStr"/>
      <c r="H15" s="16" t="inlineStr"/>
      <c r="I15" s="38">
        <f>IFERROR(G15*H15,"")</f>
        <v/>
      </c>
      <c r="J15" s="16" t="inlineStr"/>
      <c r="K15" s="16" t="inlineStr"/>
      <c r="L15" s="16" t="inlineStr">
        <is>
          <t>Cancelled</t>
        </is>
      </c>
    </row>
    <row r="16" ht="22" customHeight="1">
      <c r="B16" s="8" t="inlineStr">
        <is>
          <t>PO/2024/0012</t>
        </is>
      </c>
      <c r="C16" s="9" t="inlineStr"/>
      <c r="D16" s="9" t="inlineStr"/>
      <c r="E16" s="10" t="inlineStr">
        <is>
          <t>Printing &amp; Reprographics</t>
        </is>
      </c>
      <c r="F16" s="10" t="inlineStr"/>
      <c r="G16" s="10" t="inlineStr"/>
      <c r="H16" s="10" t="inlineStr"/>
      <c r="I16" s="36">
        <f>IFERROR(G16*H16,"")</f>
        <v/>
      </c>
      <c r="J16" s="10" t="inlineStr"/>
      <c r="K16" s="10" t="inlineStr"/>
      <c r="L16" s="10" t="inlineStr">
        <is>
          <t>On Hold</t>
        </is>
      </c>
    </row>
    <row r="17" ht="22" customHeight="1">
      <c r="B17" s="14" t="inlineStr">
        <is>
          <t>PO/2024/0013</t>
        </is>
      </c>
      <c r="C17" s="15" t="inlineStr"/>
      <c r="D17" s="15" t="inlineStr"/>
      <c r="E17" s="16" t="inlineStr">
        <is>
          <t>Cleaning &amp; Housekeeping</t>
        </is>
      </c>
      <c r="F17" s="16" t="inlineStr"/>
      <c r="G17" s="16" t="inlineStr"/>
      <c r="H17" s="16" t="inlineStr"/>
      <c r="I17" s="38">
        <f>IFERROR(G17*H17,"")</f>
        <v/>
      </c>
      <c r="J17" s="16" t="inlineStr"/>
      <c r="K17" s="16" t="inlineStr"/>
      <c r="L17" s="16" t="inlineStr">
        <is>
          <t>Open — Awaiting Delivery</t>
        </is>
      </c>
    </row>
    <row r="18" ht="22" customHeight="1">
      <c r="B18" s="8" t="inlineStr">
        <is>
          <t>PO/2024/0014</t>
        </is>
      </c>
      <c r="C18" s="9" t="inlineStr"/>
      <c r="D18" s="9" t="inlineStr"/>
      <c r="E18" s="10" t="inlineStr">
        <is>
          <t>Safety &amp; Security Equipment</t>
        </is>
      </c>
      <c r="F18" s="10" t="inlineStr"/>
      <c r="G18" s="10" t="inlineStr"/>
      <c r="H18" s="10" t="inlineStr"/>
      <c r="I18" s="36">
        <f>IFERROR(G18*H18,"")</f>
        <v/>
      </c>
      <c r="J18" s="10" t="inlineStr"/>
      <c r="K18" s="10" t="inlineStr"/>
      <c r="L18" s="10" t="inlineStr">
        <is>
          <t>Partially Delivered</t>
        </is>
      </c>
    </row>
    <row r="19" ht="22" customHeight="1">
      <c r="B19" s="14" t="inlineStr">
        <is>
          <t>PO/2025/0015</t>
        </is>
      </c>
      <c r="C19" s="15" t="inlineStr"/>
      <c r="D19" s="15" t="inlineStr"/>
      <c r="E19" s="16" t="inlineStr">
        <is>
          <t>Miscellaneous</t>
        </is>
      </c>
      <c r="F19" s="16" t="inlineStr"/>
      <c r="G19" s="16" t="inlineStr"/>
      <c r="H19" s="16" t="inlineStr"/>
      <c r="I19" s="38">
        <f>IFERROR(G19*H19,"")</f>
        <v/>
      </c>
      <c r="J19" s="16" t="inlineStr"/>
      <c r="K19" s="16" t="inlineStr"/>
      <c r="L19" s="16" t="inlineStr">
        <is>
          <t>Fully Delivered — GRN Done</t>
        </is>
      </c>
    </row>
    <row r="20" ht="22" customHeight="1">
      <c r="B20" s="8" t="inlineStr">
        <is>
          <t>PO/2025/0016</t>
        </is>
      </c>
      <c r="C20" s="9" t="inlineStr"/>
      <c r="D20" s="9" t="inlineStr"/>
      <c r="E20" s="10" t="inlineStr">
        <is>
          <t>ICT &amp; Computers</t>
        </is>
      </c>
      <c r="F20" s="10" t="inlineStr"/>
      <c r="G20" s="10" t="inlineStr"/>
      <c r="H20" s="10" t="inlineStr"/>
      <c r="I20" s="36">
        <f>IFERROR(G20*H20,"")</f>
        <v/>
      </c>
      <c r="J20" s="10" t="inlineStr"/>
      <c r="K20" s="10" t="inlineStr"/>
      <c r="L20" s="10" t="inlineStr">
        <is>
          <t>Payment Processed</t>
        </is>
      </c>
    </row>
    <row r="21" ht="22" customHeight="1">
      <c r="B21" s="14" t="inlineStr">
        <is>
          <t>PO/2025/0017</t>
        </is>
      </c>
      <c r="C21" s="15" t="inlineStr"/>
      <c r="D21" s="15" t="inlineStr"/>
      <c r="E21" s="16" t="inlineStr">
        <is>
          <t>Lab Equipment</t>
        </is>
      </c>
      <c r="F21" s="16" t="inlineStr"/>
      <c r="G21" s="16" t="inlineStr"/>
      <c r="H21" s="16" t="inlineStr"/>
      <c r="I21" s="38">
        <f>IFERROR(G21*H21,"")</f>
        <v/>
      </c>
      <c r="J21" s="16" t="inlineStr"/>
      <c r="K21" s="16" t="inlineStr"/>
      <c r="L21" s="16" t="inlineStr">
        <is>
          <t>Cancelled</t>
        </is>
      </c>
    </row>
    <row r="22" ht="22" customHeight="1">
      <c r="B22" s="8" t="inlineStr">
        <is>
          <t>PO/2025/0018</t>
        </is>
      </c>
      <c r="C22" s="9" t="inlineStr"/>
      <c r="D22" s="9" t="inlineStr"/>
      <c r="E22" s="10" t="inlineStr">
        <is>
          <t>Lab Consumables / Chemicals</t>
        </is>
      </c>
      <c r="F22" s="10" t="inlineStr"/>
      <c r="G22" s="10" t="inlineStr"/>
      <c r="H22" s="10" t="inlineStr"/>
      <c r="I22" s="36">
        <f>IFERROR(G22*H22,"")</f>
        <v/>
      </c>
      <c r="J22" s="10" t="inlineStr"/>
      <c r="K22" s="10" t="inlineStr"/>
      <c r="L22" s="10" t="inlineStr">
        <is>
          <t>On Hold</t>
        </is>
      </c>
    </row>
    <row r="23" ht="22" customHeight="1">
      <c r="B23" s="14" t="inlineStr">
        <is>
          <t>PO/2025/0019</t>
        </is>
      </c>
      <c r="C23" s="15" t="inlineStr"/>
      <c r="D23" s="15" t="inlineStr"/>
      <c r="E23" s="16" t="inlineStr">
        <is>
          <t>Furniture &amp; Fixtures</t>
        </is>
      </c>
      <c r="F23" s="16" t="inlineStr"/>
      <c r="G23" s="16" t="inlineStr"/>
      <c r="H23" s="16" t="inlineStr"/>
      <c r="I23" s="38">
        <f>IFERROR(G23*H23,"")</f>
        <v/>
      </c>
      <c r="J23" s="16" t="inlineStr"/>
      <c r="K23" s="16" t="inlineStr"/>
      <c r="L23" s="16" t="inlineStr">
        <is>
          <t>Open — Awaiting Delivery</t>
        </is>
      </c>
    </row>
    <row r="24" ht="22" customHeight="1">
      <c r="B24" s="8" t="inlineStr">
        <is>
          <t>PO/2025/0020</t>
        </is>
      </c>
      <c r="C24" s="9" t="inlineStr"/>
      <c r="D24" s="9" t="inlineStr"/>
      <c r="E24" s="10" t="inlineStr">
        <is>
          <t>Office Stationery</t>
        </is>
      </c>
      <c r="F24" s="10" t="inlineStr"/>
      <c r="G24" s="10" t="inlineStr"/>
      <c r="H24" s="10" t="inlineStr"/>
      <c r="I24" s="36">
        <f>IFERROR(G24*H24,"")</f>
        <v/>
      </c>
      <c r="J24" s="10" t="inlineStr"/>
      <c r="K24" s="10" t="inlineStr"/>
      <c r="L24" s="10" t="inlineStr">
        <is>
          <t>Partially Delivered</t>
        </is>
      </c>
    </row>
    <row r="25" ht="22" customHeight="1">
      <c r="B25" s="14" t="inlineStr">
        <is>
          <t>PO/2025/0021</t>
        </is>
      </c>
      <c r="C25" s="15" t="inlineStr"/>
      <c r="D25" s="15" t="inlineStr"/>
      <c r="E25" s="16" t="inlineStr">
        <is>
          <t>Library Books &amp; Journals</t>
        </is>
      </c>
      <c r="F25" s="16" t="inlineStr"/>
      <c r="G25" s="16" t="inlineStr"/>
      <c r="H25" s="16" t="inlineStr"/>
      <c r="I25" s="38">
        <f>IFERROR(G25*H25,"")</f>
        <v/>
      </c>
      <c r="J25" s="16" t="inlineStr"/>
      <c r="K25" s="16" t="inlineStr"/>
      <c r="L25" s="16" t="inlineStr">
        <is>
          <t>Fully Delivered — GRN Done</t>
        </is>
      </c>
    </row>
    <row r="26" ht="22" customHeight="1">
      <c r="B26" s="8" t="inlineStr">
        <is>
          <t>PO/2025/0022</t>
        </is>
      </c>
      <c r="C26" s="9" t="inlineStr"/>
      <c r="D26" s="9" t="inlineStr"/>
      <c r="E26" s="10" t="inlineStr">
        <is>
          <t>Software &amp; Licences</t>
        </is>
      </c>
      <c r="F26" s="10" t="inlineStr"/>
      <c r="G26" s="10" t="inlineStr"/>
      <c r="H26" s="10" t="inlineStr"/>
      <c r="I26" s="36">
        <f>IFERROR(G26*H26,"")</f>
        <v/>
      </c>
      <c r="J26" s="10" t="inlineStr"/>
      <c r="K26" s="10" t="inlineStr"/>
      <c r="L26" s="10" t="inlineStr">
        <is>
          <t>Payment Processed</t>
        </is>
      </c>
    </row>
    <row r="27" ht="22" customHeight="1">
      <c r="B27" s="14" t="inlineStr">
        <is>
          <t>PO/2025/0023</t>
        </is>
      </c>
      <c r="C27" s="15" t="inlineStr"/>
      <c r="D27" s="15" t="inlineStr"/>
      <c r="E27" s="16" t="inlineStr">
        <is>
          <t>Civil &amp; Maintenance</t>
        </is>
      </c>
      <c r="F27" s="16" t="inlineStr"/>
      <c r="G27" s="16" t="inlineStr"/>
      <c r="H27" s="16" t="inlineStr"/>
      <c r="I27" s="38">
        <f>IFERROR(G27*H27,"")</f>
        <v/>
      </c>
      <c r="J27" s="16" t="inlineStr"/>
      <c r="K27" s="16" t="inlineStr"/>
      <c r="L27" s="16" t="inlineStr">
        <is>
          <t>Cancelled</t>
        </is>
      </c>
    </row>
    <row r="28" ht="22" customHeight="1">
      <c r="B28" s="8" t="inlineStr">
        <is>
          <t>PO/2025/0024</t>
        </is>
      </c>
      <c r="C28" s="9" t="inlineStr"/>
      <c r="D28" s="9" t="inlineStr"/>
      <c r="E28" s="10" t="inlineStr">
        <is>
          <t>Electrical &amp; Electronics</t>
        </is>
      </c>
      <c r="F28" s="10" t="inlineStr"/>
      <c r="G28" s="10" t="inlineStr"/>
      <c r="H28" s="10" t="inlineStr"/>
      <c r="I28" s="36">
        <f>IFERROR(G28*H28,"")</f>
        <v/>
      </c>
      <c r="J28" s="10" t="inlineStr"/>
      <c r="K28" s="10" t="inlineStr"/>
      <c r="L28" s="10" t="inlineStr">
        <is>
          <t>On Hold</t>
        </is>
      </c>
    </row>
    <row r="29" ht="22" customHeight="1">
      <c r="B29" s="14" t="inlineStr">
        <is>
          <t>PO/2025/0025</t>
        </is>
      </c>
      <c r="C29" s="15" t="inlineStr"/>
      <c r="D29" s="15" t="inlineStr"/>
      <c r="E29" s="16" t="inlineStr">
        <is>
          <t>Sports Equipment</t>
        </is>
      </c>
      <c r="F29" s="16" t="inlineStr"/>
      <c r="G29" s="16" t="inlineStr"/>
      <c r="H29" s="16" t="inlineStr"/>
      <c r="I29" s="38">
        <f>IFERROR(G29*H29,"")</f>
        <v/>
      </c>
      <c r="J29" s="16" t="inlineStr"/>
      <c r="K29" s="16" t="inlineStr"/>
      <c r="L29" s="16" t="inlineStr">
        <is>
          <t>Open — Awaiting Delivery</t>
        </is>
      </c>
    </row>
    <row r="30" ht="22" customHeight="1">
      <c r="B30" s="8" t="inlineStr">
        <is>
          <t>PO/2025/0026</t>
        </is>
      </c>
      <c r="C30" s="9" t="inlineStr"/>
      <c r="D30" s="9" t="inlineStr"/>
      <c r="E30" s="10" t="inlineStr">
        <is>
          <t>Medical / First Aid</t>
        </is>
      </c>
      <c r="F30" s="10" t="inlineStr"/>
      <c r="G30" s="10" t="inlineStr"/>
      <c r="H30" s="10" t="inlineStr"/>
      <c r="I30" s="36">
        <f>IFERROR(G30*H30,"")</f>
        <v/>
      </c>
      <c r="J30" s="10" t="inlineStr"/>
      <c r="K30" s="10" t="inlineStr"/>
      <c r="L30" s="10" t="inlineStr">
        <is>
          <t>Partially Delivered</t>
        </is>
      </c>
    </row>
    <row r="31" ht="22" customHeight="1">
      <c r="B31" s="14" t="inlineStr">
        <is>
          <t>PO/2025/0027</t>
        </is>
      </c>
      <c r="C31" s="15" t="inlineStr"/>
      <c r="D31" s="15" t="inlineStr"/>
      <c r="E31" s="16" t="inlineStr">
        <is>
          <t>Printing &amp; Reprographics</t>
        </is>
      </c>
      <c r="F31" s="16" t="inlineStr"/>
      <c r="G31" s="16" t="inlineStr"/>
      <c r="H31" s="16" t="inlineStr"/>
      <c r="I31" s="38">
        <f>IFERROR(G31*H31,"")</f>
        <v/>
      </c>
      <c r="J31" s="16" t="inlineStr"/>
      <c r="K31" s="16" t="inlineStr"/>
      <c r="L31" s="16" t="inlineStr">
        <is>
          <t>Fully Delivered — GRN Done</t>
        </is>
      </c>
    </row>
    <row r="32" ht="22" customHeight="1">
      <c r="B32" s="8" t="inlineStr">
        <is>
          <t>PO/2025/0028</t>
        </is>
      </c>
      <c r="C32" s="9" t="inlineStr"/>
      <c r="D32" s="9" t="inlineStr"/>
      <c r="E32" s="10" t="inlineStr">
        <is>
          <t>Cleaning &amp; Housekeeping</t>
        </is>
      </c>
      <c r="F32" s="10" t="inlineStr"/>
      <c r="G32" s="10" t="inlineStr"/>
      <c r="H32" s="10" t="inlineStr"/>
      <c r="I32" s="36">
        <f>IFERROR(G32*H32,"")</f>
        <v/>
      </c>
      <c r="J32" s="10" t="inlineStr"/>
      <c r="K32" s="10" t="inlineStr"/>
      <c r="L32" s="10" t="inlineStr">
        <is>
          <t>Payment Processed</t>
        </is>
      </c>
    </row>
    <row r="33" ht="22" customHeight="1"/>
    <row r="34" ht="26" customHeight="1">
      <c r="B34" s="39" t="inlineStr">
        <is>
          <t>TOTAL PO VALUE</t>
        </is>
      </c>
      <c r="C34" s="40" t="n"/>
      <c r="D34" s="40" t="n"/>
      <c r="E34" s="40" t="n"/>
      <c r="F34" s="40" t="n"/>
      <c r="G34" s="40" t="n"/>
      <c r="H34" s="40" t="n"/>
      <c r="I34" s="41">
        <f>IFERROR(SUM(I5:I32),"")</f>
        <v/>
      </c>
      <c r="J34" s="40" t="n"/>
      <c r="K34" s="40" t="n"/>
      <c r="L34" s="40" t="n"/>
    </row>
    <row r="35" ht="22" customHeight="1"/>
    <row r="36" ht="24" customHeight="1">
      <c r="B36" s="33" t="inlineStr">
        <is>
          <t>PO STATUS SUMMARY</t>
        </is>
      </c>
    </row>
    <row r="37">
      <c r="B37" s="22" t="inlineStr">
        <is>
          <t>Total POs Issued</t>
        </is>
      </c>
      <c r="F37" s="35">
        <f>COUNTA(B5:B32)</f>
        <v/>
      </c>
    </row>
    <row r="38">
      <c r="B38" s="24" t="inlineStr">
        <is>
          <t>Open POs</t>
        </is>
      </c>
      <c r="F38" s="36">
        <f>COUNTIF(L5:L32,"Open — Awaiting Delivery")</f>
        <v/>
      </c>
    </row>
    <row r="39">
      <c r="B39" s="22" t="inlineStr">
        <is>
          <t>Fully Delivered</t>
        </is>
      </c>
      <c r="F39" s="35">
        <f>COUNTIF(L5:L32,"Fully Delivered — GRN Done")</f>
        <v/>
      </c>
    </row>
    <row r="40">
      <c r="B40" s="24" t="inlineStr">
        <is>
          <t>Payment Processed</t>
        </is>
      </c>
      <c r="F40" s="36">
        <f>COUNTIF(L5:L32,"Payment Processed")</f>
        <v/>
      </c>
    </row>
    <row r="41">
      <c r="B41" s="22" t="inlineStr">
        <is>
          <t>Cancelled POs</t>
        </is>
      </c>
      <c r="F41" s="35">
        <f>COUNTIF(L5:L32,"Cancelled")</f>
        <v/>
      </c>
    </row>
    <row r="42">
      <c r="B42" s="24" t="inlineStr">
        <is>
          <t>Total PO Value (₹)</t>
        </is>
      </c>
      <c r="F42" s="36">
        <f>IFERROR(I34,"")</f>
        <v/>
      </c>
    </row>
  </sheetData>
  <mergeCells count="15">
    <mergeCell ref="B40:E40"/>
    <mergeCell ref="B36:L36"/>
    <mergeCell ref="B41:E41"/>
    <mergeCell ref="F40:L40"/>
    <mergeCell ref="F41:L41"/>
    <mergeCell ref="B38:E38"/>
    <mergeCell ref="B3:L3"/>
    <mergeCell ref="B2:L2"/>
    <mergeCell ref="F37:L37"/>
    <mergeCell ref="B39:E39"/>
    <mergeCell ref="F39:L39"/>
    <mergeCell ref="B37:E37"/>
    <mergeCell ref="B42:E42"/>
    <mergeCell ref="F42:L42"/>
    <mergeCell ref="F38:L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PSC-21: GOODS RECEIPT NOTE (GRN) REGISTER</t>
        </is>
      </c>
    </row>
    <row r="3" ht="20" customHeight="1">
      <c r="B3" s="2" t="inlineStr">
        <is>
          <t>A.Y.: _______  Store Keeper: ___________________  PSC Coordinator: ___________________</t>
        </is>
      </c>
    </row>
    <row r="4" ht="25" customHeight="1">
      <c r="B4" s="29" t="inlineStr">
        <is>
          <t>GRN
Ref.</t>
        </is>
      </c>
      <c r="C4" s="29" t="inlineStr">
        <is>
          <t>Item Description</t>
        </is>
      </c>
      <c r="D4" s="29" t="inlineStr">
        <is>
          <t>PO Ref.</t>
        </is>
      </c>
      <c r="E4" s="29" t="inlineStr">
        <is>
          <t>Vendor
Name</t>
        </is>
      </c>
      <c r="F4" s="29" t="inlineStr">
        <is>
          <t>GRN
Date</t>
        </is>
      </c>
      <c r="G4" s="29" t="inlineStr">
        <is>
          <t>Qty
Ordered</t>
        </is>
      </c>
      <c r="H4" s="29" t="inlineStr">
        <is>
          <t>Qty
Received</t>
        </is>
      </c>
      <c r="I4" s="29" t="inlineStr">
        <is>
          <t>Qty
Short / Excess</t>
        </is>
      </c>
      <c r="J4" s="29" t="inlineStr">
        <is>
          <t>Inspection
Result</t>
        </is>
      </c>
      <c r="K4" s="29" t="inlineStr">
        <is>
          <t>GRN
Status</t>
        </is>
      </c>
    </row>
    <row r="5" ht="22" customHeight="1">
      <c r="B5" s="30" t="inlineStr">
        <is>
          <t>GRN/2024/0001</t>
        </is>
      </c>
      <c r="C5" s="31" t="inlineStr"/>
      <c r="D5" s="32" t="inlineStr">
        <is>
          <t>PO/2024/0001</t>
        </is>
      </c>
      <c r="E5" s="31" t="inlineStr"/>
      <c r="F5" s="32" t="inlineStr"/>
      <c r="G5" s="32" t="inlineStr"/>
      <c r="H5" s="32" t="inlineStr"/>
      <c r="I5" s="32">
        <f>IFERROR(G5-H5,"")</f>
        <v/>
      </c>
      <c r="J5" s="32" t="inlineStr">
        <is>
          <t>Accepted — Fully Compliant</t>
        </is>
      </c>
      <c r="K5" s="32" t="inlineStr">
        <is>
          <t>Complete</t>
        </is>
      </c>
    </row>
    <row r="6" ht="22" customHeight="1">
      <c r="B6" s="8" t="inlineStr">
        <is>
          <t>GRN/2024/0002</t>
        </is>
      </c>
      <c r="C6" s="9" t="inlineStr"/>
      <c r="D6" s="10" t="inlineStr">
        <is>
          <t>PO/2024/0002</t>
        </is>
      </c>
      <c r="E6" s="9" t="inlineStr"/>
      <c r="F6" s="10" t="inlineStr"/>
      <c r="G6" s="10" t="inlineStr"/>
      <c r="H6" s="10" t="inlineStr"/>
      <c r="I6" s="10">
        <f>IFERROR(G6-H6,"")</f>
        <v/>
      </c>
      <c r="J6" s="10" t="inlineStr">
        <is>
          <t>Accepted with Minor Deviations</t>
        </is>
      </c>
      <c r="K6" s="10" t="inlineStr">
        <is>
          <t>Complete</t>
        </is>
      </c>
    </row>
    <row r="7" ht="22" customHeight="1">
      <c r="B7" s="30" t="inlineStr">
        <is>
          <t>GRN/2024/0003</t>
        </is>
      </c>
      <c r="C7" s="31" t="inlineStr"/>
      <c r="D7" s="32" t="inlineStr">
        <is>
          <t>PO/2024/0003</t>
        </is>
      </c>
      <c r="E7" s="31" t="inlineStr"/>
      <c r="F7" s="32" t="inlineStr"/>
      <c r="G7" s="32" t="inlineStr"/>
      <c r="H7" s="32" t="inlineStr"/>
      <c r="I7" s="32">
        <f>IFERROR(G7-H7,"")</f>
        <v/>
      </c>
      <c r="J7" s="32" t="inlineStr">
        <is>
          <t>Partially Accepted</t>
        </is>
      </c>
      <c r="K7" s="32" t="inlineStr">
        <is>
          <t>Complete</t>
        </is>
      </c>
    </row>
    <row r="8" ht="22" customHeight="1">
      <c r="B8" s="8" t="inlineStr">
        <is>
          <t>GRN/2024/0004</t>
        </is>
      </c>
      <c r="C8" s="9" t="inlineStr"/>
      <c r="D8" s="10" t="inlineStr">
        <is>
          <t>PO/2024/0004</t>
        </is>
      </c>
      <c r="E8" s="9" t="inlineStr"/>
      <c r="F8" s="10" t="inlineStr"/>
      <c r="G8" s="10" t="inlineStr"/>
      <c r="H8" s="10" t="inlineStr"/>
      <c r="I8" s="10">
        <f>IFERROR(G8-H8,"")</f>
        <v/>
      </c>
      <c r="J8" s="10" t="inlineStr">
        <is>
          <t>Rejected — Return to Vendor</t>
        </is>
      </c>
      <c r="K8" s="10" t="inlineStr">
        <is>
          <t>Complete</t>
        </is>
      </c>
    </row>
    <row r="9" ht="22" customHeight="1">
      <c r="B9" s="30" t="inlineStr">
        <is>
          <t>GRN/2024/0005</t>
        </is>
      </c>
      <c r="C9" s="31" t="inlineStr"/>
      <c r="D9" s="32" t="inlineStr">
        <is>
          <t>PO/2024/0005</t>
        </is>
      </c>
      <c r="E9" s="31" t="inlineStr"/>
      <c r="F9" s="32" t="inlineStr"/>
      <c r="G9" s="32" t="inlineStr"/>
      <c r="H9" s="32" t="inlineStr"/>
      <c r="I9" s="32">
        <f>IFERROR(G9-H9,"")</f>
        <v/>
      </c>
      <c r="J9" s="32" t="inlineStr">
        <is>
          <t>Pending Inspection</t>
        </is>
      </c>
      <c r="K9" s="32" t="inlineStr">
        <is>
          <t>Complete</t>
        </is>
      </c>
    </row>
    <row r="10" ht="22" customHeight="1">
      <c r="B10" s="8" t="inlineStr">
        <is>
          <t>GRN/2024/0006</t>
        </is>
      </c>
      <c r="C10" s="9" t="inlineStr"/>
      <c r="D10" s="10" t="inlineStr">
        <is>
          <t>PO/2024/0006</t>
        </is>
      </c>
      <c r="E10" s="9" t="inlineStr"/>
      <c r="F10" s="10" t="inlineStr"/>
      <c r="G10" s="10" t="inlineStr"/>
      <c r="H10" s="10" t="inlineStr"/>
      <c r="I10" s="10">
        <f>IFERROR(G10-H10,"")</f>
        <v/>
      </c>
      <c r="J10" s="10" t="inlineStr">
        <is>
          <t>Accepted — Fully Compliant</t>
        </is>
      </c>
      <c r="K10" s="10" t="inlineStr">
        <is>
          <t>Complete</t>
        </is>
      </c>
    </row>
    <row r="11" ht="22" customHeight="1">
      <c r="B11" s="30" t="inlineStr">
        <is>
          <t>GRN/2024/0007</t>
        </is>
      </c>
      <c r="C11" s="31" t="inlineStr"/>
      <c r="D11" s="32" t="inlineStr">
        <is>
          <t>PO/2024/0007</t>
        </is>
      </c>
      <c r="E11" s="31" t="inlineStr"/>
      <c r="F11" s="32" t="inlineStr"/>
      <c r="G11" s="32" t="inlineStr"/>
      <c r="H11" s="32" t="inlineStr"/>
      <c r="I11" s="32">
        <f>IFERROR(G11-H11,"")</f>
        <v/>
      </c>
      <c r="J11" s="32" t="inlineStr">
        <is>
          <t>Accepted with Minor Deviations</t>
        </is>
      </c>
      <c r="K11" s="32" t="inlineStr">
        <is>
          <t>Complete</t>
        </is>
      </c>
    </row>
    <row r="12" ht="22" customHeight="1">
      <c r="B12" s="8" t="inlineStr">
        <is>
          <t>GRN/2024/0008</t>
        </is>
      </c>
      <c r="C12" s="9" t="inlineStr"/>
      <c r="D12" s="10" t="inlineStr">
        <is>
          <t>PO/2024/0008</t>
        </is>
      </c>
      <c r="E12" s="9" t="inlineStr"/>
      <c r="F12" s="10" t="inlineStr"/>
      <c r="G12" s="10" t="inlineStr"/>
      <c r="H12" s="10" t="inlineStr"/>
      <c r="I12" s="10">
        <f>IFERROR(G12-H12,"")</f>
        <v/>
      </c>
      <c r="J12" s="10" t="inlineStr">
        <is>
          <t>Partially Accepted</t>
        </is>
      </c>
      <c r="K12" s="10" t="inlineStr">
        <is>
          <t>Complete</t>
        </is>
      </c>
    </row>
    <row r="13" ht="22" customHeight="1">
      <c r="B13" s="30" t="inlineStr">
        <is>
          <t>GRN/2024/0009</t>
        </is>
      </c>
      <c r="C13" s="31" t="inlineStr"/>
      <c r="D13" s="32" t="inlineStr">
        <is>
          <t>PO/2024/0009</t>
        </is>
      </c>
      <c r="E13" s="31" t="inlineStr"/>
      <c r="F13" s="32" t="inlineStr"/>
      <c r="G13" s="32" t="inlineStr"/>
      <c r="H13" s="32" t="inlineStr"/>
      <c r="I13" s="32">
        <f>IFERROR(G13-H13,"")</f>
        <v/>
      </c>
      <c r="J13" s="32" t="inlineStr">
        <is>
          <t>Rejected — Return to Vendor</t>
        </is>
      </c>
      <c r="K13" s="32" t="inlineStr">
        <is>
          <t>Complete</t>
        </is>
      </c>
    </row>
    <row r="14" ht="22" customHeight="1">
      <c r="B14" s="8" t="inlineStr">
        <is>
          <t>GRN/2024/0010</t>
        </is>
      </c>
      <c r="C14" s="9" t="inlineStr"/>
      <c r="D14" s="10" t="inlineStr">
        <is>
          <t>PO/2024/0010</t>
        </is>
      </c>
      <c r="E14" s="9" t="inlineStr"/>
      <c r="F14" s="10" t="inlineStr"/>
      <c r="G14" s="10" t="inlineStr"/>
      <c r="H14" s="10" t="inlineStr"/>
      <c r="I14" s="10">
        <f>IFERROR(G14-H14,"")</f>
        <v/>
      </c>
      <c r="J14" s="10" t="inlineStr">
        <is>
          <t>Pending Inspection</t>
        </is>
      </c>
      <c r="K14" s="10" t="inlineStr">
        <is>
          <t>Complete</t>
        </is>
      </c>
    </row>
    <row r="15" ht="22" customHeight="1">
      <c r="B15" s="30" t="inlineStr">
        <is>
          <t>GRN/2024/0011</t>
        </is>
      </c>
      <c r="C15" s="31" t="inlineStr"/>
      <c r="D15" s="32" t="inlineStr">
        <is>
          <t>PO/2024/0011</t>
        </is>
      </c>
      <c r="E15" s="31" t="inlineStr"/>
      <c r="F15" s="32" t="inlineStr"/>
      <c r="G15" s="32" t="inlineStr"/>
      <c r="H15" s="32" t="inlineStr"/>
      <c r="I15" s="32">
        <f>IFERROR(G15-H15,"")</f>
        <v/>
      </c>
      <c r="J15" s="32" t="inlineStr">
        <is>
          <t>Accepted — Fully Compliant</t>
        </is>
      </c>
      <c r="K15" s="32" t="inlineStr">
        <is>
          <t>Complete</t>
        </is>
      </c>
    </row>
    <row r="16" ht="22" customHeight="1">
      <c r="B16" s="8" t="inlineStr">
        <is>
          <t>GRN/2024/0012</t>
        </is>
      </c>
      <c r="C16" s="9" t="inlineStr"/>
      <c r="D16" s="10" t="inlineStr">
        <is>
          <t>PO/2024/0012</t>
        </is>
      </c>
      <c r="E16" s="9" t="inlineStr"/>
      <c r="F16" s="10" t="inlineStr"/>
      <c r="G16" s="10" t="inlineStr"/>
      <c r="H16" s="10" t="inlineStr"/>
      <c r="I16" s="10">
        <f>IFERROR(G16-H16,"")</f>
        <v/>
      </c>
      <c r="J16" s="10" t="inlineStr">
        <is>
          <t>Accepted with Minor Deviations</t>
        </is>
      </c>
      <c r="K16" s="10" t="inlineStr">
        <is>
          <t>Complete</t>
        </is>
      </c>
    </row>
    <row r="17" ht="22" customHeight="1">
      <c r="B17" s="30" t="inlineStr">
        <is>
          <t>GRN/2025/0013</t>
        </is>
      </c>
      <c r="C17" s="31" t="inlineStr"/>
      <c r="D17" s="32" t="inlineStr">
        <is>
          <t>PO/2025/0013</t>
        </is>
      </c>
      <c r="E17" s="31" t="inlineStr"/>
      <c r="F17" s="32" t="inlineStr"/>
      <c r="G17" s="32" t="inlineStr"/>
      <c r="H17" s="32" t="inlineStr"/>
      <c r="I17" s="32">
        <f>IFERROR(G17-H17,"")</f>
        <v/>
      </c>
      <c r="J17" s="32" t="inlineStr">
        <is>
          <t>Partially Accepted</t>
        </is>
      </c>
      <c r="K17" s="32" t="inlineStr">
        <is>
          <t>Complete</t>
        </is>
      </c>
    </row>
    <row r="18" ht="22" customHeight="1">
      <c r="B18" s="8" t="inlineStr">
        <is>
          <t>GRN/2025/0014</t>
        </is>
      </c>
      <c r="C18" s="9" t="inlineStr"/>
      <c r="D18" s="10" t="inlineStr">
        <is>
          <t>PO/2025/0014</t>
        </is>
      </c>
      <c r="E18" s="9" t="inlineStr"/>
      <c r="F18" s="10" t="inlineStr"/>
      <c r="G18" s="10" t="inlineStr"/>
      <c r="H18" s="10" t="inlineStr"/>
      <c r="I18" s="10">
        <f>IFERROR(G18-H18,"")</f>
        <v/>
      </c>
      <c r="J18" s="10" t="inlineStr">
        <is>
          <t>Rejected — Return to Vendor</t>
        </is>
      </c>
      <c r="K18" s="10" t="inlineStr">
        <is>
          <t>Complete</t>
        </is>
      </c>
    </row>
    <row r="19" ht="22" customHeight="1">
      <c r="B19" s="30" t="inlineStr">
        <is>
          <t>GRN/2025/0015</t>
        </is>
      </c>
      <c r="C19" s="31" t="inlineStr"/>
      <c r="D19" s="32" t="inlineStr">
        <is>
          <t>PO/2025/0015</t>
        </is>
      </c>
      <c r="E19" s="31" t="inlineStr"/>
      <c r="F19" s="32" t="inlineStr"/>
      <c r="G19" s="32" t="inlineStr"/>
      <c r="H19" s="32" t="inlineStr"/>
      <c r="I19" s="32">
        <f>IFERROR(G19-H19,"")</f>
        <v/>
      </c>
      <c r="J19" s="32" t="inlineStr">
        <is>
          <t>Pending Inspection</t>
        </is>
      </c>
      <c r="K19" s="32" t="inlineStr">
        <is>
          <t>Complete</t>
        </is>
      </c>
    </row>
    <row r="20" ht="22" customHeight="1">
      <c r="B20" s="8" t="inlineStr">
        <is>
          <t>GRN/2025/0016</t>
        </is>
      </c>
      <c r="C20" s="9" t="inlineStr"/>
      <c r="D20" s="10" t="inlineStr">
        <is>
          <t>PO/2025/0016</t>
        </is>
      </c>
      <c r="E20" s="9" t="inlineStr"/>
      <c r="F20" s="10" t="inlineStr"/>
      <c r="G20" s="10" t="inlineStr"/>
      <c r="H20" s="10" t="inlineStr"/>
      <c r="I20" s="10">
        <f>IFERROR(G20-H20,"")</f>
        <v/>
      </c>
      <c r="J20" s="10" t="inlineStr">
        <is>
          <t>Accepted — Fully Compliant</t>
        </is>
      </c>
      <c r="K20" s="10" t="inlineStr">
        <is>
          <t>Complete</t>
        </is>
      </c>
    </row>
    <row r="21" ht="22" customHeight="1">
      <c r="B21" s="30" t="inlineStr">
        <is>
          <t>GRN/2025/0017</t>
        </is>
      </c>
      <c r="C21" s="31" t="inlineStr"/>
      <c r="D21" s="32" t="inlineStr">
        <is>
          <t>PO/2025/0017</t>
        </is>
      </c>
      <c r="E21" s="31" t="inlineStr"/>
      <c r="F21" s="32" t="inlineStr"/>
      <c r="G21" s="32" t="inlineStr"/>
      <c r="H21" s="32" t="inlineStr"/>
      <c r="I21" s="32">
        <f>IFERROR(G21-H21,"")</f>
        <v/>
      </c>
      <c r="J21" s="32" t="inlineStr">
        <is>
          <t>Accepted with Minor Deviations</t>
        </is>
      </c>
      <c r="K21" s="32" t="inlineStr">
        <is>
          <t>Complete</t>
        </is>
      </c>
    </row>
    <row r="22" ht="22" customHeight="1">
      <c r="B22" s="8" t="inlineStr">
        <is>
          <t>GRN/2025/0018</t>
        </is>
      </c>
      <c r="C22" s="9" t="inlineStr"/>
      <c r="D22" s="10" t="inlineStr">
        <is>
          <t>PO/2025/0018</t>
        </is>
      </c>
      <c r="E22" s="9" t="inlineStr"/>
      <c r="F22" s="10" t="inlineStr"/>
      <c r="G22" s="10" t="inlineStr"/>
      <c r="H22" s="10" t="inlineStr"/>
      <c r="I22" s="10">
        <f>IFERROR(G22-H22,"")</f>
        <v/>
      </c>
      <c r="J22" s="10" t="inlineStr">
        <is>
          <t>Partially Accepted</t>
        </is>
      </c>
      <c r="K22" s="10" t="inlineStr">
        <is>
          <t>Complete</t>
        </is>
      </c>
    </row>
    <row r="23" ht="22" customHeight="1">
      <c r="B23" s="30" t="inlineStr">
        <is>
          <t>GRN/2025/0019</t>
        </is>
      </c>
      <c r="C23" s="31" t="inlineStr"/>
      <c r="D23" s="32" t="inlineStr">
        <is>
          <t>PO/2025/0019</t>
        </is>
      </c>
      <c r="E23" s="31" t="inlineStr"/>
      <c r="F23" s="32" t="inlineStr"/>
      <c r="G23" s="32" t="inlineStr"/>
      <c r="H23" s="32" t="inlineStr"/>
      <c r="I23" s="32">
        <f>IFERROR(G23-H23,"")</f>
        <v/>
      </c>
      <c r="J23" s="32" t="inlineStr">
        <is>
          <t>Rejected — Return to Vendor</t>
        </is>
      </c>
      <c r="K23" s="32" t="inlineStr">
        <is>
          <t>Complete</t>
        </is>
      </c>
    </row>
    <row r="24" ht="22" customHeight="1">
      <c r="B24" s="8" t="inlineStr">
        <is>
          <t>GRN/2025/0020</t>
        </is>
      </c>
      <c r="C24" s="9" t="inlineStr"/>
      <c r="D24" s="10" t="inlineStr">
        <is>
          <t>PO/2025/0020</t>
        </is>
      </c>
      <c r="E24" s="9" t="inlineStr"/>
      <c r="F24" s="10" t="inlineStr"/>
      <c r="G24" s="10" t="inlineStr"/>
      <c r="H24" s="10" t="inlineStr"/>
      <c r="I24" s="10">
        <f>IFERROR(G24-H24,"")</f>
        <v/>
      </c>
      <c r="J24" s="10" t="inlineStr">
        <is>
          <t>Pending Inspection</t>
        </is>
      </c>
      <c r="K24" s="10" t="inlineStr">
        <is>
          <t>Complete</t>
        </is>
      </c>
    </row>
    <row r="25" ht="22" customHeight="1">
      <c r="B25" s="30" t="inlineStr">
        <is>
          <t>GRN/2025/0021</t>
        </is>
      </c>
      <c r="C25" s="31" t="inlineStr"/>
      <c r="D25" s="32" t="inlineStr">
        <is>
          <t>PO/2025/0021</t>
        </is>
      </c>
      <c r="E25" s="31" t="inlineStr"/>
      <c r="F25" s="32" t="inlineStr"/>
      <c r="G25" s="32" t="inlineStr"/>
      <c r="H25" s="32" t="inlineStr"/>
      <c r="I25" s="32">
        <f>IFERROR(G25-H25,"")</f>
        <v/>
      </c>
      <c r="J25" s="32" t="inlineStr">
        <is>
          <t>Accepted — Fully Compliant</t>
        </is>
      </c>
      <c r="K25" s="32" t="inlineStr">
        <is>
          <t>Complete</t>
        </is>
      </c>
    </row>
    <row r="26" ht="22" customHeight="1">
      <c r="B26" s="8" t="inlineStr">
        <is>
          <t>GRN/2025/0022</t>
        </is>
      </c>
      <c r="C26" s="9" t="inlineStr"/>
      <c r="D26" s="10" t="inlineStr">
        <is>
          <t>PO/2025/0022</t>
        </is>
      </c>
      <c r="E26" s="9" t="inlineStr"/>
      <c r="F26" s="10" t="inlineStr"/>
      <c r="G26" s="10" t="inlineStr"/>
      <c r="H26" s="10" t="inlineStr"/>
      <c r="I26" s="10">
        <f>IFERROR(G26-H26,"")</f>
        <v/>
      </c>
      <c r="J26" s="10" t="inlineStr">
        <is>
          <t>Accepted with Minor Deviations</t>
        </is>
      </c>
      <c r="K26" s="10" t="inlineStr">
        <is>
          <t>Complete</t>
        </is>
      </c>
    </row>
    <row r="27" ht="22" customHeight="1">
      <c r="B27" s="30" t="inlineStr">
        <is>
          <t>GRN/2025/0023</t>
        </is>
      </c>
      <c r="C27" s="31" t="inlineStr"/>
      <c r="D27" s="32" t="inlineStr">
        <is>
          <t>PO/2025/0023</t>
        </is>
      </c>
      <c r="E27" s="31" t="inlineStr"/>
      <c r="F27" s="32" t="inlineStr"/>
      <c r="G27" s="32" t="inlineStr"/>
      <c r="H27" s="32" t="inlineStr"/>
      <c r="I27" s="32">
        <f>IFERROR(G27-H27,"")</f>
        <v/>
      </c>
      <c r="J27" s="32" t="inlineStr">
        <is>
          <t>Partially Accepted</t>
        </is>
      </c>
      <c r="K27" s="32" t="inlineStr">
        <is>
          <t>Complete</t>
        </is>
      </c>
    </row>
    <row r="28" ht="22" customHeight="1">
      <c r="B28" s="8" t="inlineStr">
        <is>
          <t>GRN/2025/0024</t>
        </is>
      </c>
      <c r="C28" s="9" t="inlineStr"/>
      <c r="D28" s="10" t="inlineStr">
        <is>
          <t>PO/2025/0024</t>
        </is>
      </c>
      <c r="E28" s="9" t="inlineStr"/>
      <c r="F28" s="10" t="inlineStr"/>
      <c r="G28" s="10" t="inlineStr"/>
      <c r="H28" s="10" t="inlineStr"/>
      <c r="I28" s="10">
        <f>IFERROR(G28-H28,"")</f>
        <v/>
      </c>
      <c r="J28" s="10" t="inlineStr">
        <is>
          <t>Rejected — Return to Vendor</t>
        </is>
      </c>
      <c r="K28" s="10" t="inlineStr">
        <is>
          <t>Complete</t>
        </is>
      </c>
    </row>
    <row r="29" ht="22" customHeight="1"/>
    <row r="30" ht="24" customHeight="1">
      <c r="B30" s="33" t="inlineStr">
        <is>
          <t>GRN SUMMARY</t>
        </is>
      </c>
    </row>
    <row r="31" ht="22" customHeight="1">
      <c r="B31" s="34" t="inlineStr">
        <is>
          <t>Total GRNs Processed</t>
        </is>
      </c>
      <c r="F31" s="35">
        <f>COUNTA(B5:B28)</f>
        <v/>
      </c>
    </row>
    <row r="32">
      <c r="B32" s="24" t="inlineStr">
        <is>
          <t>Fully Accepted</t>
        </is>
      </c>
      <c r="F32" s="36">
        <f>COUNTIF(J5:J28,"Accepted — Fully Compliant")</f>
        <v/>
      </c>
    </row>
    <row r="33">
      <c r="B33" s="34" t="inlineStr">
        <is>
          <t>Rejected / Returned</t>
        </is>
      </c>
      <c r="F33" s="35">
        <f>COUNTIF(J5:J28,"Rejected — Return to Vendor")</f>
        <v/>
      </c>
    </row>
    <row r="34">
      <c r="B34" s="24" t="inlineStr">
        <is>
          <t>Short Supplied GRNs</t>
        </is>
      </c>
      <c r="F34" s="36">
        <f>COUNTIF(I5:I28,"&gt;"&amp;0)</f>
        <v/>
      </c>
    </row>
    <row r="35">
      <c r="B35" s="34" t="inlineStr">
        <is>
          <t>Pending Inspection</t>
        </is>
      </c>
      <c r="F35" s="35">
        <f>COUNTIF(J5:J28,"Pending Inspection")</f>
        <v/>
      </c>
    </row>
    <row r="36">
      <c r="B36" s="24" t="inlineStr">
        <is>
          <t>Acceptance Rate (%)</t>
        </is>
      </c>
      <c r="F36" s="36">
        <f>IFERROR(ROUND(C32/C31*100,1),"")</f>
        <v/>
      </c>
    </row>
  </sheetData>
  <mergeCells count="15">
    <mergeCell ref="B31:E31"/>
    <mergeCell ref="B36:E36"/>
    <mergeCell ref="F34:K34"/>
    <mergeCell ref="F33:K33"/>
    <mergeCell ref="B35:E35"/>
    <mergeCell ref="F36:K36"/>
    <mergeCell ref="F32:K32"/>
    <mergeCell ref="B34:E34"/>
    <mergeCell ref="F31:K31"/>
    <mergeCell ref="B30:K30"/>
    <mergeCell ref="B33:E33"/>
    <mergeCell ref="F35:K35"/>
    <mergeCell ref="B2:K2"/>
    <mergeCell ref="B3:K3"/>
    <mergeCell ref="B32:E3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L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2" t="inlineStr">
        <is>
          <t>PSC-25: STORES INVENTORY MASTER REGISTER</t>
        </is>
      </c>
    </row>
    <row r="3" ht="20" customHeight="1">
      <c r="B3" s="2" t="inlineStr">
        <is>
          <t>A.Y.: _______  Store Keeper: ___________________  Last Physical Verification: _______</t>
        </is>
      </c>
    </row>
    <row r="4" ht="25" customHeight="1">
      <c r="B4" s="13" t="inlineStr">
        <is>
          <t>Item
Code</t>
        </is>
      </c>
      <c r="C4" s="13" t="inlineStr">
        <is>
          <t>Item Name / Description</t>
        </is>
      </c>
      <c r="D4" s="13" t="inlineStr">
        <is>
          <t>Category</t>
        </is>
      </c>
      <c r="E4" s="13" t="inlineStr">
        <is>
          <t>Unit of
Measure</t>
        </is>
      </c>
      <c r="F4" s="13" t="inlineStr">
        <is>
          <t>Min.
Stock
Level</t>
        </is>
      </c>
      <c r="G4" s="13" t="inlineStr">
        <is>
          <t>Reorder
Level</t>
        </is>
      </c>
      <c r="H4" s="13" t="inlineStr">
        <is>
          <t>Opening
Stock</t>
        </is>
      </c>
      <c r="I4" s="13" t="inlineStr">
        <is>
          <t>Received
(Year)</t>
        </is>
      </c>
      <c r="J4" s="13" t="inlineStr">
        <is>
          <t>Issued
(Year)</t>
        </is>
      </c>
      <c r="K4" s="13" t="inlineStr">
        <is>
          <t>Closing
Stock</t>
        </is>
      </c>
      <c r="L4" s="13" t="inlineStr">
        <is>
          <t>Stock
Status</t>
        </is>
      </c>
    </row>
    <row r="5" ht="22" customHeight="1">
      <c r="B5" s="14" t="inlineStr">
        <is>
          <t>ITEM/0001</t>
        </is>
      </c>
      <c r="C5" s="15" t="inlineStr"/>
      <c r="D5" s="16" t="inlineStr">
        <is>
          <t>ICT &amp; Computers</t>
        </is>
      </c>
      <c r="E5" s="16" t="inlineStr">
        <is>
          <t>Nos.</t>
        </is>
      </c>
      <c r="F5" s="16" t="inlineStr"/>
      <c r="G5" s="16" t="inlineStr"/>
      <c r="H5" s="16" t="inlineStr"/>
      <c r="I5" s="16" t="inlineStr"/>
      <c r="J5" s="16" t="inlineStr"/>
      <c r="K5" s="38">
        <f>IFERROR(H5+I5-J5,"")</f>
        <v/>
      </c>
      <c r="L5" s="16">
        <f>IFERROR(IF(K5&lt;=F5,"Critical — Stockout Risk",IF(K5&lt;=G5,"Below Reorder — Order Immediately","Adequate")),"")</f>
        <v/>
      </c>
    </row>
    <row r="6" ht="22" customHeight="1">
      <c r="B6" s="8" t="inlineStr">
        <is>
          <t>ITEM/0002</t>
        </is>
      </c>
      <c r="C6" s="9" t="inlineStr"/>
      <c r="D6" s="10" t="inlineStr">
        <is>
          <t>Lab Equipment</t>
        </is>
      </c>
      <c r="E6" s="10" t="inlineStr">
        <is>
          <t>Nos.</t>
        </is>
      </c>
      <c r="F6" s="10" t="inlineStr"/>
      <c r="G6" s="10" t="inlineStr"/>
      <c r="H6" s="10" t="inlineStr"/>
      <c r="I6" s="10" t="inlineStr"/>
      <c r="J6" s="10" t="inlineStr"/>
      <c r="K6" s="36">
        <f>IFERROR(H6+I6-J6,"")</f>
        <v/>
      </c>
      <c r="L6" s="10">
        <f>IFERROR(IF(K6&lt;=F6,"Critical — Stockout Risk",IF(K6&lt;=G6,"Below Reorder — Order Immediately","Adequate")),"")</f>
        <v/>
      </c>
    </row>
    <row r="7" ht="22" customHeight="1">
      <c r="B7" s="14" t="inlineStr">
        <is>
          <t>ITEM/0003</t>
        </is>
      </c>
      <c r="C7" s="15" t="inlineStr"/>
      <c r="D7" s="16" t="inlineStr">
        <is>
          <t>Lab Consumables / Chemicals</t>
        </is>
      </c>
      <c r="E7" s="16" t="inlineStr">
        <is>
          <t>Nos.</t>
        </is>
      </c>
      <c r="F7" s="16" t="inlineStr"/>
      <c r="G7" s="16" t="inlineStr"/>
      <c r="H7" s="16" t="inlineStr"/>
      <c r="I7" s="16" t="inlineStr"/>
      <c r="J7" s="16" t="inlineStr"/>
      <c r="K7" s="38">
        <f>IFERROR(H7+I7-J7,"")</f>
        <v/>
      </c>
      <c r="L7" s="16">
        <f>IFERROR(IF(K7&lt;=F7,"Critical — Stockout Risk",IF(K7&lt;=G7,"Below Reorder — Order Immediately","Adequate")),"")</f>
        <v/>
      </c>
    </row>
    <row r="8" ht="22" customHeight="1">
      <c r="B8" s="8" t="inlineStr">
        <is>
          <t>ITEM/0004</t>
        </is>
      </c>
      <c r="C8" s="9" t="inlineStr"/>
      <c r="D8" s="10" t="inlineStr">
        <is>
          <t>Furniture &amp; Fixtures</t>
        </is>
      </c>
      <c r="E8" s="10" t="inlineStr">
        <is>
          <t>Nos.</t>
        </is>
      </c>
      <c r="F8" s="10" t="inlineStr"/>
      <c r="G8" s="10" t="inlineStr"/>
      <c r="H8" s="10" t="inlineStr"/>
      <c r="I8" s="10" t="inlineStr"/>
      <c r="J8" s="10" t="inlineStr"/>
      <c r="K8" s="36">
        <f>IFERROR(H8+I8-J8,"")</f>
        <v/>
      </c>
      <c r="L8" s="10">
        <f>IFERROR(IF(K8&lt;=F8,"Critical — Stockout Risk",IF(K8&lt;=G8,"Below Reorder — Order Immediately","Adequate")),"")</f>
        <v/>
      </c>
    </row>
    <row r="9" ht="22" customHeight="1">
      <c r="B9" s="14" t="inlineStr">
        <is>
          <t>ITEM/0005</t>
        </is>
      </c>
      <c r="C9" s="15" t="inlineStr"/>
      <c r="D9" s="16" t="inlineStr">
        <is>
          <t>Office Stationery</t>
        </is>
      </c>
      <c r="E9" s="16" t="inlineStr">
        <is>
          <t>Nos.</t>
        </is>
      </c>
      <c r="F9" s="16" t="inlineStr"/>
      <c r="G9" s="16" t="inlineStr"/>
      <c r="H9" s="16" t="inlineStr"/>
      <c r="I9" s="16" t="inlineStr"/>
      <c r="J9" s="16" t="inlineStr"/>
      <c r="K9" s="38">
        <f>IFERROR(H9+I9-J9,"")</f>
        <v/>
      </c>
      <c r="L9" s="16">
        <f>IFERROR(IF(K9&lt;=F9,"Critical — Stockout Risk",IF(K9&lt;=G9,"Below Reorder — Order Immediately","Adequate")),"")</f>
        <v/>
      </c>
    </row>
    <row r="10" ht="22" customHeight="1">
      <c r="B10" s="8" t="inlineStr">
        <is>
          <t>ITEM/0006</t>
        </is>
      </c>
      <c r="C10" s="9" t="inlineStr"/>
      <c r="D10" s="10" t="inlineStr">
        <is>
          <t>Library Books &amp; Journals</t>
        </is>
      </c>
      <c r="E10" s="10" t="inlineStr">
        <is>
          <t>Nos.</t>
        </is>
      </c>
      <c r="F10" s="10" t="inlineStr"/>
      <c r="G10" s="10" t="inlineStr"/>
      <c r="H10" s="10" t="inlineStr"/>
      <c r="I10" s="10" t="inlineStr"/>
      <c r="J10" s="10" t="inlineStr"/>
      <c r="K10" s="36">
        <f>IFERROR(H10+I10-J10,"")</f>
        <v/>
      </c>
      <c r="L10" s="10">
        <f>IFERROR(IF(K10&lt;=F10,"Critical — Stockout Risk",IF(K10&lt;=G10,"Below Reorder — Order Immediately","Adequate")),"")</f>
        <v/>
      </c>
    </row>
    <row r="11" ht="22" customHeight="1">
      <c r="B11" s="14" t="inlineStr">
        <is>
          <t>ITEM/0007</t>
        </is>
      </c>
      <c r="C11" s="15" t="inlineStr"/>
      <c r="D11" s="16" t="inlineStr">
        <is>
          <t>Software &amp; Licences</t>
        </is>
      </c>
      <c r="E11" s="16" t="inlineStr">
        <is>
          <t>Nos.</t>
        </is>
      </c>
      <c r="F11" s="16" t="inlineStr"/>
      <c r="G11" s="16" t="inlineStr"/>
      <c r="H11" s="16" t="inlineStr"/>
      <c r="I11" s="16" t="inlineStr"/>
      <c r="J11" s="16" t="inlineStr"/>
      <c r="K11" s="38">
        <f>IFERROR(H11+I11-J11,"")</f>
        <v/>
      </c>
      <c r="L11" s="16">
        <f>IFERROR(IF(K11&lt;=F11,"Critical — Stockout Risk",IF(K11&lt;=G11,"Below Reorder — Order Immediately","Adequate")),"")</f>
        <v/>
      </c>
    </row>
    <row r="12" ht="22" customHeight="1">
      <c r="B12" s="8" t="inlineStr">
        <is>
          <t>ITEM/0008</t>
        </is>
      </c>
      <c r="C12" s="9" t="inlineStr"/>
      <c r="D12" s="10" t="inlineStr">
        <is>
          <t>Civil &amp; Maintenance</t>
        </is>
      </c>
      <c r="E12" s="10" t="inlineStr">
        <is>
          <t>Nos.</t>
        </is>
      </c>
      <c r="F12" s="10" t="inlineStr"/>
      <c r="G12" s="10" t="inlineStr"/>
      <c r="H12" s="10" t="inlineStr"/>
      <c r="I12" s="10" t="inlineStr"/>
      <c r="J12" s="10" t="inlineStr"/>
      <c r="K12" s="36">
        <f>IFERROR(H12+I12-J12,"")</f>
        <v/>
      </c>
      <c r="L12" s="10">
        <f>IFERROR(IF(K12&lt;=F12,"Critical — Stockout Risk",IF(K12&lt;=G12,"Below Reorder — Order Immediately","Adequate")),"")</f>
        <v/>
      </c>
    </row>
    <row r="13" ht="22" customHeight="1">
      <c r="B13" s="14" t="inlineStr">
        <is>
          <t>ITEM/0009</t>
        </is>
      </c>
      <c r="C13" s="15" t="inlineStr"/>
      <c r="D13" s="16" t="inlineStr">
        <is>
          <t>Electrical &amp; Electronics</t>
        </is>
      </c>
      <c r="E13" s="16" t="inlineStr">
        <is>
          <t>Nos.</t>
        </is>
      </c>
      <c r="F13" s="16" t="inlineStr"/>
      <c r="G13" s="16" t="inlineStr"/>
      <c r="H13" s="16" t="inlineStr"/>
      <c r="I13" s="16" t="inlineStr"/>
      <c r="J13" s="16" t="inlineStr"/>
      <c r="K13" s="38">
        <f>IFERROR(H13+I13-J13,"")</f>
        <v/>
      </c>
      <c r="L13" s="16">
        <f>IFERROR(IF(K13&lt;=F13,"Critical — Stockout Risk",IF(K13&lt;=G13,"Below Reorder — Order Immediately","Adequate")),"")</f>
        <v/>
      </c>
    </row>
    <row r="14" ht="22" customHeight="1">
      <c r="B14" s="8" t="inlineStr">
        <is>
          <t>ITEM/0010</t>
        </is>
      </c>
      <c r="C14" s="9" t="inlineStr"/>
      <c r="D14" s="10" t="inlineStr">
        <is>
          <t>Sports Equipment</t>
        </is>
      </c>
      <c r="E14" s="10" t="inlineStr">
        <is>
          <t>Nos.</t>
        </is>
      </c>
      <c r="F14" s="10" t="inlineStr"/>
      <c r="G14" s="10" t="inlineStr"/>
      <c r="H14" s="10" t="inlineStr"/>
      <c r="I14" s="10" t="inlineStr"/>
      <c r="J14" s="10" t="inlineStr"/>
      <c r="K14" s="36">
        <f>IFERROR(H14+I14-J14,"")</f>
        <v/>
      </c>
      <c r="L14" s="10">
        <f>IFERROR(IF(K14&lt;=F14,"Critical — Stockout Risk",IF(K14&lt;=G14,"Below Reorder — Order Immediately","Adequate")),"")</f>
        <v/>
      </c>
    </row>
    <row r="15" ht="22" customHeight="1">
      <c r="B15" s="14" t="inlineStr">
        <is>
          <t>ITEM/0011</t>
        </is>
      </c>
      <c r="C15" s="15" t="inlineStr"/>
      <c r="D15" s="16" t="inlineStr">
        <is>
          <t>Medical / First Aid</t>
        </is>
      </c>
      <c r="E15" s="16" t="inlineStr">
        <is>
          <t>Nos.</t>
        </is>
      </c>
      <c r="F15" s="16" t="inlineStr"/>
      <c r="G15" s="16" t="inlineStr"/>
      <c r="H15" s="16" t="inlineStr"/>
      <c r="I15" s="16" t="inlineStr"/>
      <c r="J15" s="16" t="inlineStr"/>
      <c r="K15" s="38">
        <f>IFERROR(H15+I15-J15,"")</f>
        <v/>
      </c>
      <c r="L15" s="16">
        <f>IFERROR(IF(K15&lt;=F15,"Critical — Stockout Risk",IF(K15&lt;=G15,"Below Reorder — Order Immediately","Adequate")),"")</f>
        <v/>
      </c>
    </row>
    <row r="16" ht="22" customHeight="1">
      <c r="B16" s="8" t="inlineStr">
        <is>
          <t>ITEM/0012</t>
        </is>
      </c>
      <c r="C16" s="9" t="inlineStr"/>
      <c r="D16" s="10" t="inlineStr">
        <is>
          <t>Printing &amp; Reprographics</t>
        </is>
      </c>
      <c r="E16" s="10" t="inlineStr">
        <is>
          <t>Nos.</t>
        </is>
      </c>
      <c r="F16" s="10" t="inlineStr"/>
      <c r="G16" s="10" t="inlineStr"/>
      <c r="H16" s="10" t="inlineStr"/>
      <c r="I16" s="10" t="inlineStr"/>
      <c r="J16" s="10" t="inlineStr"/>
      <c r="K16" s="36">
        <f>IFERROR(H16+I16-J16,"")</f>
        <v/>
      </c>
      <c r="L16" s="10">
        <f>IFERROR(IF(K16&lt;=F16,"Critical — Stockout Risk",IF(K16&lt;=G16,"Below Reorder — Order Immediately","Adequate")),"")</f>
        <v/>
      </c>
    </row>
    <row r="17" ht="22" customHeight="1">
      <c r="B17" s="14" t="inlineStr">
        <is>
          <t>ITEM/0013</t>
        </is>
      </c>
      <c r="C17" s="15" t="inlineStr"/>
      <c r="D17" s="16" t="inlineStr">
        <is>
          <t>Cleaning &amp; Housekeeping</t>
        </is>
      </c>
      <c r="E17" s="16" t="inlineStr">
        <is>
          <t>Nos.</t>
        </is>
      </c>
      <c r="F17" s="16" t="inlineStr"/>
      <c r="G17" s="16" t="inlineStr"/>
      <c r="H17" s="16" t="inlineStr"/>
      <c r="I17" s="16" t="inlineStr"/>
      <c r="J17" s="16" t="inlineStr"/>
      <c r="K17" s="38">
        <f>IFERROR(H17+I17-J17,"")</f>
        <v/>
      </c>
      <c r="L17" s="16">
        <f>IFERROR(IF(K17&lt;=F17,"Critical — Stockout Risk",IF(K17&lt;=G17,"Below Reorder — Order Immediately","Adequate")),"")</f>
        <v/>
      </c>
    </row>
    <row r="18" ht="22" customHeight="1">
      <c r="B18" s="8" t="inlineStr">
        <is>
          <t>ITEM/0014</t>
        </is>
      </c>
      <c r="C18" s="9" t="inlineStr"/>
      <c r="D18" s="10" t="inlineStr">
        <is>
          <t>Safety &amp; Security Equipment</t>
        </is>
      </c>
      <c r="E18" s="10" t="inlineStr">
        <is>
          <t>Nos.</t>
        </is>
      </c>
      <c r="F18" s="10" t="inlineStr"/>
      <c r="G18" s="10" t="inlineStr"/>
      <c r="H18" s="10" t="inlineStr"/>
      <c r="I18" s="10" t="inlineStr"/>
      <c r="J18" s="10" t="inlineStr"/>
      <c r="K18" s="36">
        <f>IFERROR(H18+I18-J18,"")</f>
        <v/>
      </c>
      <c r="L18" s="10">
        <f>IFERROR(IF(K18&lt;=F18,"Critical — Stockout Risk",IF(K18&lt;=G18,"Below Reorder — Order Immediately","Adequate")),"")</f>
        <v/>
      </c>
    </row>
    <row r="19" ht="22" customHeight="1">
      <c r="B19" s="14" t="inlineStr">
        <is>
          <t>ITEM/0015</t>
        </is>
      </c>
      <c r="C19" s="15" t="inlineStr"/>
      <c r="D19" s="16" t="inlineStr">
        <is>
          <t>Miscellaneous</t>
        </is>
      </c>
      <c r="E19" s="16" t="inlineStr">
        <is>
          <t>Nos.</t>
        </is>
      </c>
      <c r="F19" s="16" t="inlineStr"/>
      <c r="G19" s="16" t="inlineStr"/>
      <c r="H19" s="16" t="inlineStr"/>
      <c r="I19" s="16" t="inlineStr"/>
      <c r="J19" s="16" t="inlineStr"/>
      <c r="K19" s="38">
        <f>IFERROR(H19+I19-J19,"")</f>
        <v/>
      </c>
      <c r="L19" s="16">
        <f>IFERROR(IF(K19&lt;=F19,"Critical — Stockout Risk",IF(K19&lt;=G19,"Below Reorder — Order Immediately","Adequate")),"")</f>
        <v/>
      </c>
    </row>
    <row r="20" ht="22" customHeight="1">
      <c r="B20" s="8" t="inlineStr">
        <is>
          <t>ITEM/0016</t>
        </is>
      </c>
      <c r="C20" s="9" t="inlineStr"/>
      <c r="D20" s="10" t="inlineStr">
        <is>
          <t>ICT &amp; Computers</t>
        </is>
      </c>
      <c r="E20" s="10" t="inlineStr">
        <is>
          <t>Nos.</t>
        </is>
      </c>
      <c r="F20" s="10" t="inlineStr"/>
      <c r="G20" s="10" t="inlineStr"/>
      <c r="H20" s="10" t="inlineStr"/>
      <c r="I20" s="10" t="inlineStr"/>
      <c r="J20" s="10" t="inlineStr"/>
      <c r="K20" s="36">
        <f>IFERROR(H20+I20-J20,"")</f>
        <v/>
      </c>
      <c r="L20" s="10">
        <f>IFERROR(IF(K20&lt;=F20,"Critical — Stockout Risk",IF(K20&lt;=G20,"Below Reorder — Order Immediately","Adequate")),"")</f>
        <v/>
      </c>
    </row>
    <row r="21" ht="22" customHeight="1">
      <c r="B21" s="14" t="inlineStr">
        <is>
          <t>ITEM/0017</t>
        </is>
      </c>
      <c r="C21" s="15" t="inlineStr"/>
      <c r="D21" s="16" t="inlineStr">
        <is>
          <t>Lab Equipment</t>
        </is>
      </c>
      <c r="E21" s="16" t="inlineStr">
        <is>
          <t>Nos.</t>
        </is>
      </c>
      <c r="F21" s="16" t="inlineStr"/>
      <c r="G21" s="16" t="inlineStr"/>
      <c r="H21" s="16" t="inlineStr"/>
      <c r="I21" s="16" t="inlineStr"/>
      <c r="J21" s="16" t="inlineStr"/>
      <c r="K21" s="38">
        <f>IFERROR(H21+I21-J21,"")</f>
        <v/>
      </c>
      <c r="L21" s="16">
        <f>IFERROR(IF(K21&lt;=F21,"Critical — Stockout Risk",IF(K21&lt;=G21,"Below Reorder — Order Immediately","Adequate")),"")</f>
        <v/>
      </c>
    </row>
    <row r="22" ht="22" customHeight="1">
      <c r="B22" s="8" t="inlineStr">
        <is>
          <t>ITEM/0018</t>
        </is>
      </c>
      <c r="C22" s="9" t="inlineStr"/>
      <c r="D22" s="10" t="inlineStr">
        <is>
          <t>Lab Consumables / Chemicals</t>
        </is>
      </c>
      <c r="E22" s="10" t="inlineStr">
        <is>
          <t>Nos.</t>
        </is>
      </c>
      <c r="F22" s="10" t="inlineStr"/>
      <c r="G22" s="10" t="inlineStr"/>
      <c r="H22" s="10" t="inlineStr"/>
      <c r="I22" s="10" t="inlineStr"/>
      <c r="J22" s="10" t="inlineStr"/>
      <c r="K22" s="36">
        <f>IFERROR(H22+I22-J22,"")</f>
        <v/>
      </c>
      <c r="L22" s="10">
        <f>IFERROR(IF(K22&lt;=F22,"Critical — Stockout Risk",IF(K22&lt;=G22,"Below Reorder — Order Immediately","Adequate")),"")</f>
        <v/>
      </c>
    </row>
    <row r="23" ht="22" customHeight="1">
      <c r="B23" s="14" t="inlineStr">
        <is>
          <t>ITEM/0019</t>
        </is>
      </c>
      <c r="C23" s="15" t="inlineStr"/>
      <c r="D23" s="16" t="inlineStr">
        <is>
          <t>Furniture &amp; Fixtures</t>
        </is>
      </c>
      <c r="E23" s="16" t="inlineStr">
        <is>
          <t>Nos.</t>
        </is>
      </c>
      <c r="F23" s="16" t="inlineStr"/>
      <c r="G23" s="16" t="inlineStr"/>
      <c r="H23" s="16" t="inlineStr"/>
      <c r="I23" s="16" t="inlineStr"/>
      <c r="J23" s="16" t="inlineStr"/>
      <c r="K23" s="38">
        <f>IFERROR(H23+I23-J23,"")</f>
        <v/>
      </c>
      <c r="L23" s="16">
        <f>IFERROR(IF(K23&lt;=F23,"Critical — Stockout Risk",IF(K23&lt;=G23,"Below Reorder — Order Immediately","Adequate")),"")</f>
        <v/>
      </c>
    </row>
    <row r="24" ht="22" customHeight="1">
      <c r="B24" s="8" t="inlineStr">
        <is>
          <t>ITEM/0020</t>
        </is>
      </c>
      <c r="C24" s="9" t="inlineStr"/>
      <c r="D24" s="10" t="inlineStr">
        <is>
          <t>Office Stationery</t>
        </is>
      </c>
      <c r="E24" s="10" t="inlineStr">
        <is>
          <t>Nos.</t>
        </is>
      </c>
      <c r="F24" s="10" t="inlineStr"/>
      <c r="G24" s="10" t="inlineStr"/>
      <c r="H24" s="10" t="inlineStr"/>
      <c r="I24" s="10" t="inlineStr"/>
      <c r="J24" s="10" t="inlineStr"/>
      <c r="K24" s="36">
        <f>IFERROR(H24+I24-J24,"")</f>
        <v/>
      </c>
      <c r="L24" s="10">
        <f>IFERROR(IF(K24&lt;=F24,"Critical — Stockout Risk",IF(K24&lt;=G24,"Below Reorder — Order Immediately","Adequate")),"")</f>
        <v/>
      </c>
    </row>
    <row r="25" ht="22" customHeight="1">
      <c r="B25" s="14" t="inlineStr">
        <is>
          <t>ITEM/0021</t>
        </is>
      </c>
      <c r="C25" s="15" t="inlineStr"/>
      <c r="D25" s="16" t="inlineStr">
        <is>
          <t>Library Books &amp; Journals</t>
        </is>
      </c>
      <c r="E25" s="16" t="inlineStr">
        <is>
          <t>Nos.</t>
        </is>
      </c>
      <c r="F25" s="16" t="inlineStr"/>
      <c r="G25" s="16" t="inlineStr"/>
      <c r="H25" s="16" t="inlineStr"/>
      <c r="I25" s="16" t="inlineStr"/>
      <c r="J25" s="16" t="inlineStr"/>
      <c r="K25" s="38">
        <f>IFERROR(H25+I25-J25,"")</f>
        <v/>
      </c>
      <c r="L25" s="16">
        <f>IFERROR(IF(K25&lt;=F25,"Critical — Stockout Risk",IF(K25&lt;=G25,"Below Reorder — Order Immediately","Adequate")),"")</f>
        <v/>
      </c>
    </row>
    <row r="26" ht="22" customHeight="1">
      <c r="B26" s="8" t="inlineStr">
        <is>
          <t>ITEM/0022</t>
        </is>
      </c>
      <c r="C26" s="9" t="inlineStr"/>
      <c r="D26" s="10" t="inlineStr">
        <is>
          <t>Software &amp; Licences</t>
        </is>
      </c>
      <c r="E26" s="10" t="inlineStr">
        <is>
          <t>Nos.</t>
        </is>
      </c>
      <c r="F26" s="10" t="inlineStr"/>
      <c r="G26" s="10" t="inlineStr"/>
      <c r="H26" s="10" t="inlineStr"/>
      <c r="I26" s="10" t="inlineStr"/>
      <c r="J26" s="10" t="inlineStr"/>
      <c r="K26" s="36">
        <f>IFERROR(H26+I26-J26,"")</f>
        <v/>
      </c>
      <c r="L26" s="10">
        <f>IFERROR(IF(K26&lt;=F26,"Critical — Stockout Risk",IF(K26&lt;=G26,"Below Reorder — Order Immediately","Adequate")),"")</f>
        <v/>
      </c>
    </row>
    <row r="27" ht="22" customHeight="1">
      <c r="B27" s="14" t="inlineStr">
        <is>
          <t>ITEM/0023</t>
        </is>
      </c>
      <c r="C27" s="15" t="inlineStr"/>
      <c r="D27" s="16" t="inlineStr">
        <is>
          <t>Civil &amp; Maintenance</t>
        </is>
      </c>
      <c r="E27" s="16" t="inlineStr">
        <is>
          <t>Nos.</t>
        </is>
      </c>
      <c r="F27" s="16" t="inlineStr"/>
      <c r="G27" s="16" t="inlineStr"/>
      <c r="H27" s="16" t="inlineStr"/>
      <c r="I27" s="16" t="inlineStr"/>
      <c r="J27" s="16" t="inlineStr"/>
      <c r="K27" s="38">
        <f>IFERROR(H27+I27-J27,"")</f>
        <v/>
      </c>
      <c r="L27" s="16">
        <f>IFERROR(IF(K27&lt;=F27,"Critical — Stockout Risk",IF(K27&lt;=G27,"Below Reorder — Order Immediately","Adequate")),"")</f>
        <v/>
      </c>
    </row>
    <row r="28" ht="22" customHeight="1">
      <c r="B28" s="8" t="inlineStr">
        <is>
          <t>ITEM/0024</t>
        </is>
      </c>
      <c r="C28" s="9" t="inlineStr"/>
      <c r="D28" s="10" t="inlineStr">
        <is>
          <t>Electrical &amp; Electronics</t>
        </is>
      </c>
      <c r="E28" s="10" t="inlineStr">
        <is>
          <t>Nos.</t>
        </is>
      </c>
      <c r="F28" s="10" t="inlineStr"/>
      <c r="G28" s="10" t="inlineStr"/>
      <c r="H28" s="10" t="inlineStr"/>
      <c r="I28" s="10" t="inlineStr"/>
      <c r="J28" s="10" t="inlineStr"/>
      <c r="K28" s="36">
        <f>IFERROR(H28+I28-J28,"")</f>
        <v/>
      </c>
      <c r="L28" s="10">
        <f>IFERROR(IF(K28&lt;=F28,"Critical — Stockout Risk",IF(K28&lt;=G28,"Below Reorder — Order Immediately","Adequate")),"")</f>
        <v/>
      </c>
    </row>
    <row r="29" ht="22" customHeight="1">
      <c r="B29" s="14" t="inlineStr">
        <is>
          <t>ITEM/0025</t>
        </is>
      </c>
      <c r="C29" s="15" t="inlineStr"/>
      <c r="D29" s="16" t="inlineStr">
        <is>
          <t>Sports Equipment</t>
        </is>
      </c>
      <c r="E29" s="16" t="inlineStr">
        <is>
          <t>Nos.</t>
        </is>
      </c>
      <c r="F29" s="16" t="inlineStr"/>
      <c r="G29" s="16" t="inlineStr"/>
      <c r="H29" s="16" t="inlineStr"/>
      <c r="I29" s="16" t="inlineStr"/>
      <c r="J29" s="16" t="inlineStr"/>
      <c r="K29" s="38">
        <f>IFERROR(H29+I29-J29,"")</f>
        <v/>
      </c>
      <c r="L29" s="16">
        <f>IFERROR(IF(K29&lt;=F29,"Critical — Stockout Risk",IF(K29&lt;=G29,"Below Reorder — Order Immediately","Adequate")),"")</f>
        <v/>
      </c>
    </row>
    <row r="30" ht="22" customHeight="1">
      <c r="B30" s="8" t="inlineStr">
        <is>
          <t>ITEM/0026</t>
        </is>
      </c>
      <c r="C30" s="9" t="inlineStr"/>
      <c r="D30" s="10" t="inlineStr">
        <is>
          <t>Medical / First Aid</t>
        </is>
      </c>
      <c r="E30" s="10" t="inlineStr">
        <is>
          <t>Nos.</t>
        </is>
      </c>
      <c r="F30" s="10" t="inlineStr"/>
      <c r="G30" s="10" t="inlineStr"/>
      <c r="H30" s="10" t="inlineStr"/>
      <c r="I30" s="10" t="inlineStr"/>
      <c r="J30" s="10" t="inlineStr"/>
      <c r="K30" s="36">
        <f>IFERROR(H30+I30-J30,"")</f>
        <v/>
      </c>
      <c r="L30" s="10">
        <f>IFERROR(IF(K30&lt;=F30,"Critical — Stockout Risk",IF(K30&lt;=G30,"Below Reorder — Order Immediately","Adequate")),"")</f>
        <v/>
      </c>
    </row>
    <row r="31" ht="22" customHeight="1">
      <c r="B31" s="14" t="inlineStr">
        <is>
          <t>ITEM/0027</t>
        </is>
      </c>
      <c r="C31" s="15" t="inlineStr"/>
      <c r="D31" s="16" t="inlineStr">
        <is>
          <t>Printing &amp; Reprographics</t>
        </is>
      </c>
      <c r="E31" s="16" t="inlineStr">
        <is>
          <t>Nos.</t>
        </is>
      </c>
      <c r="F31" s="16" t="inlineStr"/>
      <c r="G31" s="16" t="inlineStr"/>
      <c r="H31" s="16" t="inlineStr"/>
      <c r="I31" s="16" t="inlineStr"/>
      <c r="J31" s="16" t="inlineStr"/>
      <c r="K31" s="38">
        <f>IFERROR(H31+I31-J31,"")</f>
        <v/>
      </c>
      <c r="L31" s="16">
        <f>IFERROR(IF(K31&lt;=F31,"Critical — Stockout Risk",IF(K31&lt;=G31,"Below Reorder — Order Immediately","Adequate")),"")</f>
        <v/>
      </c>
    </row>
    <row r="32" ht="22" customHeight="1">
      <c r="B32" s="8" t="inlineStr">
        <is>
          <t>ITEM/0028</t>
        </is>
      </c>
      <c r="C32" s="9" t="inlineStr"/>
      <c r="D32" s="10" t="inlineStr">
        <is>
          <t>Cleaning &amp; Housekeeping</t>
        </is>
      </c>
      <c r="E32" s="10" t="inlineStr">
        <is>
          <t>Nos.</t>
        </is>
      </c>
      <c r="F32" s="10" t="inlineStr"/>
      <c r="G32" s="10" t="inlineStr"/>
      <c r="H32" s="10" t="inlineStr"/>
      <c r="I32" s="10" t="inlineStr"/>
      <c r="J32" s="10" t="inlineStr"/>
      <c r="K32" s="36">
        <f>IFERROR(H32+I32-J32,"")</f>
        <v/>
      </c>
      <c r="L32" s="10">
        <f>IFERROR(IF(K32&lt;=F32,"Critical — Stockout Risk",IF(K32&lt;=G32,"Below Reorder — Order Immediately","Adequate")),"")</f>
        <v/>
      </c>
    </row>
    <row r="33" ht="22" customHeight="1">
      <c r="B33" s="14" t="inlineStr">
        <is>
          <t>ITEM/0029</t>
        </is>
      </c>
      <c r="C33" s="15" t="inlineStr"/>
      <c r="D33" s="16" t="inlineStr">
        <is>
          <t>Safety &amp; Security Equipment</t>
        </is>
      </c>
      <c r="E33" s="16" t="inlineStr">
        <is>
          <t>Nos.</t>
        </is>
      </c>
      <c r="F33" s="16" t="inlineStr"/>
      <c r="G33" s="16" t="inlineStr"/>
      <c r="H33" s="16" t="inlineStr"/>
      <c r="I33" s="16" t="inlineStr"/>
      <c r="J33" s="16" t="inlineStr"/>
      <c r="K33" s="38">
        <f>IFERROR(H33+I33-J33,"")</f>
        <v/>
      </c>
      <c r="L33" s="16">
        <f>IFERROR(IF(K33&lt;=F33,"Critical — Stockout Risk",IF(K33&lt;=G33,"Below Reorder — Order Immediately","Adequate")),"")</f>
        <v/>
      </c>
    </row>
    <row r="34" ht="22" customHeight="1">
      <c r="B34" s="8" t="inlineStr">
        <is>
          <t>ITEM/0030</t>
        </is>
      </c>
      <c r="C34" s="9" t="inlineStr"/>
      <c r="D34" s="10" t="inlineStr">
        <is>
          <t>Miscellaneous</t>
        </is>
      </c>
      <c r="E34" s="10" t="inlineStr">
        <is>
          <t>Nos.</t>
        </is>
      </c>
      <c r="F34" s="10" t="inlineStr"/>
      <c r="G34" s="10" t="inlineStr"/>
      <c r="H34" s="10" t="inlineStr"/>
      <c r="I34" s="10" t="inlineStr"/>
      <c r="J34" s="10" t="inlineStr"/>
      <c r="K34" s="36">
        <f>IFERROR(H34+I34-J34,"")</f>
        <v/>
      </c>
      <c r="L34" s="10">
        <f>IFERROR(IF(K34&lt;=F34,"Critical — Stockout Risk",IF(K34&lt;=G34,"Below Reorder — Order Immediately","Adequate")),"")</f>
        <v/>
      </c>
    </row>
    <row r="35" ht="22" customHeight="1">
      <c r="B35" s="14" t="inlineStr">
        <is>
          <t>ITEM/0031</t>
        </is>
      </c>
      <c r="C35" s="15" t="inlineStr"/>
      <c r="D35" s="16" t="inlineStr">
        <is>
          <t>ICT &amp; Computers</t>
        </is>
      </c>
      <c r="E35" s="16" t="inlineStr">
        <is>
          <t>Nos.</t>
        </is>
      </c>
      <c r="F35" s="16" t="inlineStr"/>
      <c r="G35" s="16" t="inlineStr"/>
      <c r="H35" s="16" t="inlineStr"/>
      <c r="I35" s="16" t="inlineStr"/>
      <c r="J35" s="16" t="inlineStr"/>
      <c r="K35" s="38">
        <f>IFERROR(H35+I35-J35,"")</f>
        <v/>
      </c>
      <c r="L35" s="16">
        <f>IFERROR(IF(K35&lt;=F35,"Critical — Stockout Risk",IF(K35&lt;=G35,"Below Reorder — Order Immediately","Adequate")),"")</f>
        <v/>
      </c>
    </row>
    <row r="36" ht="22" customHeight="1">
      <c r="B36" s="8" t="inlineStr">
        <is>
          <t>ITEM/0032</t>
        </is>
      </c>
      <c r="C36" s="9" t="inlineStr"/>
      <c r="D36" s="10" t="inlineStr">
        <is>
          <t>Lab Equipment</t>
        </is>
      </c>
      <c r="E36" s="10" t="inlineStr">
        <is>
          <t>Nos.</t>
        </is>
      </c>
      <c r="F36" s="10" t="inlineStr"/>
      <c r="G36" s="10" t="inlineStr"/>
      <c r="H36" s="10" t="inlineStr"/>
      <c r="I36" s="10" t="inlineStr"/>
      <c r="J36" s="10" t="inlineStr"/>
      <c r="K36" s="36">
        <f>IFERROR(H36+I36-J36,"")</f>
        <v/>
      </c>
      <c r="L36" s="10">
        <f>IFERROR(IF(K36&lt;=F36,"Critical — Stockout Risk",IF(K36&lt;=G36,"Below Reorder — Order Immediately","Adequate")),"")</f>
        <v/>
      </c>
    </row>
    <row r="37" ht="22" customHeight="1">
      <c r="B37" s="14" t="inlineStr">
        <is>
          <t>ITEM/0033</t>
        </is>
      </c>
      <c r="C37" s="15" t="inlineStr"/>
      <c r="D37" s="16" t="inlineStr">
        <is>
          <t>Lab Consumables / Chemicals</t>
        </is>
      </c>
      <c r="E37" s="16" t="inlineStr">
        <is>
          <t>Nos.</t>
        </is>
      </c>
      <c r="F37" s="16" t="inlineStr"/>
      <c r="G37" s="16" t="inlineStr"/>
      <c r="H37" s="16" t="inlineStr"/>
      <c r="I37" s="16" t="inlineStr"/>
      <c r="J37" s="16" t="inlineStr"/>
      <c r="K37" s="38">
        <f>IFERROR(H37+I37-J37,"")</f>
        <v/>
      </c>
      <c r="L37" s="16">
        <f>IFERROR(IF(K37&lt;=F37,"Critical — Stockout Risk",IF(K37&lt;=G37,"Below Reorder — Order Immediately","Adequate")),"")</f>
        <v/>
      </c>
    </row>
    <row r="38" ht="22" customHeight="1">
      <c r="B38" s="8" t="inlineStr">
        <is>
          <t>ITEM/0034</t>
        </is>
      </c>
      <c r="C38" s="9" t="inlineStr"/>
      <c r="D38" s="10" t="inlineStr">
        <is>
          <t>Furniture &amp; Fixtures</t>
        </is>
      </c>
      <c r="E38" s="10" t="inlineStr">
        <is>
          <t>Nos.</t>
        </is>
      </c>
      <c r="F38" s="10" t="inlineStr"/>
      <c r="G38" s="10" t="inlineStr"/>
      <c r="H38" s="10" t="inlineStr"/>
      <c r="I38" s="10" t="inlineStr"/>
      <c r="J38" s="10" t="inlineStr"/>
      <c r="K38" s="36">
        <f>IFERROR(H38+I38-J38,"")</f>
        <v/>
      </c>
      <c r="L38" s="10">
        <f>IFERROR(IF(K38&lt;=F38,"Critical — Stockout Risk",IF(K38&lt;=G38,"Below Reorder — Order Immediately","Adequate")),"")</f>
        <v/>
      </c>
    </row>
    <row r="39" ht="22" customHeight="1"/>
    <row r="40" ht="24" customHeight="1">
      <c r="B40" s="33" t="inlineStr">
        <is>
          <t>INVENTORY SUMMARY</t>
        </is>
      </c>
    </row>
    <row r="41" ht="22" customHeight="1">
      <c r="B41" s="22" t="inlineStr">
        <is>
          <t>Total Item Types in Stores</t>
        </is>
      </c>
      <c r="F41" s="35">
        <f>COUNTA(B5:B38)</f>
        <v/>
      </c>
    </row>
    <row r="42">
      <c r="B42" s="24" t="inlineStr">
        <is>
          <t>Items with Adequate Stock</t>
        </is>
      </c>
      <c r="F42" s="36">
        <f>COUNTIF(L5:L38,"Adequate")</f>
        <v/>
      </c>
    </row>
    <row r="43">
      <c r="B43" s="22" t="inlineStr">
        <is>
          <t>Items Below Reorder Level</t>
        </is>
      </c>
      <c r="F43" s="35">
        <f>COUNTIF(L5:L38,"Below Reorder — Order Immediately")</f>
        <v/>
      </c>
    </row>
    <row r="44">
      <c r="B44" s="24" t="inlineStr">
        <is>
          <t>Critical / Stockout Risk Items</t>
        </is>
      </c>
      <c r="F44" s="36">
        <f>COUNTIF(L5:L38,"Critical — Stockout Risk")</f>
        <v/>
      </c>
    </row>
    <row r="45">
      <c r="B45" s="22" t="inlineStr">
        <is>
          <t>Expired Items to Dispose</t>
        </is>
      </c>
      <c r="F45" s="35">
        <f>COUNTIF(L5:L38,"Expired — Dispose")</f>
        <v/>
      </c>
    </row>
    <row r="46">
      <c r="B46" s="24" t="inlineStr">
        <is>
          <t>Items Reviewed this Month</t>
        </is>
      </c>
      <c r="F46" s="36">
        <f>COUNTA(K5:K38)</f>
        <v/>
      </c>
    </row>
  </sheetData>
  <mergeCells count="15">
    <mergeCell ref="F45:L45"/>
    <mergeCell ref="B45:E45"/>
    <mergeCell ref="F46:L46"/>
    <mergeCell ref="B41:E41"/>
    <mergeCell ref="B46:E46"/>
    <mergeCell ref="F41:L41"/>
    <mergeCell ref="B43:E43"/>
    <mergeCell ref="F44:L44"/>
    <mergeCell ref="B44:E44"/>
    <mergeCell ref="B3:L3"/>
    <mergeCell ref="B2:L2"/>
    <mergeCell ref="F43:L43"/>
    <mergeCell ref="B42:E42"/>
    <mergeCell ref="F42:L42"/>
    <mergeCell ref="B40:L4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K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PSC-26: GOODS ISSUE REGISTER</t>
        </is>
      </c>
    </row>
    <row r="3" ht="20" customHeight="1">
      <c r="B3" s="2" t="inlineStr">
        <is>
          <t>Month: _______  A.Y.: _______  Store Keeper: ___________________</t>
        </is>
      </c>
    </row>
    <row r="4" ht="25" customHeight="1">
      <c r="B4" s="13" t="inlineStr">
        <is>
          <t>Issue
Ref.</t>
        </is>
      </c>
      <c r="C4" s="13" t="inlineStr">
        <is>
          <t>Item Name</t>
        </is>
      </c>
      <c r="D4" s="13" t="inlineStr">
        <is>
          <t>Item Code</t>
        </is>
      </c>
      <c r="E4" s="13" t="inlineStr">
        <is>
          <t>Issued to
(Dept. / Person)</t>
        </is>
      </c>
      <c r="F4" s="13" t="inlineStr">
        <is>
          <t>Date
of Issue</t>
        </is>
      </c>
      <c r="G4" s="13" t="inlineStr">
        <is>
          <t>Requisition
Ref.</t>
        </is>
      </c>
      <c r="H4" s="13" t="inlineStr">
        <is>
          <t>Quantity
Issued</t>
        </is>
      </c>
      <c r="I4" s="13" t="inlineStr">
        <is>
          <t>Balance
After Issue</t>
        </is>
      </c>
      <c r="J4" s="13" t="inlineStr">
        <is>
          <t>Purpose
/ Use</t>
        </is>
      </c>
      <c r="K4" s="13" t="inlineStr">
        <is>
          <t>Receiver's
Signature</t>
        </is>
      </c>
    </row>
    <row r="5" ht="22" customHeight="1">
      <c r="B5" s="14" t="inlineStr">
        <is>
          <t>ISS/0001</t>
        </is>
      </c>
      <c r="C5" s="15" t="inlineStr"/>
      <c r="D5" s="16" t="inlineStr">
        <is>
          <t>ITEM/0001</t>
        </is>
      </c>
      <c r="E5" s="15" t="inlineStr"/>
      <c r="F5" s="16" t="inlineStr"/>
      <c r="G5" s="16" t="inlineStr"/>
      <c r="H5" s="16" t="inlineStr"/>
      <c r="I5" s="16" t="inlineStr"/>
      <c r="J5" s="15" t="inlineStr"/>
      <c r="K5" s="16" t="inlineStr"/>
    </row>
    <row r="6" ht="22" customHeight="1">
      <c r="B6" s="8" t="inlineStr">
        <is>
          <t>ISS/0002</t>
        </is>
      </c>
      <c r="C6" s="9" t="inlineStr"/>
      <c r="D6" s="10" t="inlineStr">
        <is>
          <t>ITEM/0002</t>
        </is>
      </c>
      <c r="E6" s="9" t="inlineStr"/>
      <c r="F6" s="10" t="inlineStr"/>
      <c r="G6" s="10" t="inlineStr"/>
      <c r="H6" s="10" t="inlineStr"/>
      <c r="I6" s="10" t="inlineStr"/>
      <c r="J6" s="9" t="inlineStr"/>
      <c r="K6" s="10" t="inlineStr"/>
    </row>
    <row r="7" ht="22" customHeight="1">
      <c r="B7" s="14" t="inlineStr">
        <is>
          <t>ISS/0003</t>
        </is>
      </c>
      <c r="C7" s="15" t="inlineStr"/>
      <c r="D7" s="16" t="inlineStr">
        <is>
          <t>ITEM/0003</t>
        </is>
      </c>
      <c r="E7" s="15" t="inlineStr"/>
      <c r="F7" s="16" t="inlineStr"/>
      <c r="G7" s="16" t="inlineStr"/>
      <c r="H7" s="16" t="inlineStr"/>
      <c r="I7" s="16" t="inlineStr"/>
      <c r="J7" s="15" t="inlineStr"/>
      <c r="K7" s="16" t="inlineStr"/>
    </row>
    <row r="8" ht="22" customHeight="1">
      <c r="B8" s="8" t="inlineStr">
        <is>
          <t>ISS/0004</t>
        </is>
      </c>
      <c r="C8" s="9" t="inlineStr"/>
      <c r="D8" s="10" t="inlineStr">
        <is>
          <t>ITEM/0004</t>
        </is>
      </c>
      <c r="E8" s="9" t="inlineStr"/>
      <c r="F8" s="10" t="inlineStr"/>
      <c r="G8" s="10" t="inlineStr"/>
      <c r="H8" s="10" t="inlineStr"/>
      <c r="I8" s="10" t="inlineStr"/>
      <c r="J8" s="9" t="inlineStr"/>
      <c r="K8" s="10" t="inlineStr"/>
    </row>
    <row r="9" ht="22" customHeight="1">
      <c r="B9" s="14" t="inlineStr">
        <is>
          <t>ISS/0005</t>
        </is>
      </c>
      <c r="C9" s="15" t="inlineStr"/>
      <c r="D9" s="16" t="inlineStr">
        <is>
          <t>ITEM/0005</t>
        </is>
      </c>
      <c r="E9" s="15" t="inlineStr"/>
      <c r="F9" s="16" t="inlineStr"/>
      <c r="G9" s="16" t="inlineStr"/>
      <c r="H9" s="16" t="inlineStr"/>
      <c r="I9" s="16" t="inlineStr"/>
      <c r="J9" s="15" t="inlineStr"/>
      <c r="K9" s="16" t="inlineStr"/>
    </row>
    <row r="10" ht="22" customHeight="1">
      <c r="B10" s="8" t="inlineStr">
        <is>
          <t>ISS/0006</t>
        </is>
      </c>
      <c r="C10" s="9" t="inlineStr"/>
      <c r="D10" s="10" t="inlineStr">
        <is>
          <t>ITEM/0006</t>
        </is>
      </c>
      <c r="E10" s="9" t="inlineStr"/>
      <c r="F10" s="10" t="inlineStr"/>
      <c r="G10" s="10" t="inlineStr"/>
      <c r="H10" s="10" t="inlineStr"/>
      <c r="I10" s="10" t="inlineStr"/>
      <c r="J10" s="9" t="inlineStr"/>
      <c r="K10" s="10" t="inlineStr"/>
    </row>
    <row r="11" ht="22" customHeight="1">
      <c r="B11" s="14" t="inlineStr">
        <is>
          <t>ISS/0007</t>
        </is>
      </c>
      <c r="C11" s="15" t="inlineStr"/>
      <c r="D11" s="16" t="inlineStr">
        <is>
          <t>ITEM/0007</t>
        </is>
      </c>
      <c r="E11" s="15" t="inlineStr"/>
      <c r="F11" s="16" t="inlineStr"/>
      <c r="G11" s="16" t="inlineStr"/>
      <c r="H11" s="16" t="inlineStr"/>
      <c r="I11" s="16" t="inlineStr"/>
      <c r="J11" s="15" t="inlineStr"/>
      <c r="K11" s="16" t="inlineStr"/>
    </row>
    <row r="12" ht="22" customHeight="1">
      <c r="B12" s="8" t="inlineStr">
        <is>
          <t>ISS/0008</t>
        </is>
      </c>
      <c r="C12" s="9" t="inlineStr"/>
      <c r="D12" s="10" t="inlineStr">
        <is>
          <t>ITEM/0008</t>
        </is>
      </c>
      <c r="E12" s="9" t="inlineStr"/>
      <c r="F12" s="10" t="inlineStr"/>
      <c r="G12" s="10" t="inlineStr"/>
      <c r="H12" s="10" t="inlineStr"/>
      <c r="I12" s="10" t="inlineStr"/>
      <c r="J12" s="9" t="inlineStr"/>
      <c r="K12" s="10" t="inlineStr"/>
    </row>
    <row r="13" ht="22" customHeight="1">
      <c r="B13" s="14" t="inlineStr">
        <is>
          <t>ISS/0009</t>
        </is>
      </c>
      <c r="C13" s="15" t="inlineStr"/>
      <c r="D13" s="16" t="inlineStr">
        <is>
          <t>ITEM/0009</t>
        </is>
      </c>
      <c r="E13" s="15" t="inlineStr"/>
      <c r="F13" s="16" t="inlineStr"/>
      <c r="G13" s="16" t="inlineStr"/>
      <c r="H13" s="16" t="inlineStr"/>
      <c r="I13" s="16" t="inlineStr"/>
      <c r="J13" s="15" t="inlineStr"/>
      <c r="K13" s="16" t="inlineStr"/>
    </row>
    <row r="14" ht="22" customHeight="1">
      <c r="B14" s="8" t="inlineStr">
        <is>
          <t>ISS/0010</t>
        </is>
      </c>
      <c r="C14" s="9" t="inlineStr"/>
      <c r="D14" s="10" t="inlineStr">
        <is>
          <t>ITEM/0010</t>
        </is>
      </c>
      <c r="E14" s="9" t="inlineStr"/>
      <c r="F14" s="10" t="inlineStr"/>
      <c r="G14" s="10" t="inlineStr"/>
      <c r="H14" s="10" t="inlineStr"/>
      <c r="I14" s="10" t="inlineStr"/>
      <c r="J14" s="9" t="inlineStr"/>
      <c r="K14" s="10" t="inlineStr"/>
    </row>
    <row r="15" ht="22" customHeight="1">
      <c r="B15" s="14" t="inlineStr">
        <is>
          <t>ISS/0011</t>
        </is>
      </c>
      <c r="C15" s="15" t="inlineStr"/>
      <c r="D15" s="16" t="inlineStr">
        <is>
          <t>ITEM/0011</t>
        </is>
      </c>
      <c r="E15" s="15" t="inlineStr"/>
      <c r="F15" s="16" t="inlineStr"/>
      <c r="G15" s="16" t="inlineStr"/>
      <c r="H15" s="16" t="inlineStr"/>
      <c r="I15" s="16" t="inlineStr"/>
      <c r="J15" s="15" t="inlineStr"/>
      <c r="K15" s="16" t="inlineStr"/>
    </row>
    <row r="16" ht="22" customHeight="1">
      <c r="B16" s="8" t="inlineStr">
        <is>
          <t>ISS/0012</t>
        </is>
      </c>
      <c r="C16" s="9" t="inlineStr"/>
      <c r="D16" s="10" t="inlineStr">
        <is>
          <t>ITEM/0012</t>
        </is>
      </c>
      <c r="E16" s="9" t="inlineStr"/>
      <c r="F16" s="10" t="inlineStr"/>
      <c r="G16" s="10" t="inlineStr"/>
      <c r="H16" s="10" t="inlineStr"/>
      <c r="I16" s="10" t="inlineStr"/>
      <c r="J16" s="9" t="inlineStr"/>
      <c r="K16" s="10" t="inlineStr"/>
    </row>
    <row r="17" ht="22" customHeight="1">
      <c r="B17" s="14" t="inlineStr">
        <is>
          <t>ISS/0013</t>
        </is>
      </c>
      <c r="C17" s="15" t="inlineStr"/>
      <c r="D17" s="16" t="inlineStr">
        <is>
          <t>ITEM/0013</t>
        </is>
      </c>
      <c r="E17" s="15" t="inlineStr"/>
      <c r="F17" s="16" t="inlineStr"/>
      <c r="G17" s="16" t="inlineStr"/>
      <c r="H17" s="16" t="inlineStr"/>
      <c r="I17" s="16" t="inlineStr"/>
      <c r="J17" s="15" t="inlineStr"/>
      <c r="K17" s="16" t="inlineStr"/>
    </row>
    <row r="18" ht="22" customHeight="1">
      <c r="B18" s="8" t="inlineStr">
        <is>
          <t>ISS/0014</t>
        </is>
      </c>
      <c r="C18" s="9" t="inlineStr"/>
      <c r="D18" s="10" t="inlineStr">
        <is>
          <t>ITEM/0014</t>
        </is>
      </c>
      <c r="E18" s="9" t="inlineStr"/>
      <c r="F18" s="10" t="inlineStr"/>
      <c r="G18" s="10" t="inlineStr"/>
      <c r="H18" s="10" t="inlineStr"/>
      <c r="I18" s="10" t="inlineStr"/>
      <c r="J18" s="9" t="inlineStr"/>
      <c r="K18" s="10" t="inlineStr"/>
    </row>
    <row r="19" ht="22" customHeight="1">
      <c r="B19" s="14" t="inlineStr">
        <is>
          <t>ISS/0015</t>
        </is>
      </c>
      <c r="C19" s="15" t="inlineStr"/>
      <c r="D19" s="16" t="inlineStr">
        <is>
          <t>ITEM/0015</t>
        </is>
      </c>
      <c r="E19" s="15" t="inlineStr"/>
      <c r="F19" s="16" t="inlineStr"/>
      <c r="G19" s="16" t="inlineStr"/>
      <c r="H19" s="16" t="inlineStr"/>
      <c r="I19" s="16" t="inlineStr"/>
      <c r="J19" s="15" t="inlineStr"/>
      <c r="K19" s="16" t="inlineStr"/>
    </row>
    <row r="20" ht="22" customHeight="1">
      <c r="B20" s="8" t="inlineStr">
        <is>
          <t>ISS/0016</t>
        </is>
      </c>
      <c r="C20" s="9" t="inlineStr"/>
      <c r="D20" s="10" t="inlineStr">
        <is>
          <t>ITEM/0016</t>
        </is>
      </c>
      <c r="E20" s="9" t="inlineStr"/>
      <c r="F20" s="10" t="inlineStr"/>
      <c r="G20" s="10" t="inlineStr"/>
      <c r="H20" s="10" t="inlineStr"/>
      <c r="I20" s="10" t="inlineStr"/>
      <c r="J20" s="9" t="inlineStr"/>
      <c r="K20" s="10" t="inlineStr"/>
    </row>
    <row r="21" ht="22" customHeight="1">
      <c r="B21" s="14" t="inlineStr">
        <is>
          <t>ISS/0017</t>
        </is>
      </c>
      <c r="C21" s="15" t="inlineStr"/>
      <c r="D21" s="16" t="inlineStr">
        <is>
          <t>ITEM/0017</t>
        </is>
      </c>
      <c r="E21" s="15" t="inlineStr"/>
      <c r="F21" s="16" t="inlineStr"/>
      <c r="G21" s="16" t="inlineStr"/>
      <c r="H21" s="16" t="inlineStr"/>
      <c r="I21" s="16" t="inlineStr"/>
      <c r="J21" s="15" t="inlineStr"/>
      <c r="K21" s="16" t="inlineStr"/>
    </row>
    <row r="22" ht="22" customHeight="1">
      <c r="B22" s="8" t="inlineStr">
        <is>
          <t>ISS/0018</t>
        </is>
      </c>
      <c r="C22" s="9" t="inlineStr"/>
      <c r="D22" s="10" t="inlineStr">
        <is>
          <t>ITEM/0018</t>
        </is>
      </c>
      <c r="E22" s="9" t="inlineStr"/>
      <c r="F22" s="10" t="inlineStr"/>
      <c r="G22" s="10" t="inlineStr"/>
      <c r="H22" s="10" t="inlineStr"/>
      <c r="I22" s="10" t="inlineStr"/>
      <c r="J22" s="9" t="inlineStr"/>
      <c r="K22" s="10" t="inlineStr"/>
    </row>
    <row r="23" ht="22" customHeight="1">
      <c r="B23" s="14" t="inlineStr">
        <is>
          <t>ISS/0019</t>
        </is>
      </c>
      <c r="C23" s="15" t="inlineStr"/>
      <c r="D23" s="16" t="inlineStr">
        <is>
          <t>ITEM/0019</t>
        </is>
      </c>
      <c r="E23" s="15" t="inlineStr"/>
      <c r="F23" s="16" t="inlineStr"/>
      <c r="G23" s="16" t="inlineStr"/>
      <c r="H23" s="16" t="inlineStr"/>
      <c r="I23" s="16" t="inlineStr"/>
      <c r="J23" s="15" t="inlineStr"/>
      <c r="K23" s="16" t="inlineStr"/>
    </row>
    <row r="24" ht="22" customHeight="1">
      <c r="B24" s="8" t="inlineStr">
        <is>
          <t>ISS/0020</t>
        </is>
      </c>
      <c r="C24" s="9" t="inlineStr"/>
      <c r="D24" s="10" t="inlineStr">
        <is>
          <t>ITEM/0020</t>
        </is>
      </c>
      <c r="E24" s="9" t="inlineStr"/>
      <c r="F24" s="10" t="inlineStr"/>
      <c r="G24" s="10" t="inlineStr"/>
      <c r="H24" s="10" t="inlineStr"/>
      <c r="I24" s="10" t="inlineStr"/>
      <c r="J24" s="9" t="inlineStr"/>
      <c r="K24" s="10" t="inlineStr"/>
    </row>
    <row r="25" ht="22" customHeight="1">
      <c r="B25" s="14" t="inlineStr">
        <is>
          <t>ISS/0021</t>
        </is>
      </c>
      <c r="C25" s="15" t="inlineStr"/>
      <c r="D25" s="16" t="inlineStr">
        <is>
          <t>ITEM/0021</t>
        </is>
      </c>
      <c r="E25" s="15" t="inlineStr"/>
      <c r="F25" s="16" t="inlineStr"/>
      <c r="G25" s="16" t="inlineStr"/>
      <c r="H25" s="16" t="inlineStr"/>
      <c r="I25" s="16" t="inlineStr"/>
      <c r="J25" s="15" t="inlineStr"/>
      <c r="K25" s="16" t="inlineStr"/>
    </row>
    <row r="26" ht="22" customHeight="1">
      <c r="B26" s="8" t="inlineStr">
        <is>
          <t>ISS/0022</t>
        </is>
      </c>
      <c r="C26" s="9" t="inlineStr"/>
      <c r="D26" s="10" t="inlineStr">
        <is>
          <t>ITEM/0022</t>
        </is>
      </c>
      <c r="E26" s="9" t="inlineStr"/>
      <c r="F26" s="10" t="inlineStr"/>
      <c r="G26" s="10" t="inlineStr"/>
      <c r="H26" s="10" t="inlineStr"/>
      <c r="I26" s="10" t="inlineStr"/>
      <c r="J26" s="9" t="inlineStr"/>
      <c r="K26" s="10" t="inlineStr"/>
    </row>
    <row r="27" ht="22" customHeight="1">
      <c r="B27" s="14" t="inlineStr">
        <is>
          <t>ISS/0023</t>
        </is>
      </c>
      <c r="C27" s="15" t="inlineStr"/>
      <c r="D27" s="16" t="inlineStr">
        <is>
          <t>ITEM/0023</t>
        </is>
      </c>
      <c r="E27" s="15" t="inlineStr"/>
      <c r="F27" s="16" t="inlineStr"/>
      <c r="G27" s="16" t="inlineStr"/>
      <c r="H27" s="16" t="inlineStr"/>
      <c r="I27" s="16" t="inlineStr"/>
      <c r="J27" s="15" t="inlineStr"/>
      <c r="K27" s="16" t="inlineStr"/>
    </row>
    <row r="28" ht="22" customHeight="1">
      <c r="B28" s="8" t="inlineStr">
        <is>
          <t>ISS/0024</t>
        </is>
      </c>
      <c r="C28" s="9" t="inlineStr"/>
      <c r="D28" s="10" t="inlineStr">
        <is>
          <t>ITEM/0024</t>
        </is>
      </c>
      <c r="E28" s="9" t="inlineStr"/>
      <c r="F28" s="10" t="inlineStr"/>
      <c r="G28" s="10" t="inlineStr"/>
      <c r="H28" s="10" t="inlineStr"/>
      <c r="I28" s="10" t="inlineStr"/>
      <c r="J28" s="9" t="inlineStr"/>
      <c r="K28" s="10" t="inlineStr"/>
    </row>
    <row r="29" ht="22" customHeight="1">
      <c r="B29" s="14" t="inlineStr">
        <is>
          <t>ISS/0025</t>
        </is>
      </c>
      <c r="C29" s="15" t="inlineStr"/>
      <c r="D29" s="16" t="inlineStr">
        <is>
          <t>ITEM/0025</t>
        </is>
      </c>
      <c r="E29" s="15" t="inlineStr"/>
      <c r="F29" s="16" t="inlineStr"/>
      <c r="G29" s="16" t="inlineStr"/>
      <c r="H29" s="16" t="inlineStr"/>
      <c r="I29" s="16" t="inlineStr"/>
      <c r="J29" s="15" t="inlineStr"/>
      <c r="K29" s="16" t="inlineStr"/>
    </row>
    <row r="30" ht="22" customHeight="1">
      <c r="B30" s="8" t="inlineStr">
        <is>
          <t>ISS/0026</t>
        </is>
      </c>
      <c r="C30" s="9" t="inlineStr"/>
      <c r="D30" s="10" t="inlineStr">
        <is>
          <t>ITEM/0026</t>
        </is>
      </c>
      <c r="E30" s="9" t="inlineStr"/>
      <c r="F30" s="10" t="inlineStr"/>
      <c r="G30" s="10" t="inlineStr"/>
      <c r="H30" s="10" t="inlineStr"/>
      <c r="I30" s="10" t="inlineStr"/>
      <c r="J30" s="9" t="inlineStr"/>
      <c r="K30" s="10" t="inlineStr"/>
    </row>
    <row r="31" ht="22" customHeight="1">
      <c r="B31" s="14" t="inlineStr">
        <is>
          <t>ISS/0027</t>
        </is>
      </c>
      <c r="C31" s="15" t="inlineStr"/>
      <c r="D31" s="16" t="inlineStr">
        <is>
          <t>ITEM/0027</t>
        </is>
      </c>
      <c r="E31" s="15" t="inlineStr"/>
      <c r="F31" s="16" t="inlineStr"/>
      <c r="G31" s="16" t="inlineStr"/>
      <c r="H31" s="16" t="inlineStr"/>
      <c r="I31" s="16" t="inlineStr"/>
      <c r="J31" s="15" t="inlineStr"/>
      <c r="K31" s="16" t="inlineStr"/>
    </row>
    <row r="32" ht="22" customHeight="1">
      <c r="B32" s="8" t="inlineStr">
        <is>
          <t>ISS/0028</t>
        </is>
      </c>
      <c r="C32" s="9" t="inlineStr"/>
      <c r="D32" s="10" t="inlineStr">
        <is>
          <t>ITEM/0028</t>
        </is>
      </c>
      <c r="E32" s="9" t="inlineStr"/>
      <c r="F32" s="10" t="inlineStr"/>
      <c r="G32" s="10" t="inlineStr"/>
      <c r="H32" s="10" t="inlineStr"/>
      <c r="I32" s="10" t="inlineStr"/>
      <c r="J32" s="9" t="inlineStr"/>
      <c r="K32" s="10" t="inlineStr"/>
    </row>
    <row r="33" ht="22" customHeight="1"/>
    <row r="34" ht="24" customHeight="1">
      <c r="B34" s="33" t="inlineStr">
        <is>
          <t>ISSUE SUMMARY</t>
        </is>
      </c>
    </row>
    <row r="35" ht="22" customHeight="1">
      <c r="B35" s="22" t="inlineStr">
        <is>
          <t>Total Issues This Month</t>
        </is>
      </c>
      <c r="F35" s="35">
        <f>COUNTA(B5:B32)</f>
        <v/>
      </c>
    </row>
    <row r="36">
      <c r="B36" s="24" t="inlineStr">
        <is>
          <t>Total Quantity Issued</t>
        </is>
      </c>
      <c r="F36" s="36">
        <f>IFERROR(SUM(H5:H32),"")</f>
        <v/>
      </c>
    </row>
    <row r="37">
      <c r="B37" s="22" t="inlineStr">
        <is>
          <t>Top Issuing Department</t>
        </is>
      </c>
      <c r="F37" s="35" t="inlineStr"/>
    </row>
    <row r="38">
      <c r="B38" s="24" t="inlineStr">
        <is>
          <t>Items Most Frequently Issued</t>
        </is>
      </c>
      <c r="F38" s="36" t="inlineStr"/>
    </row>
    <row r="39">
      <c r="B39" s="22" t="inlineStr">
        <is>
          <t>Issues without Requisition</t>
        </is>
      </c>
      <c r="F39" s="35">
        <f>COUNTIF(G5:G32,"")</f>
        <v/>
      </c>
    </row>
    <row r="40">
      <c r="B40" s="24" t="inlineStr">
        <is>
          <t>Average Issues per Day</t>
        </is>
      </c>
      <c r="F40" s="36" t="inlineStr"/>
    </row>
  </sheetData>
  <mergeCells count="15">
    <mergeCell ref="B36:E36"/>
    <mergeCell ref="B40:E40"/>
    <mergeCell ref="F38:K38"/>
    <mergeCell ref="B35:E35"/>
    <mergeCell ref="F36:K36"/>
    <mergeCell ref="B37:E37"/>
    <mergeCell ref="B38:E38"/>
    <mergeCell ref="F40:K40"/>
    <mergeCell ref="B39:E39"/>
    <mergeCell ref="F35:K35"/>
    <mergeCell ref="B2:K2"/>
    <mergeCell ref="B34:K34"/>
    <mergeCell ref="F39:K39"/>
    <mergeCell ref="B3:K3"/>
    <mergeCell ref="F37:K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L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3" customWidth="1" min="13" max="13"/>
  </cols>
  <sheetData>
    <row r="1" ht="10" customHeight="1"/>
    <row r="2" ht="48" customHeight="1">
      <c r="B2" s="12" t="inlineStr">
        <is>
          <t>PSC-28: STOCK LEDGER — ITEM-WISE TRANSACTION LOG</t>
        </is>
      </c>
    </row>
    <row r="3" ht="20" customHeight="1">
      <c r="B3" s="2" t="inlineStr">
        <is>
          <t>Item Name: _______  Item Code: _______  Category: _______  Unit: _______  Reorder Level: _______</t>
        </is>
      </c>
    </row>
    <row r="4" ht="25" customHeight="1">
      <c r="B4" s="13" t="inlineStr">
        <is>
          <t>Date</t>
        </is>
      </c>
      <c r="C4" s="13" t="inlineStr">
        <is>
          <t>Transaction
Type</t>
        </is>
      </c>
      <c r="D4" s="13" t="inlineStr">
        <is>
          <t>PO / GRN /
Issue Ref.</t>
        </is>
      </c>
      <c r="E4" s="13" t="inlineStr">
        <is>
          <t>Supplier /
Received from /
Issued to</t>
        </is>
      </c>
      <c r="F4" s="13" t="inlineStr">
        <is>
          <t>Qty
Received</t>
        </is>
      </c>
      <c r="G4" s="13" t="inlineStr">
        <is>
          <t>Rate (₹)</t>
        </is>
      </c>
      <c r="H4" s="13" t="inlineStr">
        <is>
          <t>Value (₹)</t>
        </is>
      </c>
      <c r="I4" s="13" t="inlineStr">
        <is>
          <t>Qty
Issued</t>
        </is>
      </c>
      <c r="J4" s="13" t="inlineStr">
        <is>
          <t>Value (₹)</t>
        </is>
      </c>
      <c r="K4" s="13" t="inlineStr">
        <is>
          <t>Balance
Qty</t>
        </is>
      </c>
      <c r="L4" s="13" t="inlineStr">
        <is>
          <t>Balance
Value (₹)</t>
        </is>
      </c>
    </row>
    <row r="5" ht="22" customHeight="1">
      <c r="B5" s="16" t="inlineStr"/>
      <c r="C5" s="15" t="inlineStr">
        <is>
          <t>Opening Balance</t>
        </is>
      </c>
      <c r="D5" s="16" t="inlineStr"/>
      <c r="E5" s="15" t="inlineStr"/>
      <c r="F5" s="16" t="inlineStr"/>
      <c r="G5" s="16" t="inlineStr"/>
      <c r="H5" s="16">
        <f>IFERROR(F5*G5,"")</f>
        <v/>
      </c>
      <c r="I5" s="16" t="inlineStr"/>
      <c r="J5" s="16" t="inlineStr"/>
      <c r="K5" s="38" t="inlineStr"/>
      <c r="L5" s="38" t="inlineStr"/>
    </row>
    <row r="6" ht="22" customHeight="1">
      <c r="B6" s="10" t="inlineStr"/>
      <c r="C6" s="9" t="inlineStr">
        <is>
          <t>Goods Received (GRN)</t>
        </is>
      </c>
      <c r="D6" s="10" t="inlineStr"/>
      <c r="E6" s="9" t="inlineStr"/>
      <c r="F6" s="10" t="inlineStr"/>
      <c r="G6" s="10" t="inlineStr"/>
      <c r="H6" s="10">
        <f>IFERROR(F6*G6,"")</f>
        <v/>
      </c>
      <c r="I6" s="10" t="inlineStr"/>
      <c r="J6" s="10" t="inlineStr"/>
      <c r="K6" s="36">
        <f>IFERROR(K5+E6-I6,"")</f>
        <v/>
      </c>
      <c r="L6" s="36">
        <f>IFERROR(L5+H6-J6,"")</f>
        <v/>
      </c>
    </row>
    <row r="7" ht="22" customHeight="1">
      <c r="B7" s="16" t="inlineStr"/>
      <c r="C7" s="15" t="inlineStr">
        <is>
          <t>Issued to Department</t>
        </is>
      </c>
      <c r="D7" s="16" t="inlineStr"/>
      <c r="E7" s="15" t="inlineStr"/>
      <c r="F7" s="16" t="inlineStr"/>
      <c r="G7" s="16" t="inlineStr"/>
      <c r="H7" s="16">
        <f>IFERROR(F7*G7,"")</f>
        <v/>
      </c>
      <c r="I7" s="16" t="inlineStr"/>
      <c r="J7" s="16" t="inlineStr"/>
      <c r="K7" s="38">
        <f>IFERROR(K6+E7-I7,"")</f>
        <v/>
      </c>
      <c r="L7" s="38">
        <f>IFERROR(L6+H7-J7,"")</f>
        <v/>
      </c>
    </row>
    <row r="8" ht="22" customHeight="1">
      <c r="B8" s="10" t="inlineStr"/>
      <c r="C8" s="9" t="inlineStr">
        <is>
          <t>Returned to Stores</t>
        </is>
      </c>
      <c r="D8" s="10" t="inlineStr"/>
      <c r="E8" s="9" t="inlineStr"/>
      <c r="F8" s="10" t="inlineStr"/>
      <c r="G8" s="10" t="inlineStr"/>
      <c r="H8" s="10">
        <f>IFERROR(F8*G8,"")</f>
        <v/>
      </c>
      <c r="I8" s="10" t="inlineStr"/>
      <c r="J8" s="10" t="inlineStr"/>
      <c r="K8" s="36">
        <f>IFERROR(K7+E8-I8,"")</f>
        <v/>
      </c>
      <c r="L8" s="36">
        <f>IFERROR(L7+H8-J8,"")</f>
        <v/>
      </c>
    </row>
    <row r="9" ht="22" customHeight="1">
      <c r="B9" s="16" t="inlineStr"/>
      <c r="C9" s="15" t="inlineStr">
        <is>
          <t>Damaged / Written Off</t>
        </is>
      </c>
      <c r="D9" s="16" t="inlineStr"/>
      <c r="E9" s="15" t="inlineStr"/>
      <c r="F9" s="16" t="inlineStr"/>
      <c r="G9" s="16" t="inlineStr"/>
      <c r="H9" s="16">
        <f>IFERROR(F9*G9,"")</f>
        <v/>
      </c>
      <c r="I9" s="16" t="inlineStr"/>
      <c r="J9" s="16" t="inlineStr"/>
      <c r="K9" s="38">
        <f>IFERROR(K8+E9-I9,"")</f>
        <v/>
      </c>
      <c r="L9" s="38">
        <f>IFERROR(L8+H9-J9,"")</f>
        <v/>
      </c>
    </row>
    <row r="10" ht="22" customHeight="1">
      <c r="B10" s="10" t="inlineStr"/>
      <c r="C10" s="9" t="inlineStr">
        <is>
          <t>Physical Verification Adjustment</t>
        </is>
      </c>
      <c r="D10" s="10" t="inlineStr"/>
      <c r="E10" s="9" t="inlineStr"/>
      <c r="F10" s="10" t="inlineStr"/>
      <c r="G10" s="10" t="inlineStr"/>
      <c r="H10" s="10">
        <f>IFERROR(F10*G10,"")</f>
        <v/>
      </c>
      <c r="I10" s="10" t="inlineStr"/>
      <c r="J10" s="10" t="inlineStr"/>
      <c r="K10" s="36">
        <f>IFERROR(K9+E10-I10,"")</f>
        <v/>
      </c>
      <c r="L10" s="36">
        <f>IFERROR(L9+H10-J10,"")</f>
        <v/>
      </c>
    </row>
    <row r="11" ht="22" customHeight="1">
      <c r="B11" s="16" t="inlineStr"/>
      <c r="C11" s="15" t="inlineStr">
        <is>
          <t>Transfer to Another Store</t>
        </is>
      </c>
      <c r="D11" s="16" t="inlineStr"/>
      <c r="E11" s="15" t="inlineStr"/>
      <c r="F11" s="16" t="inlineStr"/>
      <c r="G11" s="16" t="inlineStr"/>
      <c r="H11" s="16">
        <f>IFERROR(F11*G11,"")</f>
        <v/>
      </c>
      <c r="I11" s="16" t="inlineStr"/>
      <c r="J11" s="16" t="inlineStr"/>
      <c r="K11" s="38">
        <f>IFERROR(K10+E11-I11,"")</f>
        <v/>
      </c>
      <c r="L11" s="38">
        <f>IFERROR(L10+H11-J11,"")</f>
        <v/>
      </c>
    </row>
    <row r="12" ht="22" customHeight="1">
      <c r="B12" s="10" t="inlineStr"/>
      <c r="C12" s="9" t="inlineStr">
        <is>
          <t>Opening Balance</t>
        </is>
      </c>
      <c r="D12" s="10" t="inlineStr"/>
      <c r="E12" s="9" t="inlineStr"/>
      <c r="F12" s="10" t="inlineStr"/>
      <c r="G12" s="10" t="inlineStr"/>
      <c r="H12" s="10">
        <f>IFERROR(F12*G12,"")</f>
        <v/>
      </c>
      <c r="I12" s="10" t="inlineStr"/>
      <c r="J12" s="10" t="inlineStr"/>
      <c r="K12" s="36">
        <f>IFERROR(K11+E12-I12,"")</f>
        <v/>
      </c>
      <c r="L12" s="36">
        <f>IFERROR(L11+H12-J12,"")</f>
        <v/>
      </c>
    </row>
    <row r="13" ht="22" customHeight="1">
      <c r="B13" s="16" t="inlineStr"/>
      <c r="C13" s="15" t="inlineStr">
        <is>
          <t>Goods Received (GRN)</t>
        </is>
      </c>
      <c r="D13" s="16" t="inlineStr"/>
      <c r="E13" s="15" t="inlineStr"/>
      <c r="F13" s="16" t="inlineStr"/>
      <c r="G13" s="16" t="inlineStr"/>
      <c r="H13" s="16">
        <f>IFERROR(F13*G13,"")</f>
        <v/>
      </c>
      <c r="I13" s="16" t="inlineStr"/>
      <c r="J13" s="16" t="inlineStr"/>
      <c r="K13" s="38">
        <f>IFERROR(K12+E13-I13,"")</f>
        <v/>
      </c>
      <c r="L13" s="38">
        <f>IFERROR(L12+H13-J13,"")</f>
        <v/>
      </c>
    </row>
    <row r="14" ht="22" customHeight="1">
      <c r="B14" s="10" t="inlineStr"/>
      <c r="C14" s="9" t="inlineStr">
        <is>
          <t>Issued to Department</t>
        </is>
      </c>
      <c r="D14" s="10" t="inlineStr"/>
      <c r="E14" s="9" t="inlineStr"/>
      <c r="F14" s="10" t="inlineStr"/>
      <c r="G14" s="10" t="inlineStr"/>
      <c r="H14" s="10">
        <f>IFERROR(F14*G14,"")</f>
        <v/>
      </c>
      <c r="I14" s="10" t="inlineStr"/>
      <c r="J14" s="10" t="inlineStr"/>
      <c r="K14" s="36">
        <f>IFERROR(K13+E14-I14,"")</f>
        <v/>
      </c>
      <c r="L14" s="36">
        <f>IFERROR(L13+H14-J14,"")</f>
        <v/>
      </c>
    </row>
    <row r="15" ht="22" customHeight="1">
      <c r="B15" s="16" t="inlineStr"/>
      <c r="C15" s="15" t="inlineStr">
        <is>
          <t>Returned to Stores</t>
        </is>
      </c>
      <c r="D15" s="16" t="inlineStr"/>
      <c r="E15" s="15" t="inlineStr"/>
      <c r="F15" s="16" t="inlineStr"/>
      <c r="G15" s="16" t="inlineStr"/>
      <c r="H15" s="16">
        <f>IFERROR(F15*G15,"")</f>
        <v/>
      </c>
      <c r="I15" s="16" t="inlineStr"/>
      <c r="J15" s="16" t="inlineStr"/>
      <c r="K15" s="38">
        <f>IFERROR(K14+E15-I15,"")</f>
        <v/>
      </c>
      <c r="L15" s="38">
        <f>IFERROR(L14+H15-J15,"")</f>
        <v/>
      </c>
    </row>
    <row r="16" ht="22" customHeight="1">
      <c r="B16" s="10" t="inlineStr"/>
      <c r="C16" s="9" t="inlineStr">
        <is>
          <t>Damaged / Written Off</t>
        </is>
      </c>
      <c r="D16" s="10" t="inlineStr"/>
      <c r="E16" s="9" t="inlineStr"/>
      <c r="F16" s="10" t="inlineStr"/>
      <c r="G16" s="10" t="inlineStr"/>
      <c r="H16" s="10">
        <f>IFERROR(F16*G16,"")</f>
        <v/>
      </c>
      <c r="I16" s="10" t="inlineStr"/>
      <c r="J16" s="10" t="inlineStr"/>
      <c r="K16" s="36">
        <f>IFERROR(K15+E16-I16,"")</f>
        <v/>
      </c>
      <c r="L16" s="36">
        <f>IFERROR(L15+H16-J16,"")</f>
        <v/>
      </c>
    </row>
    <row r="17" ht="22" customHeight="1">
      <c r="B17" s="16" t="inlineStr"/>
      <c r="C17" s="15" t="inlineStr">
        <is>
          <t>Physical Verification Adjustment</t>
        </is>
      </c>
      <c r="D17" s="16" t="inlineStr"/>
      <c r="E17" s="15" t="inlineStr"/>
      <c r="F17" s="16" t="inlineStr"/>
      <c r="G17" s="16" t="inlineStr"/>
      <c r="H17" s="16">
        <f>IFERROR(F17*G17,"")</f>
        <v/>
      </c>
      <c r="I17" s="16" t="inlineStr"/>
      <c r="J17" s="16" t="inlineStr"/>
      <c r="K17" s="38">
        <f>IFERROR(K16+E17-I17,"")</f>
        <v/>
      </c>
      <c r="L17" s="38">
        <f>IFERROR(L16+H17-J17,"")</f>
        <v/>
      </c>
    </row>
    <row r="18" ht="22" customHeight="1">
      <c r="B18" s="10" t="inlineStr"/>
      <c r="C18" s="9" t="inlineStr">
        <is>
          <t>Transfer to Another Store</t>
        </is>
      </c>
      <c r="D18" s="10" t="inlineStr"/>
      <c r="E18" s="9" t="inlineStr"/>
      <c r="F18" s="10" t="inlineStr"/>
      <c r="G18" s="10" t="inlineStr"/>
      <c r="H18" s="10">
        <f>IFERROR(F18*G18,"")</f>
        <v/>
      </c>
      <c r="I18" s="10" t="inlineStr"/>
      <c r="J18" s="10" t="inlineStr"/>
      <c r="K18" s="36">
        <f>IFERROR(K17+E18-I18,"")</f>
        <v/>
      </c>
      <c r="L18" s="36">
        <f>IFERROR(L17+H18-J18,"")</f>
        <v/>
      </c>
    </row>
    <row r="19" ht="22" customHeight="1">
      <c r="B19" s="16" t="inlineStr"/>
      <c r="C19" s="15" t="inlineStr">
        <is>
          <t>Opening Balance</t>
        </is>
      </c>
      <c r="D19" s="16" t="inlineStr"/>
      <c r="E19" s="15" t="inlineStr"/>
      <c r="F19" s="16" t="inlineStr"/>
      <c r="G19" s="16" t="inlineStr"/>
      <c r="H19" s="16">
        <f>IFERROR(F19*G19,"")</f>
        <v/>
      </c>
      <c r="I19" s="16" t="inlineStr"/>
      <c r="J19" s="16" t="inlineStr"/>
      <c r="K19" s="38">
        <f>IFERROR(K18+E19-I19,"")</f>
        <v/>
      </c>
      <c r="L19" s="38">
        <f>IFERROR(L18+H19-J19,"")</f>
        <v/>
      </c>
    </row>
    <row r="20" ht="22" customHeight="1">
      <c r="B20" s="10" t="inlineStr"/>
      <c r="C20" s="9" t="inlineStr">
        <is>
          <t>Goods Received (GRN)</t>
        </is>
      </c>
      <c r="D20" s="10" t="inlineStr"/>
      <c r="E20" s="9" t="inlineStr"/>
      <c r="F20" s="10" t="inlineStr"/>
      <c r="G20" s="10" t="inlineStr"/>
      <c r="H20" s="10">
        <f>IFERROR(F20*G20,"")</f>
        <v/>
      </c>
      <c r="I20" s="10" t="inlineStr"/>
      <c r="J20" s="10" t="inlineStr"/>
      <c r="K20" s="36">
        <f>IFERROR(K19+E20-I20,"")</f>
        <v/>
      </c>
      <c r="L20" s="36">
        <f>IFERROR(L19+H20-J20,"")</f>
        <v/>
      </c>
    </row>
    <row r="21" ht="22" customHeight="1">
      <c r="B21" s="16" t="inlineStr"/>
      <c r="C21" s="15" t="inlineStr">
        <is>
          <t>Issued to Department</t>
        </is>
      </c>
      <c r="D21" s="16" t="inlineStr"/>
      <c r="E21" s="15" t="inlineStr"/>
      <c r="F21" s="16" t="inlineStr"/>
      <c r="G21" s="16" t="inlineStr"/>
      <c r="H21" s="16">
        <f>IFERROR(F21*G21,"")</f>
        <v/>
      </c>
      <c r="I21" s="16" t="inlineStr"/>
      <c r="J21" s="16" t="inlineStr"/>
      <c r="K21" s="38">
        <f>IFERROR(K20+E21-I21,"")</f>
        <v/>
      </c>
      <c r="L21" s="38">
        <f>IFERROR(L20+H21-J21,"")</f>
        <v/>
      </c>
    </row>
    <row r="22" ht="22" customHeight="1">
      <c r="B22" s="10" t="inlineStr"/>
      <c r="C22" s="9" t="inlineStr">
        <is>
          <t>Returned to Stores</t>
        </is>
      </c>
      <c r="D22" s="10" t="inlineStr"/>
      <c r="E22" s="9" t="inlineStr"/>
      <c r="F22" s="10" t="inlineStr"/>
      <c r="G22" s="10" t="inlineStr"/>
      <c r="H22" s="10">
        <f>IFERROR(F22*G22,"")</f>
        <v/>
      </c>
      <c r="I22" s="10" t="inlineStr"/>
      <c r="J22" s="10" t="inlineStr"/>
      <c r="K22" s="36">
        <f>IFERROR(K21+E22-I22,"")</f>
        <v/>
      </c>
      <c r="L22" s="36">
        <f>IFERROR(L21+H22-J22,"")</f>
        <v/>
      </c>
    </row>
    <row r="23" ht="22" customHeight="1">
      <c r="B23" s="16" t="inlineStr"/>
      <c r="C23" s="15" t="inlineStr">
        <is>
          <t>Damaged / Written Off</t>
        </is>
      </c>
      <c r="D23" s="16" t="inlineStr"/>
      <c r="E23" s="15" t="inlineStr"/>
      <c r="F23" s="16" t="inlineStr"/>
      <c r="G23" s="16" t="inlineStr"/>
      <c r="H23" s="16">
        <f>IFERROR(F23*G23,"")</f>
        <v/>
      </c>
      <c r="I23" s="16" t="inlineStr"/>
      <c r="J23" s="16" t="inlineStr"/>
      <c r="K23" s="38">
        <f>IFERROR(K22+E23-I23,"")</f>
        <v/>
      </c>
      <c r="L23" s="38">
        <f>IFERROR(L22+H23-J23,"")</f>
        <v/>
      </c>
    </row>
    <row r="24" ht="22" customHeight="1">
      <c r="B24" s="10" t="inlineStr"/>
      <c r="C24" s="9" t="inlineStr">
        <is>
          <t>Physical Verification Adjustment</t>
        </is>
      </c>
      <c r="D24" s="10" t="inlineStr"/>
      <c r="E24" s="9" t="inlineStr"/>
      <c r="F24" s="10" t="inlineStr"/>
      <c r="G24" s="10" t="inlineStr"/>
      <c r="H24" s="10">
        <f>IFERROR(F24*G24,"")</f>
        <v/>
      </c>
      <c r="I24" s="10" t="inlineStr"/>
      <c r="J24" s="10" t="inlineStr"/>
      <c r="K24" s="36">
        <f>IFERROR(K23+E24-I24,"")</f>
        <v/>
      </c>
      <c r="L24" s="36">
        <f>IFERROR(L23+H24-J24,"")</f>
        <v/>
      </c>
    </row>
    <row r="25" ht="22" customHeight="1">
      <c r="B25" s="16" t="inlineStr"/>
      <c r="C25" s="15" t="inlineStr">
        <is>
          <t>Transfer to Another Store</t>
        </is>
      </c>
      <c r="D25" s="16" t="inlineStr"/>
      <c r="E25" s="15" t="inlineStr"/>
      <c r="F25" s="16" t="inlineStr"/>
      <c r="G25" s="16" t="inlineStr"/>
      <c r="H25" s="16">
        <f>IFERROR(F25*G25,"")</f>
        <v/>
      </c>
      <c r="I25" s="16" t="inlineStr"/>
      <c r="J25" s="16" t="inlineStr"/>
      <c r="K25" s="38">
        <f>IFERROR(K24+E25-I25,"")</f>
        <v/>
      </c>
      <c r="L25" s="38">
        <f>IFERROR(L24+H25-J25,"")</f>
        <v/>
      </c>
    </row>
    <row r="26" ht="22" customHeight="1">
      <c r="B26" s="10" t="inlineStr"/>
      <c r="C26" s="9" t="inlineStr">
        <is>
          <t>Opening Balance</t>
        </is>
      </c>
      <c r="D26" s="10" t="inlineStr"/>
      <c r="E26" s="9" t="inlineStr"/>
      <c r="F26" s="10" t="inlineStr"/>
      <c r="G26" s="10" t="inlineStr"/>
      <c r="H26" s="10">
        <f>IFERROR(F26*G26,"")</f>
        <v/>
      </c>
      <c r="I26" s="10" t="inlineStr"/>
      <c r="J26" s="10" t="inlineStr"/>
      <c r="K26" s="36">
        <f>IFERROR(K25+E26-I26,"")</f>
        <v/>
      </c>
      <c r="L26" s="36">
        <f>IFERROR(L25+H26-J26,"")</f>
        <v/>
      </c>
    </row>
    <row r="27" ht="22" customHeight="1">
      <c r="B27" s="16" t="inlineStr"/>
      <c r="C27" s="15" t="inlineStr">
        <is>
          <t>Goods Received (GRN)</t>
        </is>
      </c>
      <c r="D27" s="16" t="inlineStr"/>
      <c r="E27" s="15" t="inlineStr"/>
      <c r="F27" s="16" t="inlineStr"/>
      <c r="G27" s="16" t="inlineStr"/>
      <c r="H27" s="16">
        <f>IFERROR(F27*G27,"")</f>
        <v/>
      </c>
      <c r="I27" s="16" t="inlineStr"/>
      <c r="J27" s="16" t="inlineStr"/>
      <c r="K27" s="38">
        <f>IFERROR(K26+E27-I27,"")</f>
        <v/>
      </c>
      <c r="L27" s="38">
        <f>IFERROR(L26+H27-J27,"")</f>
        <v/>
      </c>
    </row>
    <row r="28" ht="22" customHeight="1">
      <c r="B28" s="10" t="inlineStr"/>
      <c r="C28" s="9" t="inlineStr">
        <is>
          <t>Issued to Department</t>
        </is>
      </c>
      <c r="D28" s="10" t="inlineStr"/>
      <c r="E28" s="9" t="inlineStr"/>
      <c r="F28" s="10" t="inlineStr"/>
      <c r="G28" s="10" t="inlineStr"/>
      <c r="H28" s="10">
        <f>IFERROR(F28*G28,"")</f>
        <v/>
      </c>
      <c r="I28" s="10" t="inlineStr"/>
      <c r="J28" s="10" t="inlineStr"/>
      <c r="K28" s="36">
        <f>IFERROR(K27+E28-I28,"")</f>
        <v/>
      </c>
      <c r="L28" s="36">
        <f>IFERROR(L27+H28-J28,"")</f>
        <v/>
      </c>
    </row>
    <row r="29" ht="22" customHeight="1">
      <c r="B29" s="16" t="inlineStr"/>
      <c r="C29" s="15" t="inlineStr">
        <is>
          <t>Returned to Stores</t>
        </is>
      </c>
      <c r="D29" s="16" t="inlineStr"/>
      <c r="E29" s="15" t="inlineStr"/>
      <c r="F29" s="16" t="inlineStr"/>
      <c r="G29" s="16" t="inlineStr"/>
      <c r="H29" s="16">
        <f>IFERROR(F29*G29,"")</f>
        <v/>
      </c>
      <c r="I29" s="16" t="inlineStr"/>
      <c r="J29" s="16" t="inlineStr"/>
      <c r="K29" s="38">
        <f>IFERROR(K28+E29-I29,"")</f>
        <v/>
      </c>
      <c r="L29" s="38">
        <f>IFERROR(L28+H29-J29,"")</f>
        <v/>
      </c>
    </row>
    <row r="30" ht="22" customHeight="1">
      <c r="B30" s="10" t="inlineStr"/>
      <c r="C30" s="9" t="inlineStr">
        <is>
          <t>Damaged / Written Off</t>
        </is>
      </c>
      <c r="D30" s="10" t="inlineStr"/>
      <c r="E30" s="9" t="inlineStr"/>
      <c r="F30" s="10" t="inlineStr"/>
      <c r="G30" s="10" t="inlineStr"/>
      <c r="H30" s="10">
        <f>IFERROR(F30*G30,"")</f>
        <v/>
      </c>
      <c r="I30" s="10" t="inlineStr"/>
      <c r="J30" s="10" t="inlineStr"/>
      <c r="K30" s="36">
        <f>IFERROR(K29+E30-I30,"")</f>
        <v/>
      </c>
      <c r="L30" s="36">
        <f>IFERROR(L29+H30-J30,"")</f>
        <v/>
      </c>
    </row>
    <row r="31" ht="22" customHeight="1"/>
    <row r="32" ht="22" customHeight="1"/>
    <row r="33" ht="22" customHeight="1"/>
    <row r="34" ht="22" customHeight="1"/>
    <row r="35" ht="22" customHeight="1"/>
  </sheetData>
  <mergeCells count="2">
    <mergeCell ref="B2:L2"/>
    <mergeCell ref="B3:L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L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3" customWidth="1" min="13" max="13"/>
  </cols>
  <sheetData>
    <row r="1" ht="10" customHeight="1"/>
    <row r="2" ht="48" customHeight="1">
      <c r="B2" s="12" t="inlineStr">
        <is>
          <t>PSC-32: CAPITAL EQUIPMENT PURCHASE REGISTER (≥ ₹50,000)</t>
        </is>
      </c>
    </row>
    <row r="3" ht="20" customHeight="1">
      <c r="B3" s="17" t="inlineStr">
        <is>
          <t>Capital equipment (≥ ₹50,000) must be: (1) Approved by Governing Body / Finance Committee, (2) Asset-tagged immediately after receipt, (3) Insured, (4) Entered in Asset Register (PSC-35), (5) AMC arranged.</t>
        </is>
      </c>
    </row>
    <row r="4" ht="25" customHeight="1">
      <c r="B4" s="13" t="inlineStr">
        <is>
          <t>Equip.
Ref.</t>
        </is>
      </c>
      <c r="C4" s="13" t="inlineStr">
        <is>
          <t>Equipment Name /
Model</t>
        </is>
      </c>
      <c r="D4" s="13" t="inlineStr">
        <is>
          <t>Department /
Lab</t>
        </is>
      </c>
      <c r="E4" s="13" t="inlineStr">
        <is>
          <t>Vendor</t>
        </is>
      </c>
      <c r="F4" s="13" t="inlineStr">
        <is>
          <t>PO Ref.</t>
        </is>
      </c>
      <c r="G4" s="13" t="inlineStr">
        <is>
          <t>PO Date</t>
        </is>
      </c>
      <c r="H4" s="13" t="inlineStr">
        <is>
          <t>Total
Cost (₹)</t>
        </is>
      </c>
      <c r="I4" s="13" t="inlineStr">
        <is>
          <t>Warranty
Upto</t>
        </is>
      </c>
      <c r="J4" s="13" t="inlineStr">
        <is>
          <t>Asset
Tag No.</t>
        </is>
      </c>
      <c r="K4" s="13" t="inlineStr">
        <is>
          <t>AMC
Arranged</t>
        </is>
      </c>
      <c r="L4" s="13" t="inlineStr">
        <is>
          <t>Status</t>
        </is>
      </c>
    </row>
    <row r="5" ht="22" customHeight="1">
      <c r="B5" s="14" t="inlineStr">
        <is>
          <t>EQ/2024/001</t>
        </is>
      </c>
      <c r="C5" s="15" t="inlineStr"/>
      <c r="D5" s="16" t="inlineStr">
        <is>
          <t>Physics Lab</t>
        </is>
      </c>
      <c r="E5" s="15" t="inlineStr"/>
      <c r="F5" s="16" t="inlineStr">
        <is>
          <t>PO/2024/0001</t>
        </is>
      </c>
      <c r="G5" s="16" t="inlineStr"/>
      <c r="H5" s="16" t="inlineStr"/>
      <c r="I5" s="16" t="inlineStr"/>
      <c r="J5" s="16" t="inlineStr"/>
      <c r="K5" s="16" t="inlineStr">
        <is>
          <t>Y</t>
        </is>
      </c>
      <c r="L5" s="16" t="inlineStr">
        <is>
          <t>Operational</t>
        </is>
      </c>
    </row>
    <row r="6" ht="22" customHeight="1">
      <c r="B6" s="8" t="inlineStr">
        <is>
          <t>EQ/2024/002</t>
        </is>
      </c>
      <c r="C6" s="9" t="inlineStr"/>
      <c r="D6" s="10" t="inlineStr">
        <is>
          <t>Chemistry Lab</t>
        </is>
      </c>
      <c r="E6" s="9" t="inlineStr"/>
      <c r="F6" s="10" t="inlineStr">
        <is>
          <t>PO/2024/0002</t>
        </is>
      </c>
      <c r="G6" s="10" t="inlineStr"/>
      <c r="H6" s="10" t="inlineStr"/>
      <c r="I6" s="10" t="inlineStr"/>
      <c r="J6" s="10" t="inlineStr"/>
      <c r="K6" s="10" t="inlineStr">
        <is>
          <t>Y</t>
        </is>
      </c>
      <c r="L6" s="10" t="inlineStr">
        <is>
          <t>Operational</t>
        </is>
      </c>
    </row>
    <row r="7" ht="22" customHeight="1">
      <c r="B7" s="14" t="inlineStr">
        <is>
          <t>EQ/2024/003</t>
        </is>
      </c>
      <c r="C7" s="15" t="inlineStr"/>
      <c r="D7" s="16" t="inlineStr">
        <is>
          <t>Electronics Lab</t>
        </is>
      </c>
      <c r="E7" s="15" t="inlineStr"/>
      <c r="F7" s="16" t="inlineStr">
        <is>
          <t>PO/2024/0003</t>
        </is>
      </c>
      <c r="G7" s="16" t="inlineStr"/>
      <c r="H7" s="16" t="inlineStr"/>
      <c r="I7" s="16" t="inlineStr"/>
      <c r="J7" s="16" t="inlineStr"/>
      <c r="K7" s="16" t="inlineStr">
        <is>
          <t>Y</t>
        </is>
      </c>
      <c r="L7" s="16" t="inlineStr">
        <is>
          <t>Operational</t>
        </is>
      </c>
    </row>
    <row r="8" ht="22" customHeight="1">
      <c r="B8" s="8" t="inlineStr">
        <is>
          <t>EQ/2024/004</t>
        </is>
      </c>
      <c r="C8" s="9" t="inlineStr"/>
      <c r="D8" s="10" t="inlineStr">
        <is>
          <t>Mechanical Workshop</t>
        </is>
      </c>
      <c r="E8" s="9" t="inlineStr"/>
      <c r="F8" s="10" t="inlineStr">
        <is>
          <t>PO/2024/0004</t>
        </is>
      </c>
      <c r="G8" s="10" t="inlineStr"/>
      <c r="H8" s="10" t="inlineStr"/>
      <c r="I8" s="10" t="inlineStr"/>
      <c r="J8" s="10" t="inlineStr"/>
      <c r="K8" s="10" t="inlineStr">
        <is>
          <t>Y</t>
        </is>
      </c>
      <c r="L8" s="10" t="inlineStr">
        <is>
          <t>Operational</t>
        </is>
      </c>
    </row>
    <row r="9" ht="22" customHeight="1">
      <c r="B9" s="14" t="inlineStr">
        <is>
          <t>EQ/2024/005</t>
        </is>
      </c>
      <c r="C9" s="15" t="inlineStr"/>
      <c r="D9" s="16" t="inlineStr">
        <is>
          <t>Computer Lab</t>
        </is>
      </c>
      <c r="E9" s="15" t="inlineStr"/>
      <c r="F9" s="16" t="inlineStr">
        <is>
          <t>PO/2024/0005</t>
        </is>
      </c>
      <c r="G9" s="16" t="inlineStr"/>
      <c r="H9" s="16" t="inlineStr"/>
      <c r="I9" s="16" t="inlineStr"/>
      <c r="J9" s="16" t="inlineStr"/>
      <c r="K9" s="16" t="inlineStr">
        <is>
          <t>Y</t>
        </is>
      </c>
      <c r="L9" s="16" t="inlineStr">
        <is>
          <t>Operational</t>
        </is>
      </c>
    </row>
    <row r="10" ht="22" customHeight="1">
      <c r="B10" s="8" t="inlineStr">
        <is>
          <t>EQ/2024/006</t>
        </is>
      </c>
      <c r="C10" s="9" t="inlineStr"/>
      <c r="D10" s="10" t="inlineStr">
        <is>
          <t>Civil Lab</t>
        </is>
      </c>
      <c r="E10" s="9" t="inlineStr"/>
      <c r="F10" s="10" t="inlineStr">
        <is>
          <t>PO/2024/0006</t>
        </is>
      </c>
      <c r="G10" s="10" t="inlineStr"/>
      <c r="H10" s="10" t="inlineStr"/>
      <c r="I10" s="10" t="inlineStr"/>
      <c r="J10" s="10" t="inlineStr"/>
      <c r="K10" s="10" t="inlineStr">
        <is>
          <t>Y</t>
        </is>
      </c>
      <c r="L10" s="10" t="inlineStr">
        <is>
          <t>Operational</t>
        </is>
      </c>
    </row>
    <row r="11" ht="22" customHeight="1">
      <c r="B11" s="14" t="inlineStr">
        <is>
          <t>EQ/2024/007</t>
        </is>
      </c>
      <c r="C11" s="15" t="inlineStr"/>
      <c r="D11" s="16" t="inlineStr">
        <is>
          <t>Biotech Lab</t>
        </is>
      </c>
      <c r="E11" s="15" t="inlineStr"/>
      <c r="F11" s="16" t="inlineStr">
        <is>
          <t>PO/2024/0007</t>
        </is>
      </c>
      <c r="G11" s="16" t="inlineStr"/>
      <c r="H11" s="16" t="inlineStr"/>
      <c r="I11" s="16" t="inlineStr"/>
      <c r="J11" s="16" t="inlineStr"/>
      <c r="K11" s="16" t="inlineStr">
        <is>
          <t>Y</t>
        </is>
      </c>
      <c r="L11" s="16" t="inlineStr">
        <is>
          <t>Operational</t>
        </is>
      </c>
    </row>
    <row r="12" ht="22" customHeight="1">
      <c r="B12" s="8" t="inlineStr">
        <is>
          <t>EQ/2024/008</t>
        </is>
      </c>
      <c r="C12" s="9" t="inlineStr"/>
      <c r="D12" s="10" t="inlineStr">
        <is>
          <t>Medical / Health Centre</t>
        </is>
      </c>
      <c r="E12" s="9" t="inlineStr"/>
      <c r="F12" s="10" t="inlineStr">
        <is>
          <t>PO/2024/0008</t>
        </is>
      </c>
      <c r="G12" s="10" t="inlineStr"/>
      <c r="H12" s="10" t="inlineStr"/>
      <c r="I12" s="10" t="inlineStr"/>
      <c r="J12" s="10" t="inlineStr"/>
      <c r="K12" s="10" t="inlineStr">
        <is>
          <t>Y</t>
        </is>
      </c>
      <c r="L12" s="10" t="inlineStr">
        <is>
          <t>Operational</t>
        </is>
      </c>
    </row>
    <row r="13" ht="22" customHeight="1">
      <c r="B13" s="14" t="inlineStr">
        <is>
          <t>EQ/2024/009</t>
        </is>
      </c>
      <c r="C13" s="15" t="inlineStr"/>
      <c r="D13" s="16" t="inlineStr">
        <is>
          <t>Library</t>
        </is>
      </c>
      <c r="E13" s="15" t="inlineStr"/>
      <c r="F13" s="16" t="inlineStr">
        <is>
          <t>PO/2024/0009</t>
        </is>
      </c>
      <c r="G13" s="16" t="inlineStr"/>
      <c r="H13" s="16" t="inlineStr"/>
      <c r="I13" s="16" t="inlineStr"/>
      <c r="J13" s="16" t="inlineStr"/>
      <c r="K13" s="16" t="inlineStr">
        <is>
          <t>Y</t>
        </is>
      </c>
      <c r="L13" s="16" t="inlineStr">
        <is>
          <t>Operational</t>
        </is>
      </c>
    </row>
    <row r="14" ht="22" customHeight="1">
      <c r="B14" s="8" t="inlineStr">
        <is>
          <t>EQ/2024/010</t>
        </is>
      </c>
      <c r="C14" s="9" t="inlineStr"/>
      <c r="D14" s="10" t="inlineStr">
        <is>
          <t>Administrative Office</t>
        </is>
      </c>
      <c r="E14" s="9" t="inlineStr"/>
      <c r="F14" s="10" t="inlineStr">
        <is>
          <t>PO/2024/0010</t>
        </is>
      </c>
      <c r="G14" s="10" t="inlineStr"/>
      <c r="H14" s="10" t="inlineStr"/>
      <c r="I14" s="10" t="inlineStr"/>
      <c r="J14" s="10" t="inlineStr"/>
      <c r="K14" s="10" t="inlineStr">
        <is>
          <t>Y</t>
        </is>
      </c>
      <c r="L14" s="10" t="inlineStr">
        <is>
          <t>Operational</t>
        </is>
      </c>
    </row>
    <row r="15" ht="22" customHeight="1">
      <c r="B15" s="14" t="inlineStr">
        <is>
          <t>EQ/2025/011</t>
        </is>
      </c>
      <c r="C15" s="15" t="inlineStr"/>
      <c r="D15" s="16" t="inlineStr">
        <is>
          <t>Sports Complex</t>
        </is>
      </c>
      <c r="E15" s="15" t="inlineStr"/>
      <c r="F15" s="16" t="inlineStr">
        <is>
          <t>PO/2025/0011</t>
        </is>
      </c>
      <c r="G15" s="16" t="inlineStr"/>
      <c r="H15" s="16" t="inlineStr"/>
      <c r="I15" s="16" t="inlineStr"/>
      <c r="J15" s="16" t="inlineStr"/>
      <c r="K15" s="16" t="inlineStr">
        <is>
          <t>Y</t>
        </is>
      </c>
      <c r="L15" s="16" t="inlineStr">
        <is>
          <t>Operational</t>
        </is>
      </c>
    </row>
    <row r="16" ht="22" customHeight="1">
      <c r="B16" s="8" t="inlineStr">
        <is>
          <t>EQ/2025/012</t>
        </is>
      </c>
      <c r="C16" s="9" t="inlineStr"/>
      <c r="D16" s="10" t="inlineStr">
        <is>
          <t>Physics Lab</t>
        </is>
      </c>
      <c r="E16" s="9" t="inlineStr"/>
      <c r="F16" s="10" t="inlineStr">
        <is>
          <t>PO/2025/0012</t>
        </is>
      </c>
      <c r="G16" s="10" t="inlineStr"/>
      <c r="H16" s="10" t="inlineStr"/>
      <c r="I16" s="10" t="inlineStr"/>
      <c r="J16" s="10" t="inlineStr"/>
      <c r="K16" s="10" t="inlineStr">
        <is>
          <t>Y</t>
        </is>
      </c>
      <c r="L16" s="10" t="inlineStr">
        <is>
          <t>Operational</t>
        </is>
      </c>
    </row>
    <row r="17" ht="22" customHeight="1">
      <c r="B17" s="14" t="inlineStr">
        <is>
          <t>EQ/2025/013</t>
        </is>
      </c>
      <c r="C17" s="15" t="inlineStr"/>
      <c r="D17" s="16" t="inlineStr">
        <is>
          <t>Chemistry Lab</t>
        </is>
      </c>
      <c r="E17" s="15" t="inlineStr"/>
      <c r="F17" s="16" t="inlineStr">
        <is>
          <t>PO/2025/0013</t>
        </is>
      </c>
      <c r="G17" s="16" t="inlineStr"/>
      <c r="H17" s="16" t="inlineStr"/>
      <c r="I17" s="16" t="inlineStr"/>
      <c r="J17" s="16" t="inlineStr"/>
      <c r="K17" s="16" t="inlineStr">
        <is>
          <t>Y</t>
        </is>
      </c>
      <c r="L17" s="16" t="inlineStr">
        <is>
          <t>Operational</t>
        </is>
      </c>
    </row>
    <row r="18" ht="22" customHeight="1">
      <c r="B18" s="8" t="inlineStr">
        <is>
          <t>EQ/2025/014</t>
        </is>
      </c>
      <c r="C18" s="9" t="inlineStr"/>
      <c r="D18" s="10" t="inlineStr">
        <is>
          <t>Electronics Lab</t>
        </is>
      </c>
      <c r="E18" s="9" t="inlineStr"/>
      <c r="F18" s="10" t="inlineStr">
        <is>
          <t>PO/2025/0014</t>
        </is>
      </c>
      <c r="G18" s="10" t="inlineStr"/>
      <c r="H18" s="10" t="inlineStr"/>
      <c r="I18" s="10" t="inlineStr"/>
      <c r="J18" s="10" t="inlineStr"/>
      <c r="K18" s="10" t="inlineStr">
        <is>
          <t>Y</t>
        </is>
      </c>
      <c r="L18" s="10" t="inlineStr">
        <is>
          <t>Operational</t>
        </is>
      </c>
    </row>
    <row r="19" ht="22" customHeight="1">
      <c r="B19" s="14" t="inlineStr">
        <is>
          <t>EQ/2025/015</t>
        </is>
      </c>
      <c r="C19" s="15" t="inlineStr"/>
      <c r="D19" s="16" t="inlineStr">
        <is>
          <t>Mechanical Workshop</t>
        </is>
      </c>
      <c r="E19" s="15" t="inlineStr"/>
      <c r="F19" s="16" t="inlineStr">
        <is>
          <t>PO/2025/0015</t>
        </is>
      </c>
      <c r="G19" s="16" t="inlineStr"/>
      <c r="H19" s="16" t="inlineStr"/>
      <c r="I19" s="16" t="inlineStr"/>
      <c r="J19" s="16" t="inlineStr"/>
      <c r="K19" s="16" t="inlineStr">
        <is>
          <t>Y</t>
        </is>
      </c>
      <c r="L19" s="16" t="inlineStr">
        <is>
          <t>Operational</t>
        </is>
      </c>
    </row>
    <row r="20" ht="22" customHeight="1">
      <c r="B20" s="8" t="inlineStr">
        <is>
          <t>EQ/2025/016</t>
        </is>
      </c>
      <c r="C20" s="9" t="inlineStr"/>
      <c r="D20" s="10" t="inlineStr">
        <is>
          <t>Computer Lab</t>
        </is>
      </c>
      <c r="E20" s="9" t="inlineStr"/>
      <c r="F20" s="10" t="inlineStr">
        <is>
          <t>PO/2025/0016</t>
        </is>
      </c>
      <c r="G20" s="10" t="inlineStr"/>
      <c r="H20" s="10" t="inlineStr"/>
      <c r="I20" s="10" t="inlineStr"/>
      <c r="J20" s="10" t="inlineStr"/>
      <c r="K20" s="10" t="inlineStr">
        <is>
          <t>Y</t>
        </is>
      </c>
      <c r="L20" s="10" t="inlineStr">
        <is>
          <t>Operational</t>
        </is>
      </c>
    </row>
    <row r="21" ht="22" customHeight="1">
      <c r="B21" s="14" t="inlineStr">
        <is>
          <t>EQ/2025/017</t>
        </is>
      </c>
      <c r="C21" s="15" t="inlineStr"/>
      <c r="D21" s="16" t="inlineStr">
        <is>
          <t>Civil Lab</t>
        </is>
      </c>
      <c r="E21" s="15" t="inlineStr"/>
      <c r="F21" s="16" t="inlineStr">
        <is>
          <t>PO/2025/0017</t>
        </is>
      </c>
      <c r="G21" s="16" t="inlineStr"/>
      <c r="H21" s="16" t="inlineStr"/>
      <c r="I21" s="16" t="inlineStr"/>
      <c r="J21" s="16" t="inlineStr"/>
      <c r="K21" s="16" t="inlineStr">
        <is>
          <t>Y</t>
        </is>
      </c>
      <c r="L21" s="16" t="inlineStr">
        <is>
          <t>Operational</t>
        </is>
      </c>
    </row>
    <row r="22" ht="22" customHeight="1">
      <c r="B22" s="8" t="inlineStr">
        <is>
          <t>EQ/2025/018</t>
        </is>
      </c>
      <c r="C22" s="9" t="inlineStr"/>
      <c r="D22" s="10" t="inlineStr">
        <is>
          <t>Biotech Lab</t>
        </is>
      </c>
      <c r="E22" s="9" t="inlineStr"/>
      <c r="F22" s="10" t="inlineStr">
        <is>
          <t>PO/2025/0018</t>
        </is>
      </c>
      <c r="G22" s="10" t="inlineStr"/>
      <c r="H22" s="10" t="inlineStr"/>
      <c r="I22" s="10" t="inlineStr"/>
      <c r="J22" s="10" t="inlineStr"/>
      <c r="K22" s="10" t="inlineStr">
        <is>
          <t>Y</t>
        </is>
      </c>
      <c r="L22" s="10" t="inlineStr">
        <is>
          <t>Operational</t>
        </is>
      </c>
    </row>
    <row r="23" ht="22" customHeight="1">
      <c r="B23" s="14" t="inlineStr">
        <is>
          <t>EQ/2025/019</t>
        </is>
      </c>
      <c r="C23" s="15" t="inlineStr"/>
      <c r="D23" s="16" t="inlineStr">
        <is>
          <t>Medical / Health Centre</t>
        </is>
      </c>
      <c r="E23" s="15" t="inlineStr"/>
      <c r="F23" s="16" t="inlineStr">
        <is>
          <t>PO/2025/0019</t>
        </is>
      </c>
      <c r="G23" s="16" t="inlineStr"/>
      <c r="H23" s="16" t="inlineStr"/>
      <c r="I23" s="16" t="inlineStr"/>
      <c r="J23" s="16" t="inlineStr"/>
      <c r="K23" s="16" t="inlineStr">
        <is>
          <t>Y</t>
        </is>
      </c>
      <c r="L23" s="16" t="inlineStr">
        <is>
          <t>Operational</t>
        </is>
      </c>
    </row>
    <row r="24" ht="22" customHeight="1">
      <c r="B24" s="8" t="inlineStr">
        <is>
          <t>EQ/2025/020</t>
        </is>
      </c>
      <c r="C24" s="9" t="inlineStr"/>
      <c r="D24" s="10" t="inlineStr">
        <is>
          <t>Library</t>
        </is>
      </c>
      <c r="E24" s="9" t="inlineStr"/>
      <c r="F24" s="10" t="inlineStr">
        <is>
          <t>PO/2025/0020</t>
        </is>
      </c>
      <c r="G24" s="10" t="inlineStr"/>
      <c r="H24" s="10" t="inlineStr"/>
      <c r="I24" s="10" t="inlineStr"/>
      <c r="J24" s="10" t="inlineStr"/>
      <c r="K24" s="10" t="inlineStr">
        <is>
          <t>Y</t>
        </is>
      </c>
      <c r="L24" s="10" t="inlineStr">
        <is>
          <t>Operational</t>
        </is>
      </c>
    </row>
    <row r="25" ht="22" customHeight="1"/>
    <row r="26" ht="24" customHeight="1">
      <c r="B26" s="33" t="inlineStr">
        <is>
          <t>CAPITAL EQUIPMENT SUMMARY</t>
        </is>
      </c>
    </row>
    <row r="27" ht="22" customHeight="1">
      <c r="B27" s="22" t="inlineStr">
        <is>
          <t>Total Capital Equipment Items</t>
        </is>
      </c>
      <c r="F27" s="35">
        <f>COUNTA(B5:B24)</f>
        <v/>
      </c>
    </row>
    <row r="28" ht="22" customHeight="1">
      <c r="B28" s="24" t="inlineStr">
        <is>
          <t>Total Capital Expenditure (₹)</t>
        </is>
      </c>
      <c r="F28" s="36">
        <f>IFERROR(SUM(H5:H24),"")</f>
        <v/>
      </c>
    </row>
    <row r="29" ht="22" customHeight="1">
      <c r="B29" s="22" t="inlineStr">
        <is>
          <t>Asset-Tagged Equipment</t>
        </is>
      </c>
      <c r="F29" s="35">
        <f>COUNTIF(J5:J24,"&lt;&gt;"&amp;"")</f>
        <v/>
      </c>
    </row>
    <row r="30">
      <c r="B30" s="24" t="inlineStr">
        <is>
          <t>Equipment with AMC</t>
        </is>
      </c>
      <c r="F30" s="36">
        <f>COUNTIF(K5:K24,"Y")</f>
        <v/>
      </c>
    </row>
    <row r="31">
      <c r="B31" s="22" t="inlineStr">
        <is>
          <t>Warranty Expiring in 60 Days</t>
        </is>
      </c>
      <c r="F31" s="35" t="inlineStr"/>
    </row>
    <row r="32">
      <c r="B32" s="24" t="inlineStr">
        <is>
          <t>Operational Equipment</t>
        </is>
      </c>
      <c r="F32" s="36">
        <f>COUNTIF(L5:L24,"Operational")</f>
        <v/>
      </c>
    </row>
  </sheetData>
  <mergeCells count="15">
    <mergeCell ref="F31:L31"/>
    <mergeCell ref="B31:E31"/>
    <mergeCell ref="B26:L26"/>
    <mergeCell ref="B27:E27"/>
    <mergeCell ref="F28:L28"/>
    <mergeCell ref="F32:L32"/>
    <mergeCell ref="F27:L27"/>
    <mergeCell ref="F30:L30"/>
    <mergeCell ref="B30:E30"/>
    <mergeCell ref="B3:L3"/>
    <mergeCell ref="B2:L2"/>
    <mergeCell ref="B29:E29"/>
    <mergeCell ref="F29:L29"/>
    <mergeCell ref="B28:E28"/>
    <mergeCell ref="B32:E3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3" customWidth="1" min="13" max="13"/>
  </cols>
  <sheetData>
    <row r="1" ht="10" customHeight="1"/>
    <row r="2" ht="48" customHeight="1">
      <c r="B2" s="12" t="inlineStr">
        <is>
          <t>PSC-35: MOVABLE ASSET REGISTER</t>
        </is>
      </c>
    </row>
    <row r="3" ht="20" customHeight="1">
      <c r="B3" s="2" t="inlineStr">
        <is>
          <t>Institution: _________________________  A.Y.: _______  Store Keeper: ___________________  Last Verified: _______</t>
        </is>
      </c>
    </row>
    <row r="4" ht="25" customHeight="1">
      <c r="B4" s="42" t="inlineStr">
        <is>
          <t>Asset
Code</t>
        </is>
      </c>
      <c r="C4" s="42" t="inlineStr">
        <is>
          <t>Asset Name / Description</t>
        </is>
      </c>
      <c r="D4" s="42" t="inlineStr">
        <is>
          <t>Location /
Dept.</t>
        </is>
      </c>
      <c r="E4" s="42" t="inlineStr">
        <is>
          <t>Date of
Purchase</t>
        </is>
      </c>
      <c r="F4" s="42" t="inlineStr">
        <is>
          <t>PO Ref.</t>
        </is>
      </c>
      <c r="G4" s="42" t="inlineStr">
        <is>
          <t>Original
Cost (₹)</t>
        </is>
      </c>
      <c r="H4" s="42" t="inlineStr">
        <is>
          <t>Insured?
(Y/N)</t>
        </is>
      </c>
      <c r="I4" s="42" t="inlineStr">
        <is>
          <t>Condition</t>
        </is>
      </c>
      <c r="J4" s="42" t="inlineStr">
        <is>
          <t>Assigned to
(Person)</t>
        </is>
      </c>
      <c r="K4" s="42" t="inlineStr">
        <is>
          <t>Last Verified
Date</t>
        </is>
      </c>
      <c r="L4" s="42" t="inlineStr">
        <is>
          <t>Status</t>
        </is>
      </c>
    </row>
    <row r="5" ht="22" customHeight="1">
      <c r="B5" s="43" t="inlineStr">
        <is>
          <t>AST/00001</t>
        </is>
      </c>
      <c r="C5" s="44" t="inlineStr"/>
      <c r="D5" s="45" t="inlineStr">
        <is>
          <t>Principal's Office</t>
        </is>
      </c>
      <c r="E5" s="45" t="inlineStr"/>
      <c r="F5" s="45" t="inlineStr">
        <is>
          <t>PO/2024/0001</t>
        </is>
      </c>
      <c r="G5" s="45" t="inlineStr"/>
      <c r="H5" s="45" t="inlineStr">
        <is>
          <t>Y</t>
        </is>
      </c>
      <c r="I5" s="45" t="inlineStr">
        <is>
          <t>Excellent — New</t>
        </is>
      </c>
      <c r="J5" s="44" t="inlineStr"/>
      <c r="K5" s="45" t="inlineStr"/>
      <c r="L5" s="45" t="inlineStr">
        <is>
          <t>In Use</t>
        </is>
      </c>
    </row>
    <row r="6" ht="22" customHeight="1">
      <c r="B6" s="8" t="inlineStr">
        <is>
          <t>AST/00002</t>
        </is>
      </c>
      <c r="C6" s="9" t="inlineStr"/>
      <c r="D6" s="10" t="inlineStr">
        <is>
          <t>Administrative Block</t>
        </is>
      </c>
      <c r="E6" s="10" t="inlineStr"/>
      <c r="F6" s="10" t="inlineStr">
        <is>
          <t>PO/2024/0002</t>
        </is>
      </c>
      <c r="G6" s="10" t="inlineStr"/>
      <c r="H6" s="10" t="inlineStr">
        <is>
          <t>Y</t>
        </is>
      </c>
      <c r="I6" s="10" t="inlineStr">
        <is>
          <t>Good — Functional</t>
        </is>
      </c>
      <c r="J6" s="9" t="inlineStr"/>
      <c r="K6" s="10" t="inlineStr"/>
      <c r="L6" s="10" t="inlineStr">
        <is>
          <t>In Use</t>
        </is>
      </c>
    </row>
    <row r="7" ht="22" customHeight="1">
      <c r="B7" s="43" t="inlineStr">
        <is>
          <t>AST/00003</t>
        </is>
      </c>
      <c r="C7" s="44" t="inlineStr"/>
      <c r="D7" s="45" t="inlineStr">
        <is>
          <t>Library</t>
        </is>
      </c>
      <c r="E7" s="45" t="inlineStr"/>
      <c r="F7" s="45" t="inlineStr">
        <is>
          <t>PO/2024/0003</t>
        </is>
      </c>
      <c r="G7" s="45" t="inlineStr"/>
      <c r="H7" s="45" t="inlineStr">
        <is>
          <t>Y</t>
        </is>
      </c>
      <c r="I7" s="45" t="inlineStr">
        <is>
          <t>Fair — Minor Repairs Needed</t>
        </is>
      </c>
      <c r="J7" s="44" t="inlineStr"/>
      <c r="K7" s="45" t="inlineStr"/>
      <c r="L7" s="45" t="inlineStr">
        <is>
          <t>In Use</t>
        </is>
      </c>
    </row>
    <row r="8" ht="22" customHeight="1">
      <c r="B8" s="8" t="inlineStr">
        <is>
          <t>AST/00004</t>
        </is>
      </c>
      <c r="C8" s="9" t="inlineStr"/>
      <c r="D8" s="10" t="inlineStr">
        <is>
          <t>Physics Lab</t>
        </is>
      </c>
      <c r="E8" s="10" t="inlineStr"/>
      <c r="F8" s="10" t="inlineStr">
        <is>
          <t>PO/2024/0004</t>
        </is>
      </c>
      <c r="G8" s="10" t="inlineStr"/>
      <c r="H8" s="10" t="inlineStr">
        <is>
          <t>Y</t>
        </is>
      </c>
      <c r="I8" s="10" t="inlineStr">
        <is>
          <t>Poor — Major Repair Needed</t>
        </is>
      </c>
      <c r="J8" s="9" t="inlineStr"/>
      <c r="K8" s="10" t="inlineStr"/>
      <c r="L8" s="10" t="inlineStr">
        <is>
          <t>In Use</t>
        </is>
      </c>
    </row>
    <row r="9" ht="22" customHeight="1">
      <c r="B9" s="43" t="inlineStr">
        <is>
          <t>AST/00005</t>
        </is>
      </c>
      <c r="C9" s="44" t="inlineStr"/>
      <c r="D9" s="45" t="inlineStr">
        <is>
          <t>Chemistry Lab</t>
        </is>
      </c>
      <c r="E9" s="45" t="inlineStr"/>
      <c r="F9" s="45" t="inlineStr">
        <is>
          <t>PO/2024/0005</t>
        </is>
      </c>
      <c r="G9" s="45" t="inlineStr"/>
      <c r="H9" s="45" t="inlineStr">
        <is>
          <t>Y</t>
        </is>
      </c>
      <c r="I9" s="45" t="inlineStr">
        <is>
          <t>Condemned / Written Off</t>
        </is>
      </c>
      <c r="J9" s="44" t="inlineStr"/>
      <c r="K9" s="45" t="inlineStr"/>
      <c r="L9" s="45" t="inlineStr">
        <is>
          <t>In Use</t>
        </is>
      </c>
    </row>
    <row r="10" ht="22" customHeight="1">
      <c r="B10" s="8" t="inlineStr">
        <is>
          <t>AST/00006</t>
        </is>
      </c>
      <c r="C10" s="9" t="inlineStr"/>
      <c r="D10" s="10" t="inlineStr">
        <is>
          <t>Electronics Lab</t>
        </is>
      </c>
      <c r="E10" s="10" t="inlineStr"/>
      <c r="F10" s="10" t="inlineStr">
        <is>
          <t>PO/2024/0006</t>
        </is>
      </c>
      <c r="G10" s="10" t="inlineStr"/>
      <c r="H10" s="10" t="inlineStr">
        <is>
          <t>Y</t>
        </is>
      </c>
      <c r="I10" s="10" t="inlineStr">
        <is>
          <t>Excellent — New</t>
        </is>
      </c>
      <c r="J10" s="9" t="inlineStr"/>
      <c r="K10" s="10" t="inlineStr"/>
      <c r="L10" s="10" t="inlineStr">
        <is>
          <t>In Use</t>
        </is>
      </c>
    </row>
    <row r="11" ht="22" customHeight="1">
      <c r="B11" s="43" t="inlineStr">
        <is>
          <t>AST/00007</t>
        </is>
      </c>
      <c r="C11" s="44" t="inlineStr"/>
      <c r="D11" s="45" t="inlineStr">
        <is>
          <t>Mechanical Workshop</t>
        </is>
      </c>
      <c r="E11" s="45" t="inlineStr"/>
      <c r="F11" s="45" t="inlineStr">
        <is>
          <t>PO/2024/0007</t>
        </is>
      </c>
      <c r="G11" s="45" t="inlineStr"/>
      <c r="H11" s="45" t="inlineStr">
        <is>
          <t>Y</t>
        </is>
      </c>
      <c r="I11" s="45" t="inlineStr">
        <is>
          <t>Good — Functional</t>
        </is>
      </c>
      <c r="J11" s="44" t="inlineStr"/>
      <c r="K11" s="45" t="inlineStr"/>
      <c r="L11" s="45" t="inlineStr">
        <is>
          <t>In Use</t>
        </is>
      </c>
    </row>
    <row r="12" ht="22" customHeight="1">
      <c r="B12" s="8" t="inlineStr">
        <is>
          <t>AST/00008</t>
        </is>
      </c>
      <c r="C12" s="9" t="inlineStr"/>
      <c r="D12" s="10" t="inlineStr">
        <is>
          <t>Computer Lab — CSE</t>
        </is>
      </c>
      <c r="E12" s="10" t="inlineStr"/>
      <c r="F12" s="10" t="inlineStr">
        <is>
          <t>PO/2024/0008</t>
        </is>
      </c>
      <c r="G12" s="10" t="inlineStr"/>
      <c r="H12" s="10" t="inlineStr">
        <is>
          <t>Y</t>
        </is>
      </c>
      <c r="I12" s="10" t="inlineStr">
        <is>
          <t>Fair — Minor Repairs Needed</t>
        </is>
      </c>
      <c r="J12" s="9" t="inlineStr"/>
      <c r="K12" s="10" t="inlineStr"/>
      <c r="L12" s="10" t="inlineStr">
        <is>
          <t>In Use</t>
        </is>
      </c>
    </row>
    <row r="13" ht="22" customHeight="1">
      <c r="B13" s="43" t="inlineStr">
        <is>
          <t>AST/00009</t>
        </is>
      </c>
      <c r="C13" s="44" t="inlineStr"/>
      <c r="D13" s="45" t="inlineStr">
        <is>
          <t>Computer Lab — IT</t>
        </is>
      </c>
      <c r="E13" s="45" t="inlineStr"/>
      <c r="F13" s="45" t="inlineStr">
        <is>
          <t>PO/2024/0009</t>
        </is>
      </c>
      <c r="G13" s="45" t="inlineStr"/>
      <c r="H13" s="45" t="inlineStr">
        <is>
          <t>Y</t>
        </is>
      </c>
      <c r="I13" s="45" t="inlineStr">
        <is>
          <t>Poor — Major Repair Needed</t>
        </is>
      </c>
      <c r="J13" s="44" t="inlineStr"/>
      <c r="K13" s="45" t="inlineStr"/>
      <c r="L13" s="45" t="inlineStr">
        <is>
          <t>In Use</t>
        </is>
      </c>
    </row>
    <row r="14" ht="22" customHeight="1">
      <c r="B14" s="8" t="inlineStr">
        <is>
          <t>AST/00010</t>
        </is>
      </c>
      <c r="C14" s="9" t="inlineStr"/>
      <c r="D14" s="10" t="inlineStr">
        <is>
          <t>Sports Complex</t>
        </is>
      </c>
      <c r="E14" s="10" t="inlineStr"/>
      <c r="F14" s="10" t="inlineStr">
        <is>
          <t>PO/2024/0010</t>
        </is>
      </c>
      <c r="G14" s="10" t="inlineStr"/>
      <c r="H14" s="10" t="inlineStr">
        <is>
          <t>Y</t>
        </is>
      </c>
      <c r="I14" s="10" t="inlineStr">
        <is>
          <t>Condemned / Written Off</t>
        </is>
      </c>
      <c r="J14" s="9" t="inlineStr"/>
      <c r="K14" s="10" t="inlineStr"/>
      <c r="L14" s="10" t="inlineStr">
        <is>
          <t>In Use</t>
        </is>
      </c>
    </row>
    <row r="15" ht="22" customHeight="1">
      <c r="B15" s="43" t="inlineStr">
        <is>
          <t>AST/00011</t>
        </is>
      </c>
      <c r="C15" s="44" t="inlineStr"/>
      <c r="D15" s="45" t="inlineStr">
        <is>
          <t>Medical Centre</t>
        </is>
      </c>
      <c r="E15" s="45" t="inlineStr"/>
      <c r="F15" s="45" t="inlineStr">
        <is>
          <t>PO/2024/0011</t>
        </is>
      </c>
      <c r="G15" s="45" t="inlineStr"/>
      <c r="H15" s="45" t="inlineStr">
        <is>
          <t>Y</t>
        </is>
      </c>
      <c r="I15" s="45" t="inlineStr">
        <is>
          <t>Excellent — New</t>
        </is>
      </c>
      <c r="J15" s="44" t="inlineStr"/>
      <c r="K15" s="45" t="inlineStr"/>
      <c r="L15" s="45" t="inlineStr">
        <is>
          <t>In Use</t>
        </is>
      </c>
    </row>
    <row r="16" ht="22" customHeight="1">
      <c r="B16" s="8" t="inlineStr">
        <is>
          <t>AST/00012</t>
        </is>
      </c>
      <c r="C16" s="9" t="inlineStr"/>
      <c r="D16" s="10" t="inlineStr">
        <is>
          <t>Hostel — Boys</t>
        </is>
      </c>
      <c r="E16" s="10" t="inlineStr"/>
      <c r="F16" s="10" t="inlineStr">
        <is>
          <t>PO/2024/0012</t>
        </is>
      </c>
      <c r="G16" s="10" t="inlineStr"/>
      <c r="H16" s="10" t="inlineStr">
        <is>
          <t>Y</t>
        </is>
      </c>
      <c r="I16" s="10" t="inlineStr">
        <is>
          <t>Good — Functional</t>
        </is>
      </c>
      <c r="J16" s="9" t="inlineStr"/>
      <c r="K16" s="10" t="inlineStr"/>
      <c r="L16" s="10" t="inlineStr">
        <is>
          <t>In Use</t>
        </is>
      </c>
    </row>
    <row r="17" ht="22" customHeight="1">
      <c r="B17" s="43" t="inlineStr">
        <is>
          <t>AST/00013</t>
        </is>
      </c>
      <c r="C17" s="44" t="inlineStr"/>
      <c r="D17" s="45" t="inlineStr">
        <is>
          <t>Hostel — Girls</t>
        </is>
      </c>
      <c r="E17" s="45" t="inlineStr"/>
      <c r="F17" s="45" t="inlineStr">
        <is>
          <t>PO/2024/0013</t>
        </is>
      </c>
      <c r="G17" s="45" t="inlineStr"/>
      <c r="H17" s="45" t="inlineStr">
        <is>
          <t>Y</t>
        </is>
      </c>
      <c r="I17" s="45" t="inlineStr">
        <is>
          <t>Fair — Minor Repairs Needed</t>
        </is>
      </c>
      <c r="J17" s="44" t="inlineStr"/>
      <c r="K17" s="45" t="inlineStr"/>
      <c r="L17" s="45" t="inlineStr">
        <is>
          <t>In Use</t>
        </is>
      </c>
    </row>
    <row r="18" ht="22" customHeight="1">
      <c r="B18" s="8" t="inlineStr">
        <is>
          <t>AST/00014</t>
        </is>
      </c>
      <c r="C18" s="9" t="inlineStr"/>
      <c r="D18" s="10" t="inlineStr">
        <is>
          <t>Classrooms — Block A</t>
        </is>
      </c>
      <c r="E18" s="10" t="inlineStr"/>
      <c r="F18" s="10" t="inlineStr">
        <is>
          <t>PO/2024/0014</t>
        </is>
      </c>
      <c r="G18" s="10" t="inlineStr"/>
      <c r="H18" s="10" t="inlineStr">
        <is>
          <t>Y</t>
        </is>
      </c>
      <c r="I18" s="10" t="inlineStr">
        <is>
          <t>Poor — Major Repair Needed</t>
        </is>
      </c>
      <c r="J18" s="9" t="inlineStr"/>
      <c r="K18" s="10" t="inlineStr"/>
      <c r="L18" s="10" t="inlineStr">
        <is>
          <t>In Use</t>
        </is>
      </c>
    </row>
    <row r="19" ht="22" customHeight="1">
      <c r="B19" s="43" t="inlineStr">
        <is>
          <t>AST/00015</t>
        </is>
      </c>
      <c r="C19" s="44" t="inlineStr"/>
      <c r="D19" s="45" t="inlineStr">
        <is>
          <t>Principal's Office</t>
        </is>
      </c>
      <c r="E19" s="45" t="inlineStr"/>
      <c r="F19" s="45" t="inlineStr">
        <is>
          <t>PO/2025/0015</t>
        </is>
      </c>
      <c r="G19" s="45" t="inlineStr"/>
      <c r="H19" s="45" t="inlineStr">
        <is>
          <t>Y</t>
        </is>
      </c>
      <c r="I19" s="45" t="inlineStr">
        <is>
          <t>Condemned / Written Off</t>
        </is>
      </c>
      <c r="J19" s="44" t="inlineStr"/>
      <c r="K19" s="45" t="inlineStr"/>
      <c r="L19" s="45" t="inlineStr">
        <is>
          <t>In Use</t>
        </is>
      </c>
    </row>
    <row r="20" ht="22" customHeight="1">
      <c r="B20" s="8" t="inlineStr">
        <is>
          <t>AST/00016</t>
        </is>
      </c>
      <c r="C20" s="9" t="inlineStr"/>
      <c r="D20" s="10" t="inlineStr">
        <is>
          <t>Administrative Block</t>
        </is>
      </c>
      <c r="E20" s="10" t="inlineStr"/>
      <c r="F20" s="10" t="inlineStr">
        <is>
          <t>PO/2025/0016</t>
        </is>
      </c>
      <c r="G20" s="10" t="inlineStr"/>
      <c r="H20" s="10" t="inlineStr">
        <is>
          <t>Y</t>
        </is>
      </c>
      <c r="I20" s="10" t="inlineStr">
        <is>
          <t>Excellent — New</t>
        </is>
      </c>
      <c r="J20" s="9" t="inlineStr"/>
      <c r="K20" s="10" t="inlineStr"/>
      <c r="L20" s="10" t="inlineStr">
        <is>
          <t>In Use</t>
        </is>
      </c>
    </row>
    <row r="21" ht="22" customHeight="1">
      <c r="B21" s="43" t="inlineStr">
        <is>
          <t>AST/00017</t>
        </is>
      </c>
      <c r="C21" s="44" t="inlineStr"/>
      <c r="D21" s="45" t="inlineStr">
        <is>
          <t>Library</t>
        </is>
      </c>
      <c r="E21" s="45" t="inlineStr"/>
      <c r="F21" s="45" t="inlineStr">
        <is>
          <t>PO/2025/0017</t>
        </is>
      </c>
      <c r="G21" s="45" t="inlineStr"/>
      <c r="H21" s="45" t="inlineStr">
        <is>
          <t>Y</t>
        </is>
      </c>
      <c r="I21" s="45" t="inlineStr">
        <is>
          <t>Good — Functional</t>
        </is>
      </c>
      <c r="J21" s="44" t="inlineStr"/>
      <c r="K21" s="45" t="inlineStr"/>
      <c r="L21" s="45" t="inlineStr">
        <is>
          <t>In Use</t>
        </is>
      </c>
    </row>
    <row r="22" ht="22" customHeight="1">
      <c r="B22" s="8" t="inlineStr">
        <is>
          <t>AST/00018</t>
        </is>
      </c>
      <c r="C22" s="9" t="inlineStr"/>
      <c r="D22" s="10" t="inlineStr">
        <is>
          <t>Physics Lab</t>
        </is>
      </c>
      <c r="E22" s="10" t="inlineStr"/>
      <c r="F22" s="10" t="inlineStr">
        <is>
          <t>PO/2025/0018</t>
        </is>
      </c>
      <c r="G22" s="10" t="inlineStr"/>
      <c r="H22" s="10" t="inlineStr">
        <is>
          <t>Y</t>
        </is>
      </c>
      <c r="I22" s="10" t="inlineStr">
        <is>
          <t>Fair — Minor Repairs Needed</t>
        </is>
      </c>
      <c r="J22" s="9" t="inlineStr"/>
      <c r="K22" s="10" t="inlineStr"/>
      <c r="L22" s="10" t="inlineStr">
        <is>
          <t>In Use</t>
        </is>
      </c>
    </row>
    <row r="23" ht="22" customHeight="1">
      <c r="B23" s="43" t="inlineStr">
        <is>
          <t>AST/00019</t>
        </is>
      </c>
      <c r="C23" s="44" t="inlineStr"/>
      <c r="D23" s="45" t="inlineStr">
        <is>
          <t>Chemistry Lab</t>
        </is>
      </c>
      <c r="E23" s="45" t="inlineStr"/>
      <c r="F23" s="45" t="inlineStr">
        <is>
          <t>PO/2025/0019</t>
        </is>
      </c>
      <c r="G23" s="45" t="inlineStr"/>
      <c r="H23" s="45" t="inlineStr">
        <is>
          <t>Y</t>
        </is>
      </c>
      <c r="I23" s="45" t="inlineStr">
        <is>
          <t>Poor — Major Repair Needed</t>
        </is>
      </c>
      <c r="J23" s="44" t="inlineStr"/>
      <c r="K23" s="45" t="inlineStr"/>
      <c r="L23" s="45" t="inlineStr">
        <is>
          <t>In Use</t>
        </is>
      </c>
    </row>
    <row r="24" ht="22" customHeight="1">
      <c r="B24" s="8" t="inlineStr">
        <is>
          <t>AST/00020</t>
        </is>
      </c>
      <c r="C24" s="9" t="inlineStr"/>
      <c r="D24" s="10" t="inlineStr">
        <is>
          <t>Electronics Lab</t>
        </is>
      </c>
      <c r="E24" s="10" t="inlineStr"/>
      <c r="F24" s="10" t="inlineStr">
        <is>
          <t>PO/2025/0020</t>
        </is>
      </c>
      <c r="G24" s="10" t="inlineStr"/>
      <c r="H24" s="10" t="inlineStr">
        <is>
          <t>Y</t>
        </is>
      </c>
      <c r="I24" s="10" t="inlineStr">
        <is>
          <t>Condemned / Written Off</t>
        </is>
      </c>
      <c r="J24" s="9" t="inlineStr"/>
      <c r="K24" s="10" t="inlineStr"/>
      <c r="L24" s="10" t="inlineStr">
        <is>
          <t>In Use</t>
        </is>
      </c>
    </row>
    <row r="25" ht="22" customHeight="1">
      <c r="B25" s="43" t="inlineStr">
        <is>
          <t>AST/00021</t>
        </is>
      </c>
      <c r="C25" s="44" t="inlineStr"/>
      <c r="D25" s="45" t="inlineStr">
        <is>
          <t>Mechanical Workshop</t>
        </is>
      </c>
      <c r="E25" s="45" t="inlineStr"/>
      <c r="F25" s="45" t="inlineStr">
        <is>
          <t>PO/2025/0021</t>
        </is>
      </c>
      <c r="G25" s="45" t="inlineStr"/>
      <c r="H25" s="45" t="inlineStr">
        <is>
          <t>Y</t>
        </is>
      </c>
      <c r="I25" s="45" t="inlineStr">
        <is>
          <t>Excellent — New</t>
        </is>
      </c>
      <c r="J25" s="44" t="inlineStr"/>
      <c r="K25" s="45" t="inlineStr"/>
      <c r="L25" s="45" t="inlineStr">
        <is>
          <t>In Use</t>
        </is>
      </c>
    </row>
    <row r="26" ht="22" customHeight="1">
      <c r="B26" s="8" t="inlineStr">
        <is>
          <t>AST/00022</t>
        </is>
      </c>
      <c r="C26" s="9" t="inlineStr"/>
      <c r="D26" s="10" t="inlineStr">
        <is>
          <t>Computer Lab — CSE</t>
        </is>
      </c>
      <c r="E26" s="10" t="inlineStr"/>
      <c r="F26" s="10" t="inlineStr">
        <is>
          <t>PO/2025/0022</t>
        </is>
      </c>
      <c r="G26" s="10" t="inlineStr"/>
      <c r="H26" s="10" t="inlineStr">
        <is>
          <t>Y</t>
        </is>
      </c>
      <c r="I26" s="10" t="inlineStr">
        <is>
          <t>Good — Functional</t>
        </is>
      </c>
      <c r="J26" s="9" t="inlineStr"/>
      <c r="K26" s="10" t="inlineStr"/>
      <c r="L26" s="10" t="inlineStr">
        <is>
          <t>In Use</t>
        </is>
      </c>
    </row>
    <row r="27" ht="22" customHeight="1">
      <c r="B27" s="43" t="inlineStr">
        <is>
          <t>AST/00023</t>
        </is>
      </c>
      <c r="C27" s="44" t="inlineStr"/>
      <c r="D27" s="45" t="inlineStr">
        <is>
          <t>Computer Lab — IT</t>
        </is>
      </c>
      <c r="E27" s="45" t="inlineStr"/>
      <c r="F27" s="45" t="inlineStr">
        <is>
          <t>PO/2025/0023</t>
        </is>
      </c>
      <c r="G27" s="45" t="inlineStr"/>
      <c r="H27" s="45" t="inlineStr">
        <is>
          <t>Y</t>
        </is>
      </c>
      <c r="I27" s="45" t="inlineStr">
        <is>
          <t>Fair — Minor Repairs Needed</t>
        </is>
      </c>
      <c r="J27" s="44" t="inlineStr"/>
      <c r="K27" s="45" t="inlineStr"/>
      <c r="L27" s="45" t="inlineStr">
        <is>
          <t>In Use</t>
        </is>
      </c>
    </row>
    <row r="28" ht="22" customHeight="1">
      <c r="B28" s="8" t="inlineStr">
        <is>
          <t>AST/00024</t>
        </is>
      </c>
      <c r="C28" s="9" t="inlineStr"/>
      <c r="D28" s="10" t="inlineStr">
        <is>
          <t>Sports Complex</t>
        </is>
      </c>
      <c r="E28" s="10" t="inlineStr"/>
      <c r="F28" s="10" t="inlineStr">
        <is>
          <t>PO/2025/0024</t>
        </is>
      </c>
      <c r="G28" s="10" t="inlineStr"/>
      <c r="H28" s="10" t="inlineStr">
        <is>
          <t>Y</t>
        </is>
      </c>
      <c r="I28" s="10" t="inlineStr">
        <is>
          <t>Poor — Major Repair Needed</t>
        </is>
      </c>
      <c r="J28" s="9" t="inlineStr"/>
      <c r="K28" s="10" t="inlineStr"/>
      <c r="L28" s="10" t="inlineStr">
        <is>
          <t>In Use</t>
        </is>
      </c>
    </row>
    <row r="29" ht="22" customHeight="1">
      <c r="B29" s="43" t="inlineStr">
        <is>
          <t>AST/00025</t>
        </is>
      </c>
      <c r="C29" s="44" t="inlineStr"/>
      <c r="D29" s="45" t="inlineStr">
        <is>
          <t>Medical Centre</t>
        </is>
      </c>
      <c r="E29" s="45" t="inlineStr"/>
      <c r="F29" s="45" t="inlineStr">
        <is>
          <t>PO/2025/0025</t>
        </is>
      </c>
      <c r="G29" s="45" t="inlineStr"/>
      <c r="H29" s="45" t="inlineStr">
        <is>
          <t>Y</t>
        </is>
      </c>
      <c r="I29" s="45" t="inlineStr">
        <is>
          <t>Condemned / Written Off</t>
        </is>
      </c>
      <c r="J29" s="44" t="inlineStr"/>
      <c r="K29" s="45" t="inlineStr"/>
      <c r="L29" s="45" t="inlineStr">
        <is>
          <t>In Use</t>
        </is>
      </c>
    </row>
    <row r="30" ht="22" customHeight="1">
      <c r="B30" s="8" t="inlineStr">
        <is>
          <t>AST/00026</t>
        </is>
      </c>
      <c r="C30" s="9" t="inlineStr"/>
      <c r="D30" s="10" t="inlineStr">
        <is>
          <t>Hostel — Boys</t>
        </is>
      </c>
      <c r="E30" s="10" t="inlineStr"/>
      <c r="F30" s="10" t="inlineStr">
        <is>
          <t>PO/2025/0026</t>
        </is>
      </c>
      <c r="G30" s="10" t="inlineStr"/>
      <c r="H30" s="10" t="inlineStr">
        <is>
          <t>Y</t>
        </is>
      </c>
      <c r="I30" s="10" t="inlineStr">
        <is>
          <t>Excellent — New</t>
        </is>
      </c>
      <c r="J30" s="9" t="inlineStr"/>
      <c r="K30" s="10" t="inlineStr"/>
      <c r="L30" s="10" t="inlineStr">
        <is>
          <t>In Use</t>
        </is>
      </c>
    </row>
    <row r="31" ht="22" customHeight="1">
      <c r="B31" s="43" t="inlineStr">
        <is>
          <t>AST/00027</t>
        </is>
      </c>
      <c r="C31" s="44" t="inlineStr"/>
      <c r="D31" s="45" t="inlineStr">
        <is>
          <t>Hostel — Girls</t>
        </is>
      </c>
      <c r="E31" s="45" t="inlineStr"/>
      <c r="F31" s="45" t="inlineStr">
        <is>
          <t>PO/2025/0027</t>
        </is>
      </c>
      <c r="G31" s="45" t="inlineStr"/>
      <c r="H31" s="45" t="inlineStr">
        <is>
          <t>Y</t>
        </is>
      </c>
      <c r="I31" s="45" t="inlineStr">
        <is>
          <t>Good — Functional</t>
        </is>
      </c>
      <c r="J31" s="44" t="inlineStr"/>
      <c r="K31" s="45" t="inlineStr"/>
      <c r="L31" s="45" t="inlineStr">
        <is>
          <t>In Use</t>
        </is>
      </c>
    </row>
    <row r="32" ht="22" customHeight="1">
      <c r="B32" s="8" t="inlineStr">
        <is>
          <t>AST/00028</t>
        </is>
      </c>
      <c r="C32" s="9" t="inlineStr"/>
      <c r="D32" s="10" t="inlineStr">
        <is>
          <t>Classrooms — Block A</t>
        </is>
      </c>
      <c r="E32" s="10" t="inlineStr"/>
      <c r="F32" s="10" t="inlineStr">
        <is>
          <t>PO/2025/0028</t>
        </is>
      </c>
      <c r="G32" s="10" t="inlineStr"/>
      <c r="H32" s="10" t="inlineStr">
        <is>
          <t>Y</t>
        </is>
      </c>
      <c r="I32" s="10" t="inlineStr">
        <is>
          <t>Fair — Minor Repairs Needed</t>
        </is>
      </c>
      <c r="J32" s="9" t="inlineStr"/>
      <c r="K32" s="10" t="inlineStr"/>
      <c r="L32" s="10" t="inlineStr">
        <is>
          <t>In Use</t>
        </is>
      </c>
    </row>
    <row r="33" ht="22" customHeight="1"/>
    <row r="34" ht="24" customHeight="1">
      <c r="B34" s="33" t="inlineStr">
        <is>
          <t>ASSET REGISTER SUMMARY</t>
        </is>
      </c>
    </row>
    <row r="35" ht="22" customHeight="1">
      <c r="B35" s="46" t="inlineStr">
        <is>
          <t>Total Assets Registered</t>
        </is>
      </c>
      <c r="F35" s="35">
        <f>COUNTA(B5:B32)</f>
        <v/>
      </c>
    </row>
    <row r="36">
      <c r="B36" s="24" t="inlineStr">
        <is>
          <t>Assets in Excellent / Good Condition</t>
        </is>
      </c>
      <c r="F36" s="36">
        <f>COUNTIF(I5:I32,"Excellent — New")+COUNTIF(I5:I32,"Good — Functional")</f>
        <v/>
      </c>
    </row>
    <row r="37">
      <c r="B37" s="46" t="inlineStr">
        <is>
          <t>Assets Needing Repair</t>
        </is>
      </c>
      <c r="F37" s="35">
        <f>COUNTIF(I5:I32,"Fair — Minor Repairs Needed")+COUNTIF(I5:I32,"Poor — Major Repair Needed")</f>
        <v/>
      </c>
    </row>
    <row r="38">
      <c r="B38" s="24" t="inlineStr">
        <is>
          <t>Condemned Assets</t>
        </is>
      </c>
      <c r="F38" s="36">
        <f>COUNTIF(I5:I32,"Condemned / Written Off")</f>
        <v/>
      </c>
    </row>
    <row r="39">
      <c r="B39" s="46" t="inlineStr">
        <is>
          <t>Insured Assets</t>
        </is>
      </c>
      <c r="F39" s="35">
        <f>COUNTIF(H5:H32,"Y")</f>
        <v/>
      </c>
    </row>
    <row r="40">
      <c r="B40" s="24" t="inlineStr">
        <is>
          <t>Total Original Cost (₹)</t>
        </is>
      </c>
      <c r="F40" s="36">
        <f>IFERROR(SUM(G5:G32),"")</f>
        <v/>
      </c>
    </row>
  </sheetData>
  <mergeCells count="15">
    <mergeCell ref="B40:E40"/>
    <mergeCell ref="F36:L36"/>
    <mergeCell ref="B35:E35"/>
    <mergeCell ref="F40:L40"/>
    <mergeCell ref="F35:L35"/>
    <mergeCell ref="B38:E38"/>
    <mergeCell ref="B3:L3"/>
    <mergeCell ref="B2:L2"/>
    <mergeCell ref="B34:L34"/>
    <mergeCell ref="F37:L37"/>
    <mergeCell ref="B39:E39"/>
    <mergeCell ref="F39:L39"/>
    <mergeCell ref="B37:E37"/>
    <mergeCell ref="B36:E36"/>
    <mergeCell ref="F38:L3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K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PSC-42: ANNUAL PHYSICAL STOCK VERIFICATION REGISTER</t>
        </is>
      </c>
    </row>
    <row r="3" ht="20" customHeight="1">
      <c r="B3" s="17" t="inlineStr">
        <is>
          <t>Annual physical verification mandatory. Discrepancies (excess or shortage) must be reported to Principal within 7 days. Write-off of missing items requires Governing Body / Finance Committee approval.</t>
        </is>
      </c>
    </row>
    <row r="4" ht="25" customHeight="1">
      <c r="B4" s="2" t="inlineStr">
        <is>
          <t>Verification Date: _______  Verification Team: ___________________  Store Keeper: ___________________</t>
        </is>
      </c>
    </row>
    <row r="5" ht="22" customHeight="1">
      <c r="B5" s="13" t="inlineStr">
        <is>
          <t>Item
Code</t>
        </is>
      </c>
      <c r="C5" s="13" t="inlineStr">
        <is>
          <t>Item Name</t>
        </is>
      </c>
      <c r="D5" s="13" t="inlineStr">
        <is>
          <t>Category</t>
        </is>
      </c>
      <c r="E5" s="13" t="inlineStr">
        <is>
          <t>Book
Balance</t>
        </is>
      </c>
      <c r="F5" s="13" t="inlineStr">
        <is>
          <t>Physical
Count</t>
        </is>
      </c>
      <c r="G5" s="13" t="inlineStr">
        <is>
          <t>Excess
(+)</t>
        </is>
      </c>
      <c r="H5" s="13" t="inlineStr">
        <is>
          <t>Shortage
(-)</t>
        </is>
      </c>
      <c r="I5" s="13" t="inlineStr">
        <is>
          <t>Value of
Shortage (₹)</t>
        </is>
      </c>
      <c r="J5" s="13" t="inlineStr">
        <is>
          <t>Reason /</t>
        </is>
      </c>
      <c r="K5" s="13" t="inlineStr">
        <is>
          <t>Action
Required</t>
        </is>
      </c>
    </row>
    <row r="6" ht="22" customHeight="1">
      <c r="B6" s="14" t="inlineStr">
        <is>
          <t>ITEM/0001</t>
        </is>
      </c>
      <c r="C6" s="15" t="inlineStr"/>
      <c r="D6" s="16" t="inlineStr">
        <is>
          <t>ICT &amp; Computers</t>
        </is>
      </c>
      <c r="E6" s="16" t="inlineStr"/>
      <c r="F6" s="16" t="inlineStr"/>
      <c r="G6" s="16">
        <f>IFERROR(IF(F6&gt;E6,F6-E6,0),"")</f>
        <v/>
      </c>
      <c r="H6" s="16">
        <f>IFERROR(IF(F6&lt;E6,E6-F6,0),"")</f>
        <v/>
      </c>
      <c r="I6" s="16" t="inlineStr"/>
      <c r="J6" s="15" t="inlineStr"/>
      <c r="K6" s="15" t="inlineStr"/>
    </row>
    <row r="7" ht="22" customHeight="1">
      <c r="B7" s="8" t="inlineStr">
        <is>
          <t>ITEM/0002</t>
        </is>
      </c>
      <c r="C7" s="9" t="inlineStr"/>
      <c r="D7" s="10" t="inlineStr">
        <is>
          <t>Lab Equipment</t>
        </is>
      </c>
      <c r="E7" s="10" t="inlineStr"/>
      <c r="F7" s="10" t="inlineStr"/>
      <c r="G7" s="10">
        <f>IFERROR(IF(F7&gt;E7,F7-E7,0),"")</f>
        <v/>
      </c>
      <c r="H7" s="10">
        <f>IFERROR(IF(F7&lt;E7,E7-F7,0),"")</f>
        <v/>
      </c>
      <c r="I7" s="10" t="inlineStr"/>
      <c r="J7" s="9" t="inlineStr"/>
      <c r="K7" s="9" t="inlineStr"/>
    </row>
    <row r="8" ht="22" customHeight="1">
      <c r="B8" s="14" t="inlineStr">
        <is>
          <t>ITEM/0003</t>
        </is>
      </c>
      <c r="C8" s="15" t="inlineStr"/>
      <c r="D8" s="16" t="inlineStr">
        <is>
          <t>Lab Consumables / Chemicals</t>
        </is>
      </c>
      <c r="E8" s="16" t="inlineStr"/>
      <c r="F8" s="16" t="inlineStr"/>
      <c r="G8" s="16">
        <f>IFERROR(IF(F8&gt;E8,F8-E8,0),"")</f>
        <v/>
      </c>
      <c r="H8" s="16">
        <f>IFERROR(IF(F8&lt;E8,E8-F8,0),"")</f>
        <v/>
      </c>
      <c r="I8" s="16" t="inlineStr"/>
      <c r="J8" s="15" t="inlineStr"/>
      <c r="K8" s="15" t="inlineStr"/>
    </row>
    <row r="9" ht="22" customHeight="1">
      <c r="B9" s="8" t="inlineStr">
        <is>
          <t>ITEM/0004</t>
        </is>
      </c>
      <c r="C9" s="9" t="inlineStr"/>
      <c r="D9" s="10" t="inlineStr">
        <is>
          <t>Furniture &amp; Fixtures</t>
        </is>
      </c>
      <c r="E9" s="10" t="inlineStr"/>
      <c r="F9" s="10" t="inlineStr"/>
      <c r="G9" s="10">
        <f>IFERROR(IF(F9&gt;E9,F9-E9,0),"")</f>
        <v/>
      </c>
      <c r="H9" s="10">
        <f>IFERROR(IF(F9&lt;E9,E9-F9,0),"")</f>
        <v/>
      </c>
      <c r="I9" s="10" t="inlineStr"/>
      <c r="J9" s="9" t="inlineStr"/>
      <c r="K9" s="9" t="inlineStr"/>
    </row>
    <row r="10" ht="22" customHeight="1">
      <c r="B10" s="14" t="inlineStr">
        <is>
          <t>ITEM/0005</t>
        </is>
      </c>
      <c r="C10" s="15" t="inlineStr"/>
      <c r="D10" s="16" t="inlineStr">
        <is>
          <t>Office Stationery</t>
        </is>
      </c>
      <c r="E10" s="16" t="inlineStr"/>
      <c r="F10" s="16" t="inlineStr"/>
      <c r="G10" s="16">
        <f>IFERROR(IF(F10&gt;E10,F10-E10,0),"")</f>
        <v/>
      </c>
      <c r="H10" s="16">
        <f>IFERROR(IF(F10&lt;E10,E10-F10,0),"")</f>
        <v/>
      </c>
      <c r="I10" s="16" t="inlineStr"/>
      <c r="J10" s="15" t="inlineStr"/>
      <c r="K10" s="15" t="inlineStr"/>
    </row>
    <row r="11" ht="22" customHeight="1">
      <c r="B11" s="8" t="inlineStr">
        <is>
          <t>ITEM/0006</t>
        </is>
      </c>
      <c r="C11" s="9" t="inlineStr"/>
      <c r="D11" s="10" t="inlineStr">
        <is>
          <t>Library Books &amp; Journals</t>
        </is>
      </c>
      <c r="E11" s="10" t="inlineStr"/>
      <c r="F11" s="10" t="inlineStr"/>
      <c r="G11" s="10">
        <f>IFERROR(IF(F11&gt;E11,F11-E11,0),"")</f>
        <v/>
      </c>
      <c r="H11" s="10">
        <f>IFERROR(IF(F11&lt;E11,E11-F11,0),"")</f>
        <v/>
      </c>
      <c r="I11" s="10" t="inlineStr"/>
      <c r="J11" s="9" t="inlineStr"/>
      <c r="K11" s="9" t="inlineStr"/>
    </row>
    <row r="12" ht="22" customHeight="1">
      <c r="B12" s="14" t="inlineStr">
        <is>
          <t>ITEM/0007</t>
        </is>
      </c>
      <c r="C12" s="15" t="inlineStr"/>
      <c r="D12" s="16" t="inlineStr">
        <is>
          <t>Software &amp; Licences</t>
        </is>
      </c>
      <c r="E12" s="16" t="inlineStr"/>
      <c r="F12" s="16" t="inlineStr"/>
      <c r="G12" s="16">
        <f>IFERROR(IF(F12&gt;E12,F12-E12,0),"")</f>
        <v/>
      </c>
      <c r="H12" s="16">
        <f>IFERROR(IF(F12&lt;E12,E12-F12,0),"")</f>
        <v/>
      </c>
      <c r="I12" s="16" t="inlineStr"/>
      <c r="J12" s="15" t="inlineStr"/>
      <c r="K12" s="15" t="inlineStr"/>
    </row>
    <row r="13" ht="22" customHeight="1">
      <c r="B13" s="8" t="inlineStr">
        <is>
          <t>ITEM/0008</t>
        </is>
      </c>
      <c r="C13" s="9" t="inlineStr"/>
      <c r="D13" s="10" t="inlineStr">
        <is>
          <t>Civil &amp; Maintenance</t>
        </is>
      </c>
      <c r="E13" s="10" t="inlineStr"/>
      <c r="F13" s="10" t="inlineStr"/>
      <c r="G13" s="10">
        <f>IFERROR(IF(F13&gt;E13,F13-E13,0),"")</f>
        <v/>
      </c>
      <c r="H13" s="10">
        <f>IFERROR(IF(F13&lt;E13,E13-F13,0),"")</f>
        <v/>
      </c>
      <c r="I13" s="10" t="inlineStr"/>
      <c r="J13" s="9" t="inlineStr"/>
      <c r="K13" s="9" t="inlineStr"/>
    </row>
    <row r="14" ht="22" customHeight="1">
      <c r="B14" s="14" t="inlineStr">
        <is>
          <t>ITEM/0009</t>
        </is>
      </c>
      <c r="C14" s="15" t="inlineStr"/>
      <c r="D14" s="16" t="inlineStr">
        <is>
          <t>Electrical &amp; Electronics</t>
        </is>
      </c>
      <c r="E14" s="16" t="inlineStr"/>
      <c r="F14" s="16" t="inlineStr"/>
      <c r="G14" s="16">
        <f>IFERROR(IF(F14&gt;E14,F14-E14,0),"")</f>
        <v/>
      </c>
      <c r="H14" s="16">
        <f>IFERROR(IF(F14&lt;E14,E14-F14,0),"")</f>
        <v/>
      </c>
      <c r="I14" s="16" t="inlineStr"/>
      <c r="J14" s="15" t="inlineStr"/>
      <c r="K14" s="15" t="inlineStr"/>
    </row>
    <row r="15" ht="22" customHeight="1">
      <c r="B15" s="8" t="inlineStr">
        <is>
          <t>ITEM/0010</t>
        </is>
      </c>
      <c r="C15" s="9" t="inlineStr"/>
      <c r="D15" s="10" t="inlineStr">
        <is>
          <t>Sports Equipment</t>
        </is>
      </c>
      <c r="E15" s="10" t="inlineStr"/>
      <c r="F15" s="10" t="inlineStr"/>
      <c r="G15" s="10">
        <f>IFERROR(IF(F15&gt;E15,F15-E15,0),"")</f>
        <v/>
      </c>
      <c r="H15" s="10">
        <f>IFERROR(IF(F15&lt;E15,E15-F15,0),"")</f>
        <v/>
      </c>
      <c r="I15" s="10" t="inlineStr"/>
      <c r="J15" s="9" t="inlineStr"/>
      <c r="K15" s="9" t="inlineStr"/>
    </row>
    <row r="16" ht="22" customHeight="1">
      <c r="B16" s="14" t="inlineStr">
        <is>
          <t>ITEM/0011</t>
        </is>
      </c>
      <c r="C16" s="15" t="inlineStr"/>
      <c r="D16" s="16" t="inlineStr">
        <is>
          <t>Medical / First Aid</t>
        </is>
      </c>
      <c r="E16" s="16" t="inlineStr"/>
      <c r="F16" s="16" t="inlineStr"/>
      <c r="G16" s="16">
        <f>IFERROR(IF(F16&gt;E16,F16-E16,0),"")</f>
        <v/>
      </c>
      <c r="H16" s="16">
        <f>IFERROR(IF(F16&lt;E16,E16-F16,0),"")</f>
        <v/>
      </c>
      <c r="I16" s="16" t="inlineStr"/>
      <c r="J16" s="15" t="inlineStr"/>
      <c r="K16" s="15" t="inlineStr"/>
    </row>
    <row r="17" ht="22" customHeight="1">
      <c r="B17" s="8" t="inlineStr">
        <is>
          <t>ITEM/0012</t>
        </is>
      </c>
      <c r="C17" s="9" t="inlineStr"/>
      <c r="D17" s="10" t="inlineStr">
        <is>
          <t>Printing &amp; Reprographics</t>
        </is>
      </c>
      <c r="E17" s="10" t="inlineStr"/>
      <c r="F17" s="10" t="inlineStr"/>
      <c r="G17" s="10">
        <f>IFERROR(IF(F17&gt;E17,F17-E17,0),"")</f>
        <v/>
      </c>
      <c r="H17" s="10">
        <f>IFERROR(IF(F17&lt;E17,E17-F17,0),"")</f>
        <v/>
      </c>
      <c r="I17" s="10" t="inlineStr"/>
      <c r="J17" s="9" t="inlineStr"/>
      <c r="K17" s="9" t="inlineStr"/>
    </row>
    <row r="18" ht="22" customHeight="1">
      <c r="B18" s="14" t="inlineStr">
        <is>
          <t>ITEM/0013</t>
        </is>
      </c>
      <c r="C18" s="15" t="inlineStr"/>
      <c r="D18" s="16" t="inlineStr">
        <is>
          <t>Cleaning &amp; Housekeeping</t>
        </is>
      </c>
      <c r="E18" s="16" t="inlineStr"/>
      <c r="F18" s="16" t="inlineStr"/>
      <c r="G18" s="16">
        <f>IFERROR(IF(F18&gt;E18,F18-E18,0),"")</f>
        <v/>
      </c>
      <c r="H18" s="16">
        <f>IFERROR(IF(F18&lt;E18,E18-F18,0),"")</f>
        <v/>
      </c>
      <c r="I18" s="16" t="inlineStr"/>
      <c r="J18" s="15" t="inlineStr"/>
      <c r="K18" s="15" t="inlineStr"/>
    </row>
    <row r="19" ht="22" customHeight="1">
      <c r="B19" s="8" t="inlineStr">
        <is>
          <t>ITEM/0014</t>
        </is>
      </c>
      <c r="C19" s="9" t="inlineStr"/>
      <c r="D19" s="10" t="inlineStr">
        <is>
          <t>Safety &amp; Security Equipment</t>
        </is>
      </c>
      <c r="E19" s="10" t="inlineStr"/>
      <c r="F19" s="10" t="inlineStr"/>
      <c r="G19" s="10">
        <f>IFERROR(IF(F19&gt;E19,F19-E19,0),"")</f>
        <v/>
      </c>
      <c r="H19" s="10">
        <f>IFERROR(IF(F19&lt;E19,E19-F19,0),"")</f>
        <v/>
      </c>
      <c r="I19" s="10" t="inlineStr"/>
      <c r="J19" s="9" t="inlineStr"/>
      <c r="K19" s="9" t="inlineStr"/>
    </row>
    <row r="20" ht="22" customHeight="1">
      <c r="B20" s="14" t="inlineStr">
        <is>
          <t>ITEM/0015</t>
        </is>
      </c>
      <c r="C20" s="15" t="inlineStr"/>
      <c r="D20" s="16" t="inlineStr">
        <is>
          <t>Miscellaneous</t>
        </is>
      </c>
      <c r="E20" s="16" t="inlineStr"/>
      <c r="F20" s="16" t="inlineStr"/>
      <c r="G20" s="16">
        <f>IFERROR(IF(F20&gt;E20,F20-E20,0),"")</f>
        <v/>
      </c>
      <c r="H20" s="16">
        <f>IFERROR(IF(F20&lt;E20,E20-F20,0),"")</f>
        <v/>
      </c>
      <c r="I20" s="16" t="inlineStr"/>
      <c r="J20" s="15" t="inlineStr"/>
      <c r="K20" s="15" t="inlineStr"/>
    </row>
    <row r="21" ht="22" customHeight="1">
      <c r="B21" s="8" t="inlineStr">
        <is>
          <t>ITEM/0016</t>
        </is>
      </c>
      <c r="C21" s="9" t="inlineStr"/>
      <c r="D21" s="10" t="inlineStr">
        <is>
          <t>ICT &amp; Computers</t>
        </is>
      </c>
      <c r="E21" s="10" t="inlineStr"/>
      <c r="F21" s="10" t="inlineStr"/>
      <c r="G21" s="10">
        <f>IFERROR(IF(F21&gt;E21,F21-E21,0),"")</f>
        <v/>
      </c>
      <c r="H21" s="10">
        <f>IFERROR(IF(F21&lt;E21,E21-F21,0),"")</f>
        <v/>
      </c>
      <c r="I21" s="10" t="inlineStr"/>
      <c r="J21" s="9" t="inlineStr"/>
      <c r="K21" s="9" t="inlineStr"/>
    </row>
    <row r="22" ht="22" customHeight="1">
      <c r="B22" s="14" t="inlineStr">
        <is>
          <t>ITEM/0017</t>
        </is>
      </c>
      <c r="C22" s="15" t="inlineStr"/>
      <c r="D22" s="16" t="inlineStr">
        <is>
          <t>Lab Equipment</t>
        </is>
      </c>
      <c r="E22" s="16" t="inlineStr"/>
      <c r="F22" s="16" t="inlineStr"/>
      <c r="G22" s="16">
        <f>IFERROR(IF(F22&gt;E22,F22-E22,0),"")</f>
        <v/>
      </c>
      <c r="H22" s="16">
        <f>IFERROR(IF(F22&lt;E22,E22-F22,0),"")</f>
        <v/>
      </c>
      <c r="I22" s="16" t="inlineStr"/>
      <c r="J22" s="15" t="inlineStr"/>
      <c r="K22" s="15" t="inlineStr"/>
    </row>
    <row r="23" ht="22" customHeight="1">
      <c r="B23" s="8" t="inlineStr">
        <is>
          <t>ITEM/0018</t>
        </is>
      </c>
      <c r="C23" s="9" t="inlineStr"/>
      <c r="D23" s="10" t="inlineStr">
        <is>
          <t>Lab Consumables / Chemicals</t>
        </is>
      </c>
      <c r="E23" s="10" t="inlineStr"/>
      <c r="F23" s="10" t="inlineStr"/>
      <c r="G23" s="10">
        <f>IFERROR(IF(F23&gt;E23,F23-E23,0),"")</f>
        <v/>
      </c>
      <c r="H23" s="10">
        <f>IFERROR(IF(F23&lt;E23,E23-F23,0),"")</f>
        <v/>
      </c>
      <c r="I23" s="10" t="inlineStr"/>
      <c r="J23" s="9" t="inlineStr"/>
      <c r="K23" s="9" t="inlineStr"/>
    </row>
    <row r="24" ht="22" customHeight="1">
      <c r="B24" s="14" t="inlineStr">
        <is>
          <t>ITEM/0019</t>
        </is>
      </c>
      <c r="C24" s="15" t="inlineStr"/>
      <c r="D24" s="16" t="inlineStr">
        <is>
          <t>Furniture &amp; Fixtures</t>
        </is>
      </c>
      <c r="E24" s="16" t="inlineStr"/>
      <c r="F24" s="16" t="inlineStr"/>
      <c r="G24" s="16">
        <f>IFERROR(IF(F24&gt;E24,F24-E24,0),"")</f>
        <v/>
      </c>
      <c r="H24" s="16">
        <f>IFERROR(IF(F24&lt;E24,E24-F24,0),"")</f>
        <v/>
      </c>
      <c r="I24" s="16" t="inlineStr"/>
      <c r="J24" s="15" t="inlineStr"/>
      <c r="K24" s="15" t="inlineStr"/>
    </row>
    <row r="25" ht="22" customHeight="1">
      <c r="B25" s="8" t="inlineStr">
        <is>
          <t>ITEM/0020</t>
        </is>
      </c>
      <c r="C25" s="9" t="inlineStr"/>
      <c r="D25" s="10" t="inlineStr">
        <is>
          <t>Office Stationery</t>
        </is>
      </c>
      <c r="E25" s="10" t="inlineStr"/>
      <c r="F25" s="10" t="inlineStr"/>
      <c r="G25" s="10">
        <f>IFERROR(IF(F25&gt;E25,F25-E25,0),"")</f>
        <v/>
      </c>
      <c r="H25" s="10">
        <f>IFERROR(IF(F25&lt;E25,E25-F25,0),"")</f>
        <v/>
      </c>
      <c r="I25" s="10" t="inlineStr"/>
      <c r="J25" s="9" t="inlineStr"/>
      <c r="K25" s="9" t="inlineStr"/>
    </row>
    <row r="26" ht="22" customHeight="1">
      <c r="B26" s="14" t="inlineStr">
        <is>
          <t>ITEM/0021</t>
        </is>
      </c>
      <c r="C26" s="15" t="inlineStr"/>
      <c r="D26" s="16" t="inlineStr">
        <is>
          <t>Library Books &amp; Journals</t>
        </is>
      </c>
      <c r="E26" s="16" t="inlineStr"/>
      <c r="F26" s="16" t="inlineStr"/>
      <c r="G26" s="16">
        <f>IFERROR(IF(F26&gt;E26,F26-E26,0),"")</f>
        <v/>
      </c>
      <c r="H26" s="16">
        <f>IFERROR(IF(F26&lt;E26,E26-F26,0),"")</f>
        <v/>
      </c>
      <c r="I26" s="16" t="inlineStr"/>
      <c r="J26" s="15" t="inlineStr"/>
      <c r="K26" s="15" t="inlineStr"/>
    </row>
    <row r="27" ht="22" customHeight="1">
      <c r="B27" s="8" t="inlineStr">
        <is>
          <t>ITEM/0022</t>
        </is>
      </c>
      <c r="C27" s="9" t="inlineStr"/>
      <c r="D27" s="10" t="inlineStr">
        <is>
          <t>Software &amp; Licences</t>
        </is>
      </c>
      <c r="E27" s="10" t="inlineStr"/>
      <c r="F27" s="10" t="inlineStr"/>
      <c r="G27" s="10">
        <f>IFERROR(IF(F27&gt;E27,F27-E27,0),"")</f>
        <v/>
      </c>
      <c r="H27" s="10">
        <f>IFERROR(IF(F27&lt;E27,E27-F27,0),"")</f>
        <v/>
      </c>
      <c r="I27" s="10" t="inlineStr"/>
      <c r="J27" s="9" t="inlineStr"/>
      <c r="K27" s="9" t="inlineStr"/>
    </row>
    <row r="28" ht="22" customHeight="1">
      <c r="B28" s="14" t="inlineStr">
        <is>
          <t>ITEM/0023</t>
        </is>
      </c>
      <c r="C28" s="15" t="inlineStr"/>
      <c r="D28" s="16" t="inlineStr">
        <is>
          <t>Civil &amp; Maintenance</t>
        </is>
      </c>
      <c r="E28" s="16" t="inlineStr"/>
      <c r="F28" s="16" t="inlineStr"/>
      <c r="G28" s="16">
        <f>IFERROR(IF(F28&gt;E28,F28-E28,0),"")</f>
        <v/>
      </c>
      <c r="H28" s="16">
        <f>IFERROR(IF(F28&lt;E28,E28-F28,0),"")</f>
        <v/>
      </c>
      <c r="I28" s="16" t="inlineStr"/>
      <c r="J28" s="15" t="inlineStr"/>
      <c r="K28" s="15" t="inlineStr"/>
    </row>
    <row r="29" ht="22" customHeight="1">
      <c r="B29" s="8" t="inlineStr">
        <is>
          <t>ITEM/0024</t>
        </is>
      </c>
      <c r="C29" s="9" t="inlineStr"/>
      <c r="D29" s="10" t="inlineStr">
        <is>
          <t>Electrical &amp; Electronics</t>
        </is>
      </c>
      <c r="E29" s="10" t="inlineStr"/>
      <c r="F29" s="10" t="inlineStr"/>
      <c r="G29" s="10">
        <f>IFERROR(IF(F29&gt;E29,F29-E29,0),"")</f>
        <v/>
      </c>
      <c r="H29" s="10">
        <f>IFERROR(IF(F29&lt;E29,E29-F29,0),"")</f>
        <v/>
      </c>
      <c r="I29" s="10" t="inlineStr"/>
      <c r="J29" s="9" t="inlineStr"/>
      <c r="K29" s="9" t="inlineStr"/>
    </row>
    <row r="30" ht="22" customHeight="1">
      <c r="B30" s="14" t="inlineStr">
        <is>
          <t>ITEM/0025</t>
        </is>
      </c>
      <c r="C30" s="15" t="inlineStr"/>
      <c r="D30" s="16" t="inlineStr">
        <is>
          <t>Sports Equipment</t>
        </is>
      </c>
      <c r="E30" s="16" t="inlineStr"/>
      <c r="F30" s="16" t="inlineStr"/>
      <c r="G30" s="16">
        <f>IFERROR(IF(F30&gt;E30,F30-E30,0),"")</f>
        <v/>
      </c>
      <c r="H30" s="16">
        <f>IFERROR(IF(F30&lt;E30,E30-F30,0),"")</f>
        <v/>
      </c>
      <c r="I30" s="16" t="inlineStr"/>
      <c r="J30" s="15" t="inlineStr"/>
      <c r="K30" s="15" t="inlineStr"/>
    </row>
    <row r="31" ht="22" customHeight="1">
      <c r="B31" s="8" t="inlineStr">
        <is>
          <t>ITEM/0026</t>
        </is>
      </c>
      <c r="C31" s="9" t="inlineStr"/>
      <c r="D31" s="10" t="inlineStr">
        <is>
          <t>Medical / First Aid</t>
        </is>
      </c>
      <c r="E31" s="10" t="inlineStr"/>
      <c r="F31" s="10" t="inlineStr"/>
      <c r="G31" s="10">
        <f>IFERROR(IF(F31&gt;E31,F31-E31,0),"")</f>
        <v/>
      </c>
      <c r="H31" s="10">
        <f>IFERROR(IF(F31&lt;E31,E31-F31,0),"")</f>
        <v/>
      </c>
      <c r="I31" s="10" t="inlineStr"/>
      <c r="J31" s="9" t="inlineStr"/>
      <c r="K31" s="9" t="inlineStr"/>
    </row>
    <row r="32" ht="22" customHeight="1"/>
    <row r="33" ht="24" customHeight="1">
      <c r="B33" s="33" t="inlineStr">
        <is>
          <t>PHYSICAL VERIFICATION SUMMARY</t>
        </is>
      </c>
    </row>
    <row r="34">
      <c r="B34" s="22" t="inlineStr">
        <is>
          <t>Total Items Verified</t>
        </is>
      </c>
      <c r="F34" s="35">
        <f>COUNTA(B6:B31)</f>
        <v/>
      </c>
    </row>
    <row r="35">
      <c r="B35" s="24" t="inlineStr">
        <is>
          <t>Items with No Discrepancy</t>
        </is>
      </c>
      <c r="F35" s="36">
        <f>COUNTIF(H6:H31,0)+COUNTIF(H6:H31,"")</f>
        <v/>
      </c>
    </row>
    <row r="36">
      <c r="B36" s="22" t="inlineStr">
        <is>
          <t>Items with Excess</t>
        </is>
      </c>
      <c r="F36" s="35">
        <f>COUNTIF(G6:G31,"&gt;"&amp;0)</f>
        <v/>
      </c>
    </row>
    <row r="37">
      <c r="B37" s="24" t="inlineStr">
        <is>
          <t>Items with Shortage</t>
        </is>
      </c>
      <c r="F37" s="36">
        <f>COUNTIF(H6:H31,"&gt;"&amp;0)</f>
        <v/>
      </c>
    </row>
    <row r="38">
      <c r="B38" s="22" t="inlineStr">
        <is>
          <t>Total Value of Shortage (₹)</t>
        </is>
      </c>
      <c r="F38" s="35">
        <f>IFERROR(SUM(I6:I31),"")</f>
        <v/>
      </c>
    </row>
    <row r="39">
      <c r="B39" s="24" t="inlineStr">
        <is>
          <t>% Items Verified (Target: 100%)</t>
        </is>
      </c>
      <c r="F39" s="36">
        <f>IFERROR(ROUND(COUNTA(F6:F31)/COUNTA(B6:B31)*100,1),"")</f>
        <v/>
      </c>
    </row>
  </sheetData>
  <mergeCells count="16">
    <mergeCell ref="B36:E36"/>
    <mergeCell ref="F34:K34"/>
    <mergeCell ref="F38:K38"/>
    <mergeCell ref="B35:E35"/>
    <mergeCell ref="B4:K4"/>
    <mergeCell ref="F36:K36"/>
    <mergeCell ref="B37:E37"/>
    <mergeCell ref="B38:E38"/>
    <mergeCell ref="B2:K2"/>
    <mergeCell ref="F35:K35"/>
    <mergeCell ref="B39:E39"/>
    <mergeCell ref="B34:E34"/>
    <mergeCell ref="F39:K39"/>
    <mergeCell ref="B33:K33"/>
    <mergeCell ref="B3:K3"/>
    <mergeCell ref="F37:K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PSC-44: PURCHASE &amp; STORES COMMITTEE KPI DASHBOARD</t>
        </is>
      </c>
    </row>
    <row r="3" ht="25" customHeight="1">
      <c r="B3" s="2" t="inlineStr">
        <is>
          <t>Month: _______  A.Y.: _______  PSC Coordinator: ___________________  Date: _______</t>
        </is>
      </c>
    </row>
    <row r="4" ht="24" customHeight="1">
      <c r="B4" s="19" t="inlineStr">
        <is>
          <t>PROCUREMENT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Target</t>
        </is>
      </c>
      <c r="F5" s="13" t="inlineStr">
        <is>
          <t>Prev. Month
Actual</t>
        </is>
      </c>
      <c r="G5" s="13" t="inlineStr">
        <is>
          <t>Current Month
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Indents processed within 5 working days</t>
        </is>
      </c>
      <c r="D6" s="16" t="inlineStr">
        <is>
          <t>% on time</t>
        </is>
      </c>
      <c r="E6" s="16" t="inlineStr">
        <is>
          <t>≥90%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Comparative statement prepared (% of purchases &gt; ₹10K)</t>
        </is>
      </c>
      <c r="D7" s="10" t="inlineStr">
        <is>
          <t>% compliant</t>
        </is>
      </c>
      <c r="E7" s="10" t="inlineStr">
        <is>
          <t>100%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Minimum 3 quotations obtained (where required)</t>
        </is>
      </c>
      <c r="D8" s="16" t="inlineStr">
        <is>
          <t>% compliant</t>
        </is>
      </c>
      <c r="E8" s="16" t="inlineStr">
        <is>
          <t>100%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Purchase orders raised within 3 days of approval</t>
        </is>
      </c>
      <c r="D9" s="10" t="inlineStr">
        <is>
          <t>% on time</t>
        </is>
      </c>
      <c r="E9" s="10" t="inlineStr">
        <is>
          <t>≥90%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Average procurement cycle time (Indent to PO)</t>
        </is>
      </c>
      <c r="D10" s="16" t="inlineStr">
        <is>
          <t>Days</t>
        </is>
      </c>
      <c r="E10" s="16" t="inlineStr">
        <is>
          <t>≤15 days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Emergency purchases as % of total</t>
        </is>
      </c>
      <c r="D11" s="10" t="inlineStr">
        <is>
          <t>% emergency</t>
        </is>
      </c>
      <c r="E11" s="10" t="inlineStr">
        <is>
          <t>&lt; 10%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>
      <c r="B12" s="14" t="n">
        <v>7</v>
      </c>
      <c r="C12" s="15" t="inlineStr">
        <is>
          <t>Budget vs. actual expenditure (% utilised)</t>
        </is>
      </c>
      <c r="D12" s="16" t="inlineStr">
        <is>
          <t>% utilised</t>
        </is>
      </c>
      <c r="E12" s="16" t="inlineStr">
        <is>
          <t>85–100%</t>
        </is>
      </c>
      <c r="F12" s="16" t="inlineStr"/>
      <c r="G12" s="16" t="inlineStr"/>
      <c r="H12" s="16" t="inlineStr">
        <is>
          <t>On Track</t>
        </is>
      </c>
      <c r="I12" s="15" t="inlineStr"/>
    </row>
    <row r="13" ht="22" customHeight="1"/>
    <row r="14" ht="24" customHeight="1">
      <c r="B14" s="47" t="inlineStr">
        <is>
          <t>VENDOR MANAGEMENT KPIs</t>
        </is>
      </c>
    </row>
    <row r="15" ht="22" customHeight="1">
      <c r="B15" s="42" t="inlineStr">
        <is>
          <t>Sl.</t>
        </is>
      </c>
      <c r="C15" s="42" t="inlineStr">
        <is>
          <t>Key Performance Indicator</t>
        </is>
      </c>
      <c r="D15" s="42" t="inlineStr">
        <is>
          <t>Unit</t>
        </is>
      </c>
      <c r="E15" s="42" t="inlineStr">
        <is>
          <t>Target</t>
        </is>
      </c>
      <c r="F15" s="42" t="inlineStr">
        <is>
          <t>Prev. Month
Actual</t>
        </is>
      </c>
      <c r="G15" s="42" t="inlineStr">
        <is>
          <t>Current Month
Actual</t>
        </is>
      </c>
      <c r="H15" s="42" t="inlineStr">
        <is>
          <t>Status</t>
        </is>
      </c>
      <c r="I15" s="42" t="inlineStr">
        <is>
          <t>Action Required</t>
        </is>
      </c>
    </row>
    <row r="16" ht="22" customHeight="1">
      <c r="B16" s="43" t="n">
        <v>1</v>
      </c>
      <c r="C16" s="44" t="inlineStr">
        <is>
          <t>Approved vendor register updated annually</t>
        </is>
      </c>
      <c r="D16" s="45" t="inlineStr">
        <is>
          <t>Y/N</t>
        </is>
      </c>
      <c r="E16" s="45" t="inlineStr">
        <is>
          <t>Yes</t>
        </is>
      </c>
      <c r="F16" s="45" t="inlineStr"/>
      <c r="G16" s="45" t="inlineStr"/>
      <c r="H16" s="45" t="inlineStr">
        <is>
          <t>On Track</t>
        </is>
      </c>
      <c r="I16" s="44" t="inlineStr"/>
    </row>
    <row r="17" ht="22" customHeight="1">
      <c r="B17" s="8" t="n">
        <v>2</v>
      </c>
      <c r="C17" s="9" t="inlineStr">
        <is>
          <t>Vendor performance evaluation done annually</t>
        </is>
      </c>
      <c r="D17" s="10" t="inlineStr">
        <is>
          <t>% vendors evaluated</t>
        </is>
      </c>
      <c r="E17" s="10" t="inlineStr">
        <is>
          <t>100%</t>
        </is>
      </c>
      <c r="F17" s="10" t="inlineStr"/>
      <c r="G17" s="10" t="inlineStr"/>
      <c r="H17" s="10" t="inlineStr">
        <is>
          <t>On Track</t>
        </is>
      </c>
      <c r="I17" s="9" t="inlineStr"/>
    </row>
    <row r="18" ht="22" customHeight="1">
      <c r="B18" s="43" t="n">
        <v>3</v>
      </c>
      <c r="C18" s="44" t="inlineStr">
        <is>
          <t>Vendors rated 'A' Grade</t>
        </is>
      </c>
      <c r="D18" s="45" t="inlineStr">
        <is>
          <t>% of vendors</t>
        </is>
      </c>
      <c r="E18" s="45" t="inlineStr">
        <is>
          <t>≥60%</t>
        </is>
      </c>
      <c r="F18" s="45" t="inlineStr"/>
      <c r="G18" s="45" t="inlineStr"/>
      <c r="H18" s="45" t="inlineStr">
        <is>
          <t>On Track</t>
        </is>
      </c>
      <c r="I18" s="44" t="inlineStr"/>
    </row>
    <row r="19" ht="22" customHeight="1">
      <c r="B19" s="8" t="n">
        <v>4</v>
      </c>
      <c r="C19" s="9" t="inlineStr">
        <is>
          <t>Delivery on time (% of POs)</t>
        </is>
      </c>
      <c r="D19" s="10" t="inlineStr">
        <is>
          <t>% on time</t>
        </is>
      </c>
      <c r="E19" s="10" t="inlineStr">
        <is>
          <t>≥85%</t>
        </is>
      </c>
      <c r="F19" s="10" t="inlineStr"/>
      <c r="G19" s="10" t="inlineStr"/>
      <c r="H19" s="10" t="inlineStr">
        <is>
          <t>On Track</t>
        </is>
      </c>
      <c r="I19" s="9" t="inlineStr"/>
    </row>
    <row r="20" ht="22" customHeight="1">
      <c r="B20" s="43" t="n">
        <v>5</v>
      </c>
      <c r="C20" s="44" t="inlineStr">
        <is>
          <t>Rejection rate (% of deliveries)</t>
        </is>
      </c>
      <c r="D20" s="45" t="inlineStr">
        <is>
          <t>% rejected</t>
        </is>
      </c>
      <c r="E20" s="45" t="inlineStr">
        <is>
          <t>&lt; 5%</t>
        </is>
      </c>
      <c r="F20" s="45" t="inlineStr"/>
      <c r="G20" s="45" t="inlineStr"/>
      <c r="H20" s="45" t="inlineStr">
        <is>
          <t>On Track</t>
        </is>
      </c>
      <c r="I20" s="44" t="inlineStr"/>
    </row>
    <row r="21" ht="22" customHeight="1">
      <c r="B21" s="8" t="n">
        <v>6</v>
      </c>
      <c r="C21" s="9" t="inlineStr">
        <is>
          <t>New vendors added this year</t>
        </is>
      </c>
      <c r="D21" s="10" t="inlineStr">
        <is>
          <t>No.</t>
        </is>
      </c>
      <c r="E21" s="10" t="inlineStr">
        <is>
          <t>≥3</t>
        </is>
      </c>
      <c r="F21" s="10" t="inlineStr"/>
      <c r="G21" s="10" t="inlineStr"/>
      <c r="H21" s="10" t="inlineStr">
        <is>
          <t>On Track</t>
        </is>
      </c>
      <c r="I21" s="9" t="inlineStr"/>
    </row>
    <row r="22" ht="22" customHeight="1"/>
    <row r="23" ht="24" customHeight="1">
      <c r="B23" s="33" t="inlineStr">
        <is>
          <t>STORES MANAGEMENT KPIs</t>
        </is>
      </c>
    </row>
    <row r="24" ht="22" customHeight="1">
      <c r="B24" s="29" t="inlineStr">
        <is>
          <t>Sl.</t>
        </is>
      </c>
      <c r="C24" s="29" t="inlineStr">
        <is>
          <t>Key Performance Indicator</t>
        </is>
      </c>
      <c r="D24" s="29" t="inlineStr">
        <is>
          <t>Unit</t>
        </is>
      </c>
      <c r="E24" s="29" t="inlineStr">
        <is>
          <t>Target</t>
        </is>
      </c>
      <c r="F24" s="29" t="inlineStr">
        <is>
          <t>Prev. Month
Actual</t>
        </is>
      </c>
      <c r="G24" s="29" t="inlineStr">
        <is>
          <t>Current Month
Actual</t>
        </is>
      </c>
      <c r="H24" s="29" t="inlineStr">
        <is>
          <t>Status</t>
        </is>
      </c>
      <c r="I24" s="29" t="inlineStr">
        <is>
          <t>Action Required</t>
        </is>
      </c>
    </row>
    <row r="25" ht="22" customHeight="1">
      <c r="B25" s="30" t="n">
        <v>1</v>
      </c>
      <c r="C25" s="31" t="inlineStr">
        <is>
          <t>Items below reorder level (% of total)</t>
        </is>
      </c>
      <c r="D25" s="32" t="inlineStr">
        <is>
          <t>% below</t>
        </is>
      </c>
      <c r="E25" s="32" t="inlineStr">
        <is>
          <t>&lt; 10%</t>
        </is>
      </c>
      <c r="F25" s="32" t="inlineStr"/>
      <c r="G25" s="32" t="inlineStr"/>
      <c r="H25" s="32" t="inlineStr">
        <is>
          <t>On Track</t>
        </is>
      </c>
      <c r="I25" s="31" t="inlineStr"/>
    </row>
    <row r="26" ht="22" customHeight="1">
      <c r="B26" s="8" t="n">
        <v>2</v>
      </c>
      <c r="C26" s="9" t="inlineStr">
        <is>
          <t>Stockout incidents (target: zero)</t>
        </is>
      </c>
      <c r="D26" s="10" t="inlineStr">
        <is>
          <t>No.</t>
        </is>
      </c>
      <c r="E26" s="10" t="inlineStr">
        <is>
          <t>0</t>
        </is>
      </c>
      <c r="F26" s="10" t="inlineStr"/>
      <c r="G26" s="10" t="inlineStr"/>
      <c r="H26" s="10" t="inlineStr">
        <is>
          <t>On Track</t>
        </is>
      </c>
      <c r="I26" s="9" t="inlineStr"/>
    </row>
    <row r="27" ht="22" customHeight="1">
      <c r="B27" s="30" t="n">
        <v>3</v>
      </c>
      <c r="C27" s="31" t="inlineStr">
        <is>
          <t>Dead / surplus stock as % of total inventory value</t>
        </is>
      </c>
      <c r="D27" s="32" t="inlineStr">
        <is>
          <t>% dead stock</t>
        </is>
      </c>
      <c r="E27" s="32" t="inlineStr">
        <is>
          <t>&lt; 5%</t>
        </is>
      </c>
      <c r="F27" s="32" t="inlineStr"/>
      <c r="G27" s="32" t="inlineStr"/>
      <c r="H27" s="32" t="inlineStr">
        <is>
          <t>On Track</t>
        </is>
      </c>
      <c r="I27" s="31" t="inlineStr"/>
    </row>
    <row r="28" ht="22" customHeight="1">
      <c r="B28" s="8" t="n">
        <v>4</v>
      </c>
      <c r="C28" s="9" t="inlineStr">
        <is>
          <t>GRN processed within 2 days of delivery</t>
        </is>
      </c>
      <c r="D28" s="10" t="inlineStr">
        <is>
          <t>% on time</t>
        </is>
      </c>
      <c r="E28" s="10" t="inlineStr">
        <is>
          <t>100%</t>
        </is>
      </c>
      <c r="F28" s="10" t="inlineStr"/>
      <c r="G28" s="10" t="inlineStr"/>
      <c r="H28" s="10" t="inlineStr">
        <is>
          <t>On Track</t>
        </is>
      </c>
      <c r="I28" s="9" t="inlineStr"/>
    </row>
    <row r="29" ht="22" customHeight="1">
      <c r="B29" s="30" t="n">
        <v>5</v>
      </c>
      <c r="C29" s="31" t="inlineStr">
        <is>
          <t>Goods issue request fulfilment time</t>
        </is>
      </c>
      <c r="D29" s="32" t="inlineStr">
        <is>
          <t>Days</t>
        </is>
      </c>
      <c r="E29" s="32" t="inlineStr">
        <is>
          <t>≤2 days</t>
        </is>
      </c>
      <c r="F29" s="32" t="inlineStr"/>
      <c r="G29" s="32" t="inlineStr"/>
      <c r="H29" s="32" t="inlineStr">
        <is>
          <t>On Track</t>
        </is>
      </c>
      <c r="I29" s="31" t="inlineStr"/>
    </row>
    <row r="30" ht="22" customHeight="1">
      <c r="B30" s="8" t="n">
        <v>6</v>
      </c>
      <c r="C30" s="9" t="inlineStr">
        <is>
          <t>Annual physical verification completed</t>
        </is>
      </c>
      <c r="D30" s="10" t="inlineStr">
        <is>
          <t>Y/N</t>
        </is>
      </c>
      <c r="E30" s="10" t="inlineStr">
        <is>
          <t>Yes — by March 31</t>
        </is>
      </c>
      <c r="F30" s="10" t="inlineStr"/>
      <c r="G30" s="10" t="inlineStr"/>
      <c r="H30" s="10" t="inlineStr">
        <is>
          <t>On Track</t>
        </is>
      </c>
      <c r="I30" s="9" t="inlineStr"/>
    </row>
    <row r="31" ht="22" customHeight="1"/>
    <row r="32" ht="24" customHeight="1">
      <c r="B32" s="48" t="inlineStr">
        <is>
          <t>ASSET &amp; COMPLIANCE KPIs</t>
        </is>
      </c>
    </row>
    <row r="33" ht="22" customHeight="1">
      <c r="B33" s="49" t="inlineStr">
        <is>
          <t>Sl.</t>
        </is>
      </c>
      <c r="C33" s="49" t="inlineStr">
        <is>
          <t>Key Performance Indicator</t>
        </is>
      </c>
      <c r="D33" s="49" t="inlineStr">
        <is>
          <t>Unit</t>
        </is>
      </c>
      <c r="E33" s="49" t="inlineStr">
        <is>
          <t>Target</t>
        </is>
      </c>
      <c r="F33" s="49" t="inlineStr">
        <is>
          <t>Prev. Month
Actual</t>
        </is>
      </c>
      <c r="G33" s="49" t="inlineStr">
        <is>
          <t>Current Month
Actual</t>
        </is>
      </c>
      <c r="H33" s="49" t="inlineStr">
        <is>
          <t>Status</t>
        </is>
      </c>
      <c r="I33" s="49" t="inlineStr">
        <is>
          <t>Action Required</t>
        </is>
      </c>
    </row>
    <row r="34" ht="22" customHeight="1">
      <c r="B34" s="14" t="n">
        <v>1</v>
      </c>
      <c r="C34" s="15" t="inlineStr">
        <is>
          <t>Capital equipment asset-tagged (% of items)</t>
        </is>
      </c>
      <c r="D34" s="16" t="inlineStr">
        <is>
          <t>% tagged</t>
        </is>
      </c>
      <c r="E34" s="16" t="inlineStr">
        <is>
          <t>100%</t>
        </is>
      </c>
      <c r="F34" s="16" t="inlineStr"/>
      <c r="G34" s="16" t="inlineStr"/>
      <c r="H34" s="16" t="inlineStr">
        <is>
          <t>On Track</t>
        </is>
      </c>
      <c r="I34" s="15" t="inlineStr"/>
    </row>
    <row r="35" ht="22" customHeight="1">
      <c r="B35" s="8" t="n">
        <v>2</v>
      </c>
      <c r="C35" s="9" t="inlineStr">
        <is>
          <t>Assets insured (% of capital items)</t>
        </is>
      </c>
      <c r="D35" s="10" t="inlineStr">
        <is>
          <t>% insured</t>
        </is>
      </c>
      <c r="E35" s="10" t="inlineStr">
        <is>
          <t>100%</t>
        </is>
      </c>
      <c r="F35" s="10" t="inlineStr"/>
      <c r="G35" s="10" t="inlineStr"/>
      <c r="H35" s="10" t="inlineStr">
        <is>
          <t>On Track</t>
        </is>
      </c>
      <c r="I35" s="9" t="inlineStr"/>
    </row>
    <row r="36" ht="22" customHeight="1">
      <c r="B36" s="14" t="n">
        <v>3</v>
      </c>
      <c r="C36" s="15" t="inlineStr">
        <is>
          <t>AMC renewals done on time</t>
        </is>
      </c>
      <c r="D36" s="16" t="inlineStr">
        <is>
          <t>% on time</t>
        </is>
      </c>
      <c r="E36" s="16" t="inlineStr">
        <is>
          <t>100%</t>
        </is>
      </c>
      <c r="F36" s="16" t="inlineStr"/>
      <c r="G36" s="16" t="inlineStr"/>
      <c r="H36" s="16" t="inlineStr">
        <is>
          <t>On Track</t>
        </is>
      </c>
      <c r="I36" s="15" t="inlineStr"/>
    </row>
    <row r="37" ht="22" customHeight="1">
      <c r="B37" s="8" t="n">
        <v>4</v>
      </c>
      <c r="C37" s="9" t="inlineStr">
        <is>
          <t>Audit observations pending compliance</t>
        </is>
      </c>
      <c r="D37" s="10" t="inlineStr">
        <is>
          <t>No.</t>
        </is>
      </c>
      <c r="E37" s="10" t="inlineStr">
        <is>
          <t>0 target</t>
        </is>
      </c>
      <c r="F37" s="10" t="inlineStr"/>
      <c r="G37" s="10" t="inlineStr"/>
      <c r="H37" s="10" t="inlineStr">
        <is>
          <t>On Track</t>
        </is>
      </c>
      <c r="I37" s="9" t="inlineStr"/>
    </row>
    <row r="38" ht="22" customHeight="1">
      <c r="B38" s="14" t="n">
        <v>5</v>
      </c>
      <c r="C38" s="15" t="inlineStr">
        <is>
          <t>Physical verification discrepancy value (₹)</t>
        </is>
      </c>
      <c r="D38" s="16" t="inlineStr">
        <is>
          <t>₹</t>
        </is>
      </c>
      <c r="E38" s="16" t="inlineStr">
        <is>
          <t>Minimised</t>
        </is>
      </c>
      <c r="F38" s="16" t="inlineStr"/>
      <c r="G38" s="16" t="inlineStr"/>
      <c r="H38" s="16" t="inlineStr">
        <is>
          <t>On Track</t>
        </is>
      </c>
      <c r="I38" s="15" t="inlineStr"/>
    </row>
    <row r="39" ht="22" customHeight="1">
      <c r="B39" s="8" t="n">
        <v>6</v>
      </c>
      <c r="C39" s="9" t="inlineStr">
        <is>
          <t>NAAC infrastructure data compiled</t>
        </is>
      </c>
      <c r="D39" s="10" t="inlineStr">
        <is>
          <t>Y/N</t>
        </is>
      </c>
      <c r="E39" s="10" t="inlineStr">
        <is>
          <t>Yes annually</t>
        </is>
      </c>
      <c r="F39" s="10" t="inlineStr"/>
      <c r="G39" s="10" t="inlineStr"/>
      <c r="H39" s="10" t="inlineStr">
        <is>
          <t>On Track</t>
        </is>
      </c>
      <c r="I39" s="9" t="inlineStr"/>
    </row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</sheetData>
  <mergeCells count="6">
    <mergeCell ref="B2:I2"/>
    <mergeCell ref="B3:I3"/>
    <mergeCell ref="B14:I14"/>
    <mergeCell ref="B23:I23"/>
    <mergeCell ref="B32:I32"/>
    <mergeCell ref="B4:I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PSC-45: PURCHASE &amp; STORES ANNUAL REPORT COMPILATION FORM</t>
        </is>
      </c>
    </row>
    <row r="3" ht="25" customHeight="1">
      <c r="B3" s="2" t="inlineStr">
        <is>
          <t>A.Y.: _______  PSC Coordinator: ___________________  Submitted to: Finance Committee / Management / NAAC  Date: _______</t>
        </is>
      </c>
    </row>
    <row r="4" ht="24" customHeight="1">
      <c r="B4" s="19" t="inlineStr">
        <is>
          <t>SECTION 1 — PROCUREMENT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Total indents received</t>
        </is>
      </c>
      <c r="D6" s="16" t="inlineStr">
        <is>
          <t>No.</t>
        </is>
      </c>
      <c r="E6" s="16" t="inlineStr"/>
      <c r="F6" s="16" t="inlineStr"/>
      <c r="G6" s="16">
        <f>IFERROR(ROUND((E6-F6)/IF(F6=0,1,F6)*100,1),"")</f>
        <v/>
      </c>
      <c r="H6" s="16" t="inlineStr"/>
    </row>
    <row r="7" ht="22" customHeight="1">
      <c r="B7" s="8" t="n">
        <v>2</v>
      </c>
      <c r="C7" s="9" t="inlineStr">
        <is>
          <t>Total purchase orders issued</t>
        </is>
      </c>
      <c r="D7" s="10" t="inlineStr">
        <is>
          <t>No.</t>
        </is>
      </c>
      <c r="E7" s="10" t="inlineStr"/>
      <c r="F7" s="10" t="inlineStr"/>
      <c r="G7" s="10">
        <f>IFERROR(ROUND((E7-F7)/IF(F7=0,1,F7)*100,1),"")</f>
        <v/>
      </c>
      <c r="H7" s="10" t="inlineStr"/>
    </row>
    <row r="8" ht="22" customHeight="1">
      <c r="B8" s="14" t="n">
        <v>3</v>
      </c>
      <c r="C8" s="15" t="inlineStr">
        <is>
          <t>Total procurement value (₹L)</t>
        </is>
      </c>
      <c r="D8" s="16" t="inlineStr">
        <is>
          <t>₹L</t>
        </is>
      </c>
      <c r="E8" s="16" t="inlineStr"/>
      <c r="F8" s="16" t="inlineStr"/>
      <c r="G8" s="16">
        <f>IFERROR(ROUND((E8-F8)/IF(F8=0,1,F8)*100,1),"")</f>
        <v/>
      </c>
      <c r="H8" s="16" t="inlineStr"/>
    </row>
    <row r="9" ht="22" customHeight="1">
      <c r="B9" s="8" t="n">
        <v>4</v>
      </c>
      <c r="C9" s="9" t="inlineStr">
        <is>
          <t>Emergency purchases (%)</t>
        </is>
      </c>
      <c r="D9" s="10" t="inlineStr">
        <is>
          <t>% of total</t>
        </is>
      </c>
      <c r="E9" s="10" t="inlineStr"/>
      <c r="F9" s="10" t="inlineStr"/>
      <c r="G9" s="10">
        <f>IFERROR(ROUND((E9-F9)/IF(F9=0,1,F9)*100,1),"")</f>
        <v/>
      </c>
      <c r="H9" s="10" t="inlineStr"/>
    </row>
    <row r="10" ht="22" customHeight="1">
      <c r="B10" s="14" t="n">
        <v>5</v>
      </c>
      <c r="C10" s="15" t="inlineStr">
        <is>
          <t>Average procurement cycle time (days)</t>
        </is>
      </c>
      <c r="D10" s="16" t="inlineStr">
        <is>
          <t>Days</t>
        </is>
      </c>
      <c r="E10" s="16" t="inlineStr"/>
      <c r="F10" s="16" t="inlineStr"/>
      <c r="G10" s="16">
        <f>IFERROR(ROUND((E10-F10)/IF(F10=0,1,F10)*100,1),"")</f>
        <v/>
      </c>
      <c r="H10" s="16" t="inlineStr"/>
    </row>
    <row r="11" ht="22" customHeight="1">
      <c r="B11" s="8" t="n">
        <v>6</v>
      </c>
      <c r="C11" s="9" t="inlineStr">
        <is>
          <t>Purchases through tender (&gt; ₹5L)</t>
        </is>
      </c>
      <c r="D11" s="10" t="inlineStr">
        <is>
          <t>No.</t>
        </is>
      </c>
      <c r="E11" s="10" t="inlineStr"/>
      <c r="F11" s="10" t="inlineStr"/>
      <c r="G11" s="10">
        <f>IFERROR(ROUND((E11-F11)/IF(F11=0,1,F11)*100,1),"")</f>
        <v/>
      </c>
      <c r="H11" s="10" t="inlineStr"/>
    </row>
    <row r="12" ht="22" customHeight="1"/>
    <row r="13" ht="24" customHeight="1">
      <c r="B13" s="47" t="inlineStr">
        <is>
          <t>SECTION 2 — VENDOR MANAGEMENT</t>
        </is>
      </c>
    </row>
    <row r="14" ht="22" customHeight="1">
      <c r="B14" s="42" t="inlineStr">
        <is>
          <t>Sl.</t>
        </is>
      </c>
      <c r="C14" s="42" t="inlineStr">
        <is>
          <t>Performance Metric</t>
        </is>
      </c>
      <c r="D14" s="42" t="inlineStr">
        <is>
          <t>Unit</t>
        </is>
      </c>
      <c r="E14" s="42" t="inlineStr">
        <is>
          <t>Current A.Y.</t>
        </is>
      </c>
      <c r="F14" s="42" t="inlineStr">
        <is>
          <t>Previous A.Y.</t>
        </is>
      </c>
      <c r="G14" s="42" t="inlineStr">
        <is>
          <t>Growth %</t>
        </is>
      </c>
      <c r="H14" s="42" t="inlineStr">
        <is>
          <t>Target Next Year</t>
        </is>
      </c>
    </row>
    <row r="15" ht="22" customHeight="1">
      <c r="B15" s="43" t="n">
        <v>1</v>
      </c>
      <c r="C15" s="44" t="inlineStr">
        <is>
          <t>Total approved vendors</t>
        </is>
      </c>
      <c r="D15" s="45" t="inlineStr">
        <is>
          <t>No.</t>
        </is>
      </c>
      <c r="E15" s="45" t="inlineStr"/>
      <c r="F15" s="45" t="inlineStr"/>
      <c r="G15" s="45">
        <f>IFERROR(ROUND((E15-F15)/IF(F15=0,1,F15)*100,1),"")</f>
        <v/>
      </c>
      <c r="H15" s="45" t="inlineStr"/>
    </row>
    <row r="16" ht="22" customHeight="1">
      <c r="B16" s="8" t="n">
        <v>2</v>
      </c>
      <c r="C16" s="9" t="inlineStr">
        <is>
          <t>New vendors registered</t>
        </is>
      </c>
      <c r="D16" s="10" t="inlineStr">
        <is>
          <t>No.</t>
        </is>
      </c>
      <c r="E16" s="10" t="inlineStr"/>
      <c r="F16" s="10" t="inlineStr"/>
      <c r="G16" s="10">
        <f>IFERROR(ROUND((E16-F16)/IF(F16=0,1,F16)*100,1),"")</f>
        <v/>
      </c>
      <c r="H16" s="10" t="inlineStr"/>
    </row>
    <row r="17" ht="22" customHeight="1">
      <c r="B17" s="43" t="n">
        <v>3</v>
      </c>
      <c r="C17" s="44" t="inlineStr">
        <is>
          <t>Vendors debarred / blacklisted</t>
        </is>
      </c>
      <c r="D17" s="45" t="inlineStr">
        <is>
          <t>No.</t>
        </is>
      </c>
      <c r="E17" s="45" t="inlineStr"/>
      <c r="F17" s="45" t="inlineStr"/>
      <c r="G17" s="45">
        <f>IFERROR(ROUND((E17-F17)/IF(F17=0,1,F17)*100,1),"")</f>
        <v/>
      </c>
      <c r="H17" s="45" t="inlineStr"/>
    </row>
    <row r="18" ht="22" customHeight="1">
      <c r="B18" s="8" t="n">
        <v>4</v>
      </c>
      <c r="C18" s="9" t="inlineStr">
        <is>
          <t>Delivery on-time rate (%)</t>
        </is>
      </c>
      <c r="D18" s="10" t="inlineStr">
        <is>
          <t>% on time</t>
        </is>
      </c>
      <c r="E18" s="10" t="inlineStr"/>
      <c r="F18" s="10" t="inlineStr"/>
      <c r="G18" s="10">
        <f>IFERROR(ROUND((E18-F18)/IF(F18=0,1,F18)*100,1),"")</f>
        <v/>
      </c>
      <c r="H18" s="10" t="inlineStr"/>
    </row>
    <row r="19" ht="22" customHeight="1">
      <c r="B19" s="43" t="n">
        <v>5</v>
      </c>
      <c r="C19" s="44" t="inlineStr">
        <is>
          <t>Rejection / return rate (%)</t>
        </is>
      </c>
      <c r="D19" s="45" t="inlineStr">
        <is>
          <t>% rejected</t>
        </is>
      </c>
      <c r="E19" s="45" t="inlineStr"/>
      <c r="F19" s="45" t="inlineStr"/>
      <c r="G19" s="45">
        <f>IFERROR(ROUND((E19-F19)/IF(F19=0,1,F19)*100,1),"")</f>
        <v/>
      </c>
      <c r="H19" s="45" t="inlineStr"/>
    </row>
    <row r="20" ht="22" customHeight="1">
      <c r="B20" s="8" t="n">
        <v>6</v>
      </c>
      <c r="C20" s="9" t="inlineStr">
        <is>
          <t>Vendors rated A-Grade (%)</t>
        </is>
      </c>
      <c r="D20" s="10" t="inlineStr">
        <is>
          <t>% A-Grade</t>
        </is>
      </c>
      <c r="E20" s="10" t="inlineStr"/>
      <c r="F20" s="10" t="inlineStr"/>
      <c r="G20" s="10">
        <f>IFERROR(ROUND((E20-F20)/IF(F20=0,1,F20)*100,1),"")</f>
        <v/>
      </c>
      <c r="H20" s="10" t="inlineStr"/>
    </row>
    <row r="21" ht="22" customHeight="1"/>
    <row r="22" ht="24" customHeight="1">
      <c r="B22" s="33" t="inlineStr">
        <is>
          <t>SECTION 3 — STORES &amp; INVENTORY</t>
        </is>
      </c>
    </row>
    <row r="23" ht="22" customHeight="1">
      <c r="B23" s="29" t="inlineStr">
        <is>
          <t>Sl.</t>
        </is>
      </c>
      <c r="C23" s="29" t="inlineStr">
        <is>
          <t>Performance Metric</t>
        </is>
      </c>
      <c r="D23" s="29" t="inlineStr">
        <is>
          <t>Unit</t>
        </is>
      </c>
      <c r="E23" s="29" t="inlineStr">
        <is>
          <t>Current A.Y.</t>
        </is>
      </c>
      <c r="F23" s="29" t="inlineStr">
        <is>
          <t>Previous A.Y.</t>
        </is>
      </c>
      <c r="G23" s="29" t="inlineStr">
        <is>
          <t>Growth %</t>
        </is>
      </c>
      <c r="H23" s="29" t="inlineStr">
        <is>
          <t>Target Next Year</t>
        </is>
      </c>
    </row>
    <row r="24" ht="22" customHeight="1">
      <c r="B24" s="30" t="n">
        <v>1</v>
      </c>
      <c r="C24" s="31" t="inlineStr">
        <is>
          <t>Total item types in stores</t>
        </is>
      </c>
      <c r="D24" s="32" t="inlineStr">
        <is>
          <t>No.</t>
        </is>
      </c>
      <c r="E24" s="32" t="inlineStr"/>
      <c r="F24" s="32" t="inlineStr"/>
      <c r="G24" s="32">
        <f>IFERROR(ROUND((E24-F24)/IF(F24=0,1,F24)*100,1),"")</f>
        <v/>
      </c>
      <c r="H24" s="32" t="inlineStr"/>
    </row>
    <row r="25" ht="22" customHeight="1">
      <c r="B25" s="8" t="n">
        <v>2</v>
      </c>
      <c r="C25" s="9" t="inlineStr">
        <is>
          <t>Total inventory value (₹L)</t>
        </is>
      </c>
      <c r="D25" s="10" t="inlineStr">
        <is>
          <t>₹L</t>
        </is>
      </c>
      <c r="E25" s="10" t="inlineStr"/>
      <c r="F25" s="10" t="inlineStr"/>
      <c r="G25" s="10">
        <f>IFERROR(ROUND((E25-F25)/IF(F25=0,1,F25)*100,1),"")</f>
        <v/>
      </c>
      <c r="H25" s="10" t="inlineStr"/>
    </row>
    <row r="26" ht="22" customHeight="1">
      <c r="B26" s="30" t="n">
        <v>3</v>
      </c>
      <c r="C26" s="31" t="inlineStr">
        <is>
          <t>Goods received (GRNs processed)</t>
        </is>
      </c>
      <c r="D26" s="32" t="inlineStr">
        <is>
          <t>No.</t>
        </is>
      </c>
      <c r="E26" s="32" t="inlineStr"/>
      <c r="F26" s="32" t="inlineStr"/>
      <c r="G26" s="32">
        <f>IFERROR(ROUND((E26-F26)/IF(F26=0,1,F26)*100,1),"")</f>
        <v/>
      </c>
      <c r="H26" s="32" t="inlineStr"/>
    </row>
    <row r="27" ht="22" customHeight="1">
      <c r="B27" s="8" t="n">
        <v>4</v>
      </c>
      <c r="C27" s="9" t="inlineStr">
        <is>
          <t>Items issued to departments</t>
        </is>
      </c>
      <c r="D27" s="10" t="inlineStr">
        <is>
          <t>No.</t>
        </is>
      </c>
      <c r="E27" s="10" t="inlineStr"/>
      <c r="F27" s="10" t="inlineStr"/>
      <c r="G27" s="10">
        <f>IFERROR(ROUND((E27-F27)/IF(F27=0,1,F27)*100,1),"")</f>
        <v/>
      </c>
      <c r="H27" s="10" t="inlineStr"/>
    </row>
    <row r="28" ht="22" customHeight="1">
      <c r="B28" s="30" t="n">
        <v>5</v>
      </c>
      <c r="C28" s="31" t="inlineStr">
        <is>
          <t>Dead / surplus stock disposed</t>
        </is>
      </c>
      <c r="D28" s="32" t="inlineStr">
        <is>
          <t>No. / ₹L</t>
        </is>
      </c>
      <c r="E28" s="32" t="inlineStr"/>
      <c r="F28" s="32" t="inlineStr"/>
      <c r="G28" s="32">
        <f>IFERROR(ROUND((E28-F28)/IF(F28=0,1,F28)*100,1),"")</f>
        <v/>
      </c>
      <c r="H28" s="32" t="inlineStr"/>
    </row>
    <row r="29" ht="22" customHeight="1">
      <c r="B29" s="8" t="n">
        <v>6</v>
      </c>
      <c r="C29" s="9" t="inlineStr">
        <is>
          <t>Stockout incidents</t>
        </is>
      </c>
      <c r="D29" s="10" t="inlineStr">
        <is>
          <t>No.</t>
        </is>
      </c>
      <c r="E29" s="10" t="inlineStr"/>
      <c r="F29" s="10" t="inlineStr"/>
      <c r="G29" s="10">
        <f>IFERROR(ROUND((E29-F29)/IF(F29=0,1,F29)*100,1),"")</f>
        <v/>
      </c>
      <c r="H29" s="10" t="inlineStr"/>
    </row>
    <row r="30" ht="22" customHeight="1"/>
    <row r="31" ht="24" customHeight="1">
      <c r="B31" s="48" t="inlineStr">
        <is>
          <t>SECTION 4 — ASSETS &amp; COMPLIANCE</t>
        </is>
      </c>
    </row>
    <row r="32" ht="22" customHeight="1">
      <c r="B32" s="49" t="inlineStr">
        <is>
          <t>Sl.</t>
        </is>
      </c>
      <c r="C32" s="49" t="inlineStr">
        <is>
          <t>Performance Metric</t>
        </is>
      </c>
      <c r="D32" s="49" t="inlineStr">
        <is>
          <t>Unit</t>
        </is>
      </c>
      <c r="E32" s="49" t="inlineStr">
        <is>
          <t>Current A.Y.</t>
        </is>
      </c>
      <c r="F32" s="49" t="inlineStr">
        <is>
          <t>Previous A.Y.</t>
        </is>
      </c>
      <c r="G32" s="49" t="inlineStr">
        <is>
          <t>Growth %</t>
        </is>
      </c>
      <c r="H32" s="49" t="inlineStr">
        <is>
          <t>Target Next Year</t>
        </is>
      </c>
    </row>
    <row r="33" ht="22" customHeight="1">
      <c r="B33" s="14" t="n">
        <v>1</v>
      </c>
      <c r="C33" s="15" t="inlineStr">
        <is>
          <t>Capital equipment purchased (₹L)</t>
        </is>
      </c>
      <c r="D33" s="16" t="inlineStr">
        <is>
          <t>₹L</t>
        </is>
      </c>
      <c r="E33" s="16" t="inlineStr"/>
      <c r="F33" s="16" t="inlineStr"/>
      <c r="G33" s="16">
        <f>IFERROR(ROUND((E33-F33)/IF(F33=0,1,F33)*100,1),"")</f>
        <v/>
      </c>
      <c r="H33" s="16" t="inlineStr"/>
    </row>
    <row r="34" ht="22" customHeight="1">
      <c r="B34" s="8" t="n">
        <v>2</v>
      </c>
      <c r="C34" s="9" t="inlineStr">
        <is>
          <t>Total assets in register</t>
        </is>
      </c>
      <c r="D34" s="10" t="inlineStr">
        <is>
          <t>No.</t>
        </is>
      </c>
      <c r="E34" s="10" t="inlineStr"/>
      <c r="F34" s="10" t="inlineStr"/>
      <c r="G34" s="10">
        <f>IFERROR(ROUND((E34-F34)/IF(F34=0,1,F34)*100,1),"")</f>
        <v/>
      </c>
      <c r="H34" s="10" t="inlineStr"/>
    </row>
    <row r="35" ht="22" customHeight="1">
      <c r="B35" s="14" t="n">
        <v>3</v>
      </c>
      <c r="C35" s="15" t="inlineStr">
        <is>
          <t>Assets condemned / written off</t>
        </is>
      </c>
      <c r="D35" s="16" t="inlineStr">
        <is>
          <t>No.</t>
        </is>
      </c>
      <c r="E35" s="16" t="inlineStr"/>
      <c r="F35" s="16" t="inlineStr"/>
      <c r="G35" s="16">
        <f>IFERROR(ROUND((E35-F35)/IF(F35=0,1,F35)*100,1),"")</f>
        <v/>
      </c>
      <c r="H35" s="16" t="inlineStr"/>
    </row>
    <row r="36" ht="22" customHeight="1">
      <c r="B36" s="8" t="n">
        <v>4</v>
      </c>
      <c r="C36" s="9" t="inlineStr">
        <is>
          <t>Annual physical verification done</t>
        </is>
      </c>
      <c r="D36" s="10" t="inlineStr">
        <is>
          <t>Y/N</t>
        </is>
      </c>
      <c r="E36" s="10" t="inlineStr"/>
      <c r="F36" s="10" t="inlineStr"/>
      <c r="G36" s="10">
        <f>IFERROR(ROUND((E36-F36)/IF(F36=0,1,F36)*100,1),"")</f>
        <v/>
      </c>
      <c r="H36" s="10" t="inlineStr"/>
    </row>
    <row r="37" ht="22" customHeight="1">
      <c r="B37" s="14" t="n">
        <v>5</v>
      </c>
      <c r="C37" s="15" t="inlineStr">
        <is>
          <t>Verification discrepancies (₹)</t>
        </is>
      </c>
      <c r="D37" s="16" t="inlineStr">
        <is>
          <t>₹</t>
        </is>
      </c>
      <c r="E37" s="16" t="inlineStr"/>
      <c r="F37" s="16" t="inlineStr"/>
      <c r="G37" s="16">
        <f>IFERROR(ROUND((E37-F37)/IF(F37=0,1,F37)*100,1),"")</f>
        <v/>
      </c>
      <c r="H37" s="16" t="inlineStr"/>
    </row>
    <row r="38" ht="22" customHeight="1">
      <c r="B38" s="8" t="n">
        <v>6</v>
      </c>
      <c r="C38" s="9" t="inlineStr">
        <is>
          <t>Audit observations resolved (%)</t>
        </is>
      </c>
      <c r="D38" s="10" t="inlineStr">
        <is>
          <t>% resolved</t>
        </is>
      </c>
      <c r="E38" s="10" t="inlineStr"/>
      <c r="F38" s="10" t="inlineStr"/>
      <c r="G38" s="10">
        <f>IFERROR(ROUND((E38-F38)/IF(F38=0,1,F38)*100,1),"")</f>
        <v/>
      </c>
      <c r="H38" s="10" t="inlineStr"/>
    </row>
    <row r="39" ht="22" customHeight="1"/>
    <row r="40" ht="24" customHeight="1">
      <c r="B40" s="50" t="inlineStr">
        <is>
          <t>SECTION 5 — QUALITY &amp; NAAC</t>
        </is>
      </c>
    </row>
    <row r="41" ht="22" customHeight="1">
      <c r="B41" s="51" t="inlineStr">
        <is>
          <t>Sl.</t>
        </is>
      </c>
      <c r="C41" s="51" t="inlineStr">
        <is>
          <t>Performance Metric</t>
        </is>
      </c>
      <c r="D41" s="51" t="inlineStr">
        <is>
          <t>Unit</t>
        </is>
      </c>
      <c r="E41" s="51" t="inlineStr">
        <is>
          <t>Current A.Y.</t>
        </is>
      </c>
      <c r="F41" s="51" t="inlineStr">
        <is>
          <t>Previous A.Y.</t>
        </is>
      </c>
      <c r="G41" s="51" t="inlineStr">
        <is>
          <t>Growth %</t>
        </is>
      </c>
      <c r="H41" s="51" t="inlineStr">
        <is>
          <t>Target Next Year</t>
        </is>
      </c>
    </row>
    <row r="42" ht="22" customHeight="1">
      <c r="B42" s="52" t="n">
        <v>1</v>
      </c>
      <c r="C42" s="53" t="inlineStr">
        <is>
          <t>NAAC infrastructure data submitted</t>
        </is>
      </c>
      <c r="D42" s="54" t="inlineStr">
        <is>
          <t>Y/N</t>
        </is>
      </c>
      <c r="E42" s="54" t="inlineStr"/>
      <c r="F42" s="54" t="inlineStr"/>
      <c r="G42" s="54">
        <f>IFERROR(ROUND((E42-F42)/IF(F42=0,1,F42)*100,1),"")</f>
        <v/>
      </c>
      <c r="H42" s="54" t="inlineStr"/>
    </row>
    <row r="43" ht="22" customHeight="1">
      <c r="B43" s="8" t="n">
        <v>2</v>
      </c>
      <c r="C43" s="9" t="inlineStr">
        <is>
          <t>PSC meetings held</t>
        </is>
      </c>
      <c r="D43" s="10" t="inlineStr">
        <is>
          <t>No.</t>
        </is>
      </c>
      <c r="E43" s="10" t="inlineStr"/>
      <c r="F43" s="10" t="inlineStr"/>
      <c r="G43" s="10">
        <f>IFERROR(ROUND((E43-F43)/IF(F43=0,1,F43)*100,1),"")</f>
        <v/>
      </c>
      <c r="H43" s="10" t="inlineStr"/>
    </row>
    <row r="44" ht="22" customHeight="1">
      <c r="B44" s="52" t="n">
        <v>3</v>
      </c>
      <c r="C44" s="53" t="inlineStr">
        <is>
          <t>Procurement policy reviewed</t>
        </is>
      </c>
      <c r="D44" s="54" t="inlineStr">
        <is>
          <t>Y/N</t>
        </is>
      </c>
      <c r="E44" s="54" t="inlineStr"/>
      <c r="F44" s="54" t="inlineStr"/>
      <c r="G44" s="54">
        <f>IFERROR(ROUND((E44-F44)/IF(F44=0,1,F44)*100,1),"")</f>
        <v/>
      </c>
      <c r="H44" s="54" t="inlineStr"/>
    </row>
    <row r="45" ht="22" customHeight="1">
      <c r="B45" s="8" t="n">
        <v>4</v>
      </c>
      <c r="C45" s="9" t="inlineStr">
        <is>
          <t>Reorder levels set for all items</t>
        </is>
      </c>
      <c r="D45" s="10" t="inlineStr">
        <is>
          <t>Y/N</t>
        </is>
      </c>
      <c r="E45" s="10" t="inlineStr"/>
      <c r="F45" s="10" t="inlineStr"/>
      <c r="G45" s="10">
        <f>IFERROR(ROUND((E45-F45)/IF(F45=0,1,F45)*100,1),"")</f>
        <v/>
      </c>
      <c r="H45" s="10" t="inlineStr"/>
    </row>
    <row r="46" ht="22" customHeight="1">
      <c r="B46" s="52" t="n">
        <v>5</v>
      </c>
      <c r="C46" s="53" t="inlineStr">
        <is>
          <t>AMC renewals on time (%)</t>
        </is>
      </c>
      <c r="D46" s="54" t="inlineStr">
        <is>
          <t>% on time</t>
        </is>
      </c>
      <c r="E46" s="54" t="inlineStr"/>
      <c r="F46" s="54" t="inlineStr"/>
      <c r="G46" s="54">
        <f>IFERROR(ROUND((E46-F46)/IF(F46=0,1,F46)*100,1),"")</f>
        <v/>
      </c>
      <c r="H46" s="54" t="inlineStr"/>
    </row>
    <row r="47" ht="22" customHeight="1">
      <c r="B47" s="8" t="n">
        <v>6</v>
      </c>
      <c r="C47" s="9" t="inlineStr">
        <is>
          <t>Overall budget utilisation (%)</t>
        </is>
      </c>
      <c r="D47" s="10" t="inlineStr">
        <is>
          <t>% utilised</t>
        </is>
      </c>
      <c r="E47" s="10" t="inlineStr"/>
      <c r="F47" s="10" t="inlineStr"/>
      <c r="G47" s="10">
        <f>IFERROR(ROUND((E47-F47)/IF(F47=0,1,F47)*100,1),"")</f>
        <v/>
      </c>
      <c r="H47" s="10" t="inlineStr"/>
    </row>
    <row r="48" ht="22" customHeight="1"/>
    <row r="49" ht="20" customHeight="1">
      <c r="B49" s="17" t="inlineStr">
        <is>
          <t>Annual Report submitted to: Finance Committee, Principal, Governing Body, IQAC (NAAC AQAR Criterion IV — Infrastructure), External Auditor. All supporting documents (POs, GRNs, comparative statements) to be retained for 7 years.</t>
        </is>
      </c>
    </row>
    <row r="50" ht="22" customHeight="1">
      <c r="B50" s="28" t="inlineStr">
        <is>
          <t>PSC Coordinator: ___________________    Finance Officer: ___________________    Chairperson (Principal): ___________________    Date: ___________________</t>
        </is>
      </c>
    </row>
    <row r="51" ht="22" customHeight="1"/>
    <row r="52" ht="22" customHeight="1"/>
    <row r="53" ht="22" customHeight="1"/>
    <row r="54" ht="22" customHeight="1"/>
    <row r="55" ht="22" customHeight="1"/>
  </sheetData>
  <mergeCells count="9">
    <mergeCell ref="B22:H22"/>
    <mergeCell ref="B50:H50"/>
    <mergeCell ref="B40:H40"/>
    <mergeCell ref="B13:H13"/>
    <mergeCell ref="B49:H49"/>
    <mergeCell ref="B4:H4"/>
    <mergeCell ref="B2:H2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2026-04-27T04:53:16Z</dcterms:created>
  <dcterms:modified xmlns:dcterms="http://purl.org/dc/terms/" xmlns:xsi="http://www.w3.org/2001/XMLSchema-instance" xsi:type="dcterms:W3CDTF">2026-04-27T04:53:17Z</dcterms:modified>
</cp:coreProperties>
</file>