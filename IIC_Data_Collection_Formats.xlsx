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IC-00 Composition" sheetId="2" state="visible" r:id="rId2"/>
    <sheet xmlns:r="http://schemas.openxmlformats.org/officeDocument/2006/relationships" name="IIC-NA Notice &amp; Agenda" sheetId="3" state="visible" r:id="rId3"/>
    <sheet xmlns:r="http://schemas.openxmlformats.org/officeDocument/2006/relationships" name="IIC-AT Attendance" sheetId="4" state="visible" r:id="rId4"/>
    <sheet xmlns:r="http://schemas.openxmlformats.org/officeDocument/2006/relationships" name="IIC-MM Minutes" sheetId="5" state="visible" r:id="rId5"/>
    <sheet xmlns:r="http://schemas.openxmlformats.org/officeDocument/2006/relationships" name="IIC-ATR Action Report" sheetId="6" state="visible" r:id="rId6"/>
    <sheet xmlns:r="http://schemas.openxmlformats.org/officeDocument/2006/relationships" name="IIC-01 Registration &amp; Portal" sheetId="7" state="visible" r:id="rId7"/>
    <sheet xmlns:r="http://schemas.openxmlformats.org/officeDocument/2006/relationships" name="IIC-02 Annual Activity Calendar" sheetId="8" state="visible" r:id="rId8"/>
    <sheet xmlns:r="http://schemas.openxmlformats.org/officeDocument/2006/relationships" name="IIC-04 Idea Submission" sheetId="9" state="visible" r:id="rId9"/>
    <sheet xmlns:r="http://schemas.openxmlformats.org/officeDocument/2006/relationships" name="IIC-07 Hackathon Register" sheetId="10" state="visible" r:id="rId10"/>
    <sheet xmlns:r="http://schemas.openxmlformats.org/officeDocument/2006/relationships" name="IIC-11 Startup Registration" sheetId="11" state="visible" r:id="rId11"/>
    <sheet xmlns:r="http://schemas.openxmlformats.org/officeDocument/2006/relationships" name="IIC-13 Startup Funding" sheetId="12" state="visible" r:id="rId12"/>
    <sheet xmlns:r="http://schemas.openxmlformats.org/officeDocument/2006/relationships" name="IIC-15 Patent Filing" sheetId="13" state="visible" r:id="rId13"/>
    <sheet xmlns:r="http://schemas.openxmlformats.org/officeDocument/2006/relationships" name="IIC-20 Investor Connect" sheetId="14" state="visible" r:id="rId14"/>
    <sheet xmlns:r="http://schemas.openxmlformats.org/officeDocument/2006/relationships" name="IIC-22 Awareness Events" sheetId="15" state="visible" r:id="rId15"/>
    <sheet xmlns:r="http://schemas.openxmlformats.org/officeDocument/2006/relationships" name="IIC-27 MIC Activity Reporting" sheetId="16" state="visible" r:id="rId16"/>
    <sheet xmlns:r="http://schemas.openxmlformats.org/officeDocument/2006/relationships" name="IIC-28 Star Rating Assessment" sheetId="17" state="visible" r:id="rId17"/>
    <sheet xmlns:r="http://schemas.openxmlformats.org/officeDocument/2006/relationships" name="IIC-30 SDG Mapping" sheetId="18" state="visible" r:id="rId18"/>
    <sheet xmlns:r="http://schemas.openxmlformats.org/officeDocument/2006/relationships" name="IIC-32 KPI Dashboard" sheetId="19" state="visible" r:id="rId19"/>
    <sheet xmlns:r="http://schemas.openxmlformats.org/officeDocument/2006/relationships" name="IIC-33 Annual Report AP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0F346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0F3460"/>
      <sz val="10"/>
    </font>
    <font>
      <name val="Arial"/>
      <b val="1"/>
      <color rgb="00334155"/>
      <sz val="10"/>
    </font>
    <font>
      <name val="Arial"/>
      <b val="1"/>
      <color rgb="0016A34A"/>
      <sz val="10"/>
    </font>
    <font>
      <name val="Arial"/>
      <color rgb="000F172A"/>
      <sz val="9"/>
    </font>
    <font>
      <name val="Arial"/>
      <b val="1"/>
      <color rgb="00050F2C"/>
      <sz val="10"/>
    </font>
    <font>
      <name val="Arial"/>
      <b val="1"/>
      <color rgb="003F2000"/>
      <sz val="10"/>
    </font>
  </fonts>
  <fills count="20">
    <fill>
      <patternFill/>
    </fill>
    <fill>
      <patternFill patternType="gray125"/>
    </fill>
    <fill>
      <patternFill patternType="solid">
        <fgColor rgb="00050F2C"/>
      </patternFill>
    </fill>
    <fill>
      <patternFill patternType="solid">
        <fgColor rgb="00E8F4FD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EA580C"/>
      </patternFill>
    </fill>
    <fill>
      <patternFill patternType="solid">
        <fgColor rgb="00FFEDD5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9" borderId="1" pivotButton="0" quotePrefix="0" xfId="0"/>
    <xf numFmtId="0" fontId="0" fillId="14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INSTITUTION'S INNOVATION CELL (IIC)
Data Collection Formats — Master Workbook</t>
        </is>
      </c>
    </row>
    <row r="3" ht="28" customHeight="1">
      <c r="B3" s="2" t="inlineStr">
        <is>
          <t>Institution: _________________________  IIC President: _____________  A.Y.: _______  IIC Calendar Year: _______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IIC-00</t>
        </is>
      </c>
      <c r="C6" s="6" t="inlineStr">
        <is>
          <t>IIC Composition &amp; Team Register</t>
        </is>
      </c>
      <c r="D6" s="6" t="inlineStr">
        <is>
          <t>Record IIC council, coordinators &amp; student team</t>
        </is>
      </c>
      <c r="E6" s="7" t="inlineStr">
        <is>
          <t>Annual</t>
        </is>
      </c>
    </row>
    <row r="7" ht="20" customHeight="1">
      <c r="B7" s="8" t="inlineStr">
        <is>
          <t>IIC-NA</t>
        </is>
      </c>
      <c r="C7" s="9" t="inlineStr">
        <is>
          <t>IIC Meeting Notice, Agenda &amp; Dispatch</t>
        </is>
      </c>
      <c r="D7" s="9" t="inlineStr">
        <is>
          <t>Formal notice and agenda for IIC meetings</t>
        </is>
      </c>
      <c r="E7" s="10" t="inlineStr">
        <is>
          <t>Each Meeting</t>
        </is>
      </c>
    </row>
    <row r="8" ht="20" customHeight="1">
      <c r="B8" s="5" t="inlineStr">
        <is>
          <t>IIC-AT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IIC-MM</t>
        </is>
      </c>
      <c r="C9" s="9" t="inlineStr">
        <is>
          <t>IIC 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IIC-ATR</t>
        </is>
      </c>
      <c r="C10" s="6" t="inlineStr">
        <is>
          <t>Action Taken Report</t>
        </is>
      </c>
      <c r="D10" s="6" t="inlineStr">
        <is>
          <t>Track implementation of IIC resolutions</t>
        </is>
      </c>
      <c r="E10" s="7" t="inlineStr">
        <is>
          <t>Each Meeting</t>
        </is>
      </c>
    </row>
    <row r="11" ht="20" customHeight="1">
      <c r="B11" s="4" t="inlineStr">
        <is>
          <t>── IIC REGISTRATION &amp; ANNUAL PLAN ──</t>
        </is>
      </c>
    </row>
    <row r="12" ht="20" customHeight="1">
      <c r="B12" s="5" t="inlineStr">
        <is>
          <t>IIC-01</t>
        </is>
      </c>
      <c r="C12" s="6" t="inlineStr">
        <is>
          <t>IIC Registration &amp; MIC Portal Details</t>
        </is>
      </c>
      <c r="D12" s="6" t="inlineStr">
        <is>
          <t>Record IIC registration, Star Rating &amp; MIC portal data</t>
        </is>
      </c>
      <c r="E12" s="7" t="inlineStr">
        <is>
          <t>Annual</t>
        </is>
      </c>
    </row>
    <row r="13" ht="20" customHeight="1">
      <c r="B13" s="8" t="inlineStr">
        <is>
          <t>IIC-02</t>
        </is>
      </c>
      <c r="C13" s="9" t="inlineStr">
        <is>
          <t>IIC Annual Activity Calendar</t>
        </is>
      </c>
      <c r="D13" s="9" t="inlineStr">
        <is>
          <t>Plan all IIC activities, events &amp; targets for the year</t>
        </is>
      </c>
      <c r="E13" s="10" t="inlineStr">
        <is>
          <t>Annual (Pre-Year)</t>
        </is>
      </c>
    </row>
    <row r="14" ht="20" customHeight="1">
      <c r="B14" s="5" t="inlineStr">
        <is>
          <t>IIC-03</t>
        </is>
      </c>
      <c r="C14" s="6" t="inlineStr">
        <is>
          <t>IIC Annual Activity Progress Review</t>
        </is>
      </c>
      <c r="D14" s="6" t="inlineStr">
        <is>
          <t>Quarter-wise review of activity plan vs. actuals</t>
        </is>
      </c>
      <c r="E14" s="7" t="inlineStr">
        <is>
          <t>Quarterly</t>
        </is>
      </c>
    </row>
    <row r="15" ht="20" customHeight="1">
      <c r="B15" s="4" t="inlineStr">
        <is>
          <t>── INNOVATION &amp; IDEATION ──</t>
        </is>
      </c>
    </row>
    <row r="16" ht="20" customHeight="1">
      <c r="B16" s="5" t="inlineStr">
        <is>
          <t>IIC-04</t>
        </is>
      </c>
      <c r="C16" s="6" t="inlineStr">
        <is>
          <t>Innovation Idea Submission Register</t>
        </is>
      </c>
      <c r="D16" s="6" t="inlineStr">
        <is>
          <t>Capture student/faculty ideas — problem-solution record</t>
        </is>
      </c>
      <c r="E16" s="7" t="inlineStr">
        <is>
          <t>Continuous</t>
        </is>
      </c>
    </row>
    <row r="17" ht="20" customHeight="1">
      <c r="B17" s="8" t="inlineStr">
        <is>
          <t>IIC-05</t>
        </is>
      </c>
      <c r="C17" s="9" t="inlineStr">
        <is>
          <t>Idea Evaluation &amp; Mentoring Register</t>
        </is>
      </c>
      <c r="D17" s="9" t="inlineStr">
        <is>
          <t>Evaluate submitted ideas, assign mentors &amp; track progress</t>
        </is>
      </c>
      <c r="E17" s="10" t="inlineStr">
        <is>
          <t>Continuous</t>
        </is>
      </c>
    </row>
    <row r="18" ht="20" customHeight="1">
      <c r="B18" s="5" t="inlineStr">
        <is>
          <t>IIC-06</t>
        </is>
      </c>
      <c r="C18" s="6" t="inlineStr">
        <is>
          <t>Idea-to-Prototype Conversion Register</t>
        </is>
      </c>
      <c r="D18" s="6" t="inlineStr">
        <is>
          <t>Track ideas progressing to prototype/MVP stage</t>
        </is>
      </c>
      <c r="E18" s="7" t="inlineStr">
        <is>
          <t>Continuous</t>
        </is>
      </c>
    </row>
    <row r="19" ht="20" customHeight="1">
      <c r="B19" s="8" t="inlineStr">
        <is>
          <t>IIC-07</t>
        </is>
      </c>
      <c r="C19" s="9" t="inlineStr">
        <is>
          <t>Innovation Challenge / Hackathon Register</t>
        </is>
      </c>
      <c r="D19" s="9" t="inlineStr">
        <is>
          <t>Manage hackathons, ideathons &amp; innovation contests</t>
        </is>
      </c>
      <c r="E19" s="10" t="inlineStr">
        <is>
          <t>Per Event</t>
        </is>
      </c>
    </row>
    <row r="20" ht="20" customHeight="1">
      <c r="B20" s="5" t="inlineStr">
        <is>
          <t>IIC-08</t>
        </is>
      </c>
      <c r="C20" s="6" t="inlineStr">
        <is>
          <t>Design Thinking Workshop Register</t>
        </is>
      </c>
      <c r="D20" s="6" t="inlineStr">
        <is>
          <t>Document design thinking sessions &amp; outcomes</t>
        </is>
      </c>
      <c r="E20" s="7" t="inlineStr">
        <is>
          <t>Continuous</t>
        </is>
      </c>
    </row>
    <row r="21" ht="20" customHeight="1">
      <c r="B21" s="4" t="inlineStr">
        <is>
          <t>── STARTUP ECOSYSTEM ──</t>
        </is>
      </c>
    </row>
    <row r="22" ht="20" customHeight="1">
      <c r="B22" s="5" t="inlineStr">
        <is>
          <t>IIC-09</t>
        </is>
      </c>
      <c r="C22" s="6" t="inlineStr">
        <is>
          <t>Pre-Incubation &amp; Ideation Support Register</t>
        </is>
      </c>
      <c r="D22" s="6" t="inlineStr">
        <is>
          <t>Track early-stage ideas receiving institutional support</t>
        </is>
      </c>
      <c r="E22" s="7" t="inlineStr">
        <is>
          <t>Continuous</t>
        </is>
      </c>
    </row>
    <row r="23" ht="20" customHeight="1">
      <c r="B23" s="8" t="inlineStr">
        <is>
          <t>IIC-10</t>
        </is>
      </c>
      <c r="C23" s="9" t="inlineStr">
        <is>
          <t>Startup Validation &amp; Proof-of-Concept Reg.</t>
        </is>
      </c>
      <c r="D23" s="9" t="inlineStr">
        <is>
          <t>Record PoC development and external validation</t>
        </is>
      </c>
      <c r="E23" s="10" t="inlineStr">
        <is>
          <t>Per Startup</t>
        </is>
      </c>
    </row>
    <row r="24" ht="20" customHeight="1">
      <c r="B24" s="5" t="inlineStr">
        <is>
          <t>IIC-11</t>
        </is>
      </c>
      <c r="C24" s="6" t="inlineStr">
        <is>
          <t>Startup Registration &amp; DPIIT Recognition Reg.</t>
        </is>
      </c>
      <c r="D24" s="6" t="inlineStr">
        <is>
          <t>Track startups registered with DPIIT/Startup India</t>
        </is>
      </c>
      <c r="E24" s="7" t="inlineStr">
        <is>
          <t>Continuous</t>
        </is>
      </c>
    </row>
    <row r="25" ht="20" customHeight="1">
      <c r="B25" s="8" t="inlineStr">
        <is>
          <t>IIC-12</t>
        </is>
      </c>
      <c r="C25" s="9" t="inlineStr">
        <is>
          <t>Startup Mentorship &amp; Expert Connect Register</t>
        </is>
      </c>
      <c r="D25" s="9" t="inlineStr">
        <is>
          <t>Log mentor sessions, expert talks &amp; investor interactions</t>
        </is>
      </c>
      <c r="E25" s="10" t="inlineStr">
        <is>
          <t>Continuous</t>
        </is>
      </c>
    </row>
    <row r="26" ht="20" customHeight="1">
      <c r="B26" s="5" t="inlineStr">
        <is>
          <t>IIC-13</t>
        </is>
      </c>
      <c r="C26" s="6" t="inlineStr">
        <is>
          <t>Startup Funding &amp; Grant Tracking Register</t>
        </is>
      </c>
      <c r="D26" s="6" t="inlineStr">
        <is>
          <t>Track seed funds, grants, competitions &amp; investment</t>
        </is>
      </c>
      <c r="E26" s="7" t="inlineStr">
        <is>
          <t>Continuous</t>
        </is>
      </c>
    </row>
    <row r="27" ht="20" customHeight="1">
      <c r="B27" s="4" t="inlineStr">
        <is>
          <t>── IPR &amp; TECHNOLOGY TRANSFER ──</t>
        </is>
      </c>
    </row>
    <row r="28" ht="20" customHeight="1">
      <c r="B28" s="5" t="inlineStr">
        <is>
          <t>IIC-14</t>
        </is>
      </c>
      <c r="C28" s="6" t="inlineStr">
        <is>
          <t>IPR Awareness Programme Register</t>
        </is>
      </c>
      <c r="D28" s="6" t="inlineStr">
        <is>
          <t>Document IPR workshops, sensitisation drives</t>
        </is>
      </c>
      <c r="E28" s="7" t="inlineStr">
        <is>
          <t>Continuous</t>
        </is>
      </c>
    </row>
    <row r="29" ht="20" customHeight="1">
      <c r="B29" s="8" t="inlineStr">
        <is>
          <t>IIC-15</t>
        </is>
      </c>
      <c r="C29" s="9" t="inlineStr">
        <is>
          <t>Patent Filing Support Register</t>
        </is>
      </c>
      <c r="D29" s="9" t="inlineStr">
        <is>
          <t>Track patent applications filed with IIC support</t>
        </is>
      </c>
      <c r="E29" s="10" t="inlineStr">
        <is>
          <t>Continuous</t>
        </is>
      </c>
    </row>
    <row r="30" ht="20" customHeight="1">
      <c r="B30" s="5" t="inlineStr">
        <is>
          <t>IIC-16</t>
        </is>
      </c>
      <c r="C30" s="6" t="inlineStr">
        <is>
          <t>Trademark / Copyright / Design Filing Reg.</t>
        </is>
      </c>
      <c r="D30" s="6" t="inlineStr">
        <is>
          <t>Track TM, copyright &amp; design registrations</t>
        </is>
      </c>
      <c r="E30" s="7" t="inlineStr">
        <is>
          <t>Continuous</t>
        </is>
      </c>
    </row>
    <row r="31" ht="20" customHeight="1">
      <c r="B31" s="8" t="inlineStr">
        <is>
          <t>IIC-17</t>
        </is>
      </c>
      <c r="C31" s="9" t="inlineStr">
        <is>
          <t>Technology Transfer &amp; Licensing Register</t>
        </is>
      </c>
      <c r="D31" s="9" t="inlineStr">
        <is>
          <t>Document technology transfer / commercialisation deals</t>
        </is>
      </c>
      <c r="E31" s="10" t="inlineStr">
        <is>
          <t>As Required</t>
        </is>
      </c>
    </row>
    <row r="32" ht="20" customHeight="1">
      <c r="B32" s="4" t="inlineStr">
        <is>
          <t>── INDUSTRY &amp; ECOSYSTEM LINKAGE ──</t>
        </is>
      </c>
    </row>
    <row r="33" ht="20" customHeight="1">
      <c r="B33" s="8" t="inlineStr">
        <is>
          <t>IIC-18</t>
        </is>
      </c>
      <c r="C33" s="9" t="inlineStr">
        <is>
          <t>Industry Expert &amp; Mentor Panel Register</t>
        </is>
      </c>
      <c r="D33" s="9" t="inlineStr">
        <is>
          <t>Maintain mentor/expert database for IIC ecosystem</t>
        </is>
      </c>
      <c r="E33" s="10" t="inlineStr">
        <is>
          <t>Annual / Continuous</t>
        </is>
      </c>
    </row>
    <row r="34" ht="20" customHeight="1">
      <c r="B34" s="5" t="inlineStr">
        <is>
          <t>IIC-19</t>
        </is>
      </c>
      <c r="C34" s="6" t="inlineStr">
        <is>
          <t>Industry Collaboration &amp; Partnership Reg.</t>
        </is>
      </c>
      <c r="D34" s="6" t="inlineStr">
        <is>
          <t>Track industry partnerships for innovation support</t>
        </is>
      </c>
      <c r="E34" s="7" t="inlineStr">
        <is>
          <t>Continuous</t>
        </is>
      </c>
    </row>
    <row r="35" ht="20" customHeight="1">
      <c r="B35" s="8" t="inlineStr">
        <is>
          <t>IIC-20</t>
        </is>
      </c>
      <c r="C35" s="9" t="inlineStr">
        <is>
          <t>Investor Connect &amp; Pitch Event Register</t>
        </is>
      </c>
      <c r="D35" s="9" t="inlineStr">
        <is>
          <t>Document investor meets, pitch competitions &amp; outcomes</t>
        </is>
      </c>
      <c r="E35" s="10" t="inlineStr">
        <is>
          <t>Continuous</t>
        </is>
      </c>
    </row>
    <row r="36" ht="20" customHeight="1">
      <c r="B36" s="5" t="inlineStr">
        <is>
          <t>IIC-21</t>
        </is>
      </c>
      <c r="C36" s="6" t="inlineStr">
        <is>
          <t>Incubator / Accelerator Linkage Register</t>
        </is>
      </c>
      <c r="D36" s="6" t="inlineStr">
        <is>
          <t>Track linkages with external incubators &amp; accelerators</t>
        </is>
      </c>
      <c r="E36" s="7" t="inlineStr">
        <is>
          <t>Continuous</t>
        </is>
      </c>
    </row>
    <row r="37" ht="20" customHeight="1">
      <c r="B37" s="4" t="inlineStr">
        <is>
          <t>── AWARENESS, EDUCATION &amp; OUTREACH ──</t>
        </is>
      </c>
    </row>
    <row r="38" ht="20" customHeight="1">
      <c r="B38" s="5" t="inlineStr">
        <is>
          <t>IIC-22</t>
        </is>
      </c>
      <c r="C38" s="6" t="inlineStr">
        <is>
          <t>Innovation Awareness Event Register</t>
        </is>
      </c>
      <c r="D38" s="6" t="inlineStr">
        <is>
          <t>Log all awareness sessions, seminars &amp; expert talks</t>
        </is>
      </c>
      <c r="E38" s="7" t="inlineStr">
        <is>
          <t>Continuous</t>
        </is>
      </c>
    </row>
    <row r="39" ht="20" customHeight="1">
      <c r="B39" s="8" t="inlineStr">
        <is>
          <t>IIC-23</t>
        </is>
      </c>
      <c r="C39" s="9" t="inlineStr">
        <is>
          <t>Faculty Innovation &amp; FDP Register</t>
        </is>
      </c>
      <c r="D39" s="9" t="inlineStr">
        <is>
          <t>Track faculty FDP, innovation training &amp; recognition</t>
        </is>
      </c>
      <c r="E39" s="10" t="inlineStr">
        <is>
          <t>Annual</t>
        </is>
      </c>
    </row>
    <row r="40" ht="20" customHeight="1">
      <c r="B40" s="5" t="inlineStr">
        <is>
          <t>IIC-24</t>
        </is>
      </c>
      <c r="C40" s="6" t="inlineStr">
        <is>
          <t>Student Innovation Club / E-Cell Register</t>
        </is>
      </c>
      <c r="D40" s="6" t="inlineStr">
        <is>
          <t>Manage student innovation clubs &amp; their activities</t>
        </is>
      </c>
      <c r="E40" s="7" t="inlineStr">
        <is>
          <t>Annual</t>
        </is>
      </c>
    </row>
    <row r="41" ht="20" customHeight="1">
      <c r="B41" s="8" t="inlineStr">
        <is>
          <t>IIC-25</t>
        </is>
      </c>
      <c r="C41" s="9" t="inlineStr">
        <is>
          <t>National Innovation Day / Special Event Reg.</t>
        </is>
      </c>
      <c r="D41" s="9" t="inlineStr">
        <is>
          <t>Document National Innovation Day &amp; signature events</t>
        </is>
      </c>
      <c r="E41" s="10" t="inlineStr">
        <is>
          <t>Annual</t>
        </is>
      </c>
    </row>
    <row r="42" ht="20" customHeight="1">
      <c r="B42" s="5" t="inlineStr">
        <is>
          <t>IIC-26</t>
        </is>
      </c>
      <c r="C42" s="6" t="inlineStr">
        <is>
          <t>Innovation Ambassador Programme Register</t>
        </is>
      </c>
      <c r="D42" s="6" t="inlineStr">
        <is>
          <t>Track IIC-designated student innovation ambassadors</t>
        </is>
      </c>
      <c r="E42" s="7" t="inlineStr">
        <is>
          <t>Annual</t>
        </is>
      </c>
    </row>
    <row r="43" ht="20" customHeight="1">
      <c r="B43" s="4" t="inlineStr">
        <is>
          <t>── MIC PORTAL &amp; STAR RATING ──</t>
        </is>
      </c>
    </row>
    <row r="44" ht="20" customHeight="1">
      <c r="B44" s="5" t="inlineStr">
        <is>
          <t>IIC-27</t>
        </is>
      </c>
      <c r="C44" s="6" t="inlineStr">
        <is>
          <t>MIC Activity Reporting Register</t>
        </is>
      </c>
      <c r="D44" s="6" t="inlineStr">
        <is>
          <t>Track activities reported on MIC portal per activity type</t>
        </is>
      </c>
      <c r="E44" s="7" t="inlineStr">
        <is>
          <t>Monthly / Quarterly</t>
        </is>
      </c>
    </row>
    <row r="45" ht="20" customHeight="1">
      <c r="B45" s="8" t="inlineStr">
        <is>
          <t>IIC-28</t>
        </is>
      </c>
      <c r="C45" s="9" t="inlineStr">
        <is>
          <t>IIC Star Rating Self-Assessment Form</t>
        </is>
      </c>
      <c r="D45" s="9" t="inlineStr">
        <is>
          <t>Complete self-assessment across 5 IIC performance buckets</t>
        </is>
      </c>
      <c r="E45" s="10" t="inlineStr">
        <is>
          <t>Annual</t>
        </is>
      </c>
    </row>
    <row r="46" ht="20" customHeight="1">
      <c r="B46" s="5" t="inlineStr">
        <is>
          <t>IIC-29</t>
        </is>
      </c>
      <c r="C46" s="6" t="inlineStr">
        <is>
          <t>IIC Activity Points Tracker</t>
        </is>
      </c>
      <c r="D46" s="6" t="inlineStr">
        <is>
          <t>Track cumulative activity points for Star Rating</t>
        </is>
      </c>
      <c r="E46" s="7" t="inlineStr">
        <is>
          <t>Continuous</t>
        </is>
      </c>
    </row>
    <row r="47" ht="20" customHeight="1">
      <c r="B47" s="4" t="inlineStr">
        <is>
          <t>── SOCIAL INNOVATION &amp; IMPACT ──</t>
        </is>
      </c>
    </row>
    <row r="48" ht="20" customHeight="1">
      <c r="B48" s="5" t="inlineStr">
        <is>
          <t>IIC-30</t>
        </is>
      </c>
      <c r="C48" s="6" t="inlineStr">
        <is>
          <t>Social Innovation &amp; SDG Mapping Register</t>
        </is>
      </c>
      <c r="D48" s="6" t="inlineStr">
        <is>
          <t>Map innovations to SDGs and social impact outcomes</t>
        </is>
      </c>
      <c r="E48" s="7" t="inlineStr">
        <is>
          <t>Annual</t>
        </is>
      </c>
    </row>
    <row r="49" ht="20" customHeight="1">
      <c r="B49" s="8" t="inlineStr">
        <is>
          <t>IIC-31</t>
        </is>
      </c>
      <c r="C49" s="9" t="inlineStr">
        <is>
          <t>Women Innovators &amp; Entrepreneurship Reg.</t>
        </is>
      </c>
      <c r="D49" s="9" t="inlineStr">
        <is>
          <t>Track women-led innovation and entrepreneurship activities</t>
        </is>
      </c>
      <c r="E49" s="10" t="inlineStr">
        <is>
          <t>Annual</t>
        </is>
      </c>
    </row>
    <row r="50" ht="20" customHeight="1">
      <c r="B50" s="4" t="inlineStr">
        <is>
          <t>── MONITORING &amp; REPORTING ──</t>
        </is>
      </c>
    </row>
    <row r="51" ht="20" customHeight="1">
      <c r="B51" s="8" t="inlineStr">
        <is>
          <t>IIC-32</t>
        </is>
      </c>
      <c r="C51" s="9" t="inlineStr">
        <is>
          <t>IIC KPI Dashboard</t>
        </is>
      </c>
      <c r="D51" s="9" t="inlineStr">
        <is>
          <t>Track all IIC KPIs aligned to MIC Star Rating criteria</t>
        </is>
      </c>
      <c r="E51" s="10" t="inlineStr">
        <is>
          <t>Monthly / Quarterly</t>
        </is>
      </c>
    </row>
    <row r="52" ht="20" customHeight="1">
      <c r="B52" s="5" t="inlineStr">
        <is>
          <t>IIC-33</t>
        </is>
      </c>
      <c r="C52" s="6" t="inlineStr">
        <is>
          <t>IIC Annual Performance Report (APR)</t>
        </is>
      </c>
      <c r="D52" s="6" t="inlineStr">
        <is>
          <t>Comprehensive year-end report for MIC, IQAC &amp; management</t>
        </is>
      </c>
      <c r="E52" s="7" t="inlineStr">
        <is>
          <t>Annual</t>
        </is>
      </c>
    </row>
    <row r="53" ht="21" customHeight="1"/>
    <row r="54" ht="21" customHeight="1"/>
    <row r="55" ht="21" customHeight="1"/>
    <row r="56" ht="21" customHeight="1"/>
    <row r="57" ht="21" customHeight="1"/>
    <row r="108">
      <c r="B108" s="11" t="inlineStr">
        <is>
          <t>• IIC = Institution's Innovation Cell — established by MoE's Innovation Cell (MIC) to foster innovation and entrepreneurship culture.</t>
        </is>
      </c>
    </row>
    <row r="109">
      <c r="B109" s="11" t="inlineStr">
        <is>
          <t>• IIC must be registered on the MIC portal (iic.mic.gov.in). Activities are reported quarterly and rated annually (1–5 Stars).</t>
        </is>
      </c>
    </row>
    <row r="110">
      <c r="B110" s="11" t="inlineStr">
        <is>
          <t>• IIC Star Rating is based on 5 performance buckets: Innovation &amp; Ideation, Pre-Incubation, Governance, Ecosystem, MIC Initiatives.</t>
        </is>
      </c>
    </row>
    <row r="111">
      <c r="B111" s="11" t="inlineStr">
        <is>
          <t>• All activities must be logged on MIC portal within 30 days of the event. Documentation (photos, reports) is mandatory.</t>
        </is>
      </c>
    </row>
    <row r="112">
      <c r="B112" s="11" t="inlineStr">
        <is>
          <t>• IIC data feeds into: NAAC AQAR Criterion III (Research), NIRF Innovation Ranking, ARIIA, AIC Scheme applications.</t>
        </is>
      </c>
    </row>
    <row r="113">
      <c r="B113" s="11" t="inlineStr">
        <is>
          <t>• DPIIT-recognised startups, patents filed, and funded startups are critical evidence for IIC Star Rating and NIRF Innovation.</t>
        </is>
      </c>
    </row>
    <row r="114">
      <c r="B114" s="11" t="inlineStr">
        <is>
          <t>• IIC must conduct minimum: 2 Ideation events, 2 Pre-Incubation workshops, 1 Startup Connect, 1 IPR awareness per quarter.</t>
        </is>
      </c>
    </row>
    <row r="115">
      <c r="B115" s="11" t="inlineStr">
        <is>
          <t>• Coordinate with IQAC, EDC, R&amp;D Cell and T&amp;P Cell for data integration and reporting.</t>
        </is>
      </c>
    </row>
  </sheetData>
  <mergeCells count="20">
    <mergeCell ref="B108:E108"/>
    <mergeCell ref="B15:E15"/>
    <mergeCell ref="B5:E5"/>
    <mergeCell ref="B114:E114"/>
    <mergeCell ref="B32:E32"/>
    <mergeCell ref="B110:E110"/>
    <mergeCell ref="B50:E50"/>
    <mergeCell ref="B113:E113"/>
    <mergeCell ref="B109:E109"/>
    <mergeCell ref="B3:E3"/>
    <mergeCell ref="B47:E47"/>
    <mergeCell ref="B115:E115"/>
    <mergeCell ref="B27:E27"/>
    <mergeCell ref="B43:E43"/>
    <mergeCell ref="B21:E21"/>
    <mergeCell ref="B11:E11"/>
    <mergeCell ref="B2:E2"/>
    <mergeCell ref="B111:E111"/>
    <mergeCell ref="B112:E112"/>
    <mergeCell ref="B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IIC-00: INSTITUTION'S INNOVATION CELL — COMPOSITION &amp; TEAM REGISTER</t>
        </is>
      </c>
    </row>
    <row r="3" ht="25" customHeight="1">
      <c r="B3" s="2" t="inlineStr">
        <is>
          <t>Institution: _________________________  A.Y.: _______  IIC Reg. No.: _______  MIC Portal ID: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IIC</t>
        </is>
      </c>
      <c r="F4" s="13" t="inlineStr">
        <is>
          <t>Domain Expertise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IIC President</t>
        </is>
      </c>
      <c r="F5" s="16" t="inlineStr">
        <is>
          <t>IIC Leadership &amp; Policy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Vice-Principal / Dean Academics</t>
        </is>
      </c>
      <c r="E6" s="8" t="inlineStr">
        <is>
          <t>IIC Vice-President</t>
        </is>
      </c>
      <c r="F6" s="10" t="inlineStr">
        <is>
          <t>Academic Linkage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Faculty Coordinator — Innovation Cell</t>
        </is>
      </c>
      <c r="E7" s="14" t="inlineStr">
        <is>
          <t>IIC Convener / Coordinator</t>
        </is>
      </c>
      <c r="F7" s="16" t="inlineStr">
        <is>
          <t>IIC Operations &amp; Reporting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Faculty (Engineering / Technology)</t>
        </is>
      </c>
      <c r="E8" s="8" t="inlineStr">
        <is>
          <t>Innovation Officer – 1</t>
        </is>
      </c>
      <c r="F8" s="10" t="inlineStr">
        <is>
          <t>Technology Innovation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Faculty (Management / Commerce)</t>
        </is>
      </c>
      <c r="E9" s="14" t="inlineStr">
        <is>
          <t>Innovation Officer – 2</t>
        </is>
      </c>
      <c r="F9" s="16" t="inlineStr">
        <is>
          <t>Business &amp; Social Innovation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— IPR / R&amp;D Cell</t>
        </is>
      </c>
      <c r="E10" s="8" t="inlineStr">
        <is>
          <t>IPR Cell Coordinator</t>
        </is>
      </c>
      <c r="F10" s="10" t="inlineStr">
        <is>
          <t>Intellectual Property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Faculty / External Startup Mentor</t>
        </is>
      </c>
      <c r="E11" s="14" t="inlineStr">
        <is>
          <t>Startup Coach</t>
        </is>
      </c>
      <c r="F11" s="16" t="inlineStr">
        <is>
          <t>Startup Mentoring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Student Council — E-Cell Lead</t>
        </is>
      </c>
      <c r="E12" s="8" t="inlineStr">
        <is>
          <t>E-Cell / Innovation Club Head</t>
        </is>
      </c>
      <c r="F12" s="10" t="inlineStr">
        <is>
          <t>Student Innovation Ecosystem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Final Year Student (Selected)</t>
        </is>
      </c>
      <c r="E13" s="14" t="inlineStr">
        <is>
          <t>Student Innovation Ambassador</t>
        </is>
      </c>
      <c r="F13" s="16" t="inlineStr">
        <is>
          <t>Peer Motivation &amp; Outreach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3rd Year Student (Selected)</t>
        </is>
      </c>
      <c r="E14" s="8" t="inlineStr">
        <is>
          <t>Student Innovation Ambassador 2</t>
        </is>
      </c>
      <c r="F14" s="10" t="inlineStr">
        <is>
          <t>IIC Campus Outreach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Entrepreneur / Startup Founder</t>
        </is>
      </c>
      <c r="E15" s="14" t="inlineStr">
        <is>
          <t>Industry Expert – 1</t>
        </is>
      </c>
      <c r="F15" s="16" t="inlineStr">
        <is>
          <t>Startup Ecosystem Connect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VC / Angel Investor / Accelerator</t>
        </is>
      </c>
      <c r="E16" s="8" t="inlineStr">
        <is>
          <t>Industry Expert – 2</t>
        </is>
      </c>
      <c r="F16" s="10" t="inlineStr">
        <is>
          <t>Funding &amp; Investment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Innovation Expert / IIT / NID Faculty</t>
        </is>
      </c>
      <c r="E17" s="14" t="inlineStr">
        <is>
          <t>External Innovation Expert</t>
        </is>
      </c>
      <c r="F17" s="16" t="inlineStr">
        <is>
          <t>Innovation Methodology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IQAC In-charge</t>
        </is>
      </c>
      <c r="E18" s="8" t="inlineStr">
        <is>
          <t>IQAC Coordinator (Ex-off.)</t>
        </is>
      </c>
      <c r="F18" s="10" t="inlineStr">
        <is>
          <t>Quality &amp; Accreditation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Finance Officer</t>
        </is>
      </c>
      <c r="E19" s="14" t="inlineStr">
        <is>
          <t>Finance Officer (Ex-off.)</t>
        </is>
      </c>
      <c r="F19" s="16" t="inlineStr">
        <is>
          <t>IIC Budget &amp; Grants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Successful Alumni Entrepreneur</t>
        </is>
      </c>
      <c r="E20" s="8" t="inlineStr">
        <is>
          <t>Alumni Innovator</t>
        </is>
      </c>
      <c r="F20" s="10" t="inlineStr">
        <is>
          <t>Alumni Ecosystem</t>
        </is>
      </c>
      <c r="G20" s="9" t="inlineStr"/>
      <c r="H20" s="10" t="inlineStr"/>
      <c r="I20" s="10" t="inlineStr"/>
    </row>
    <row r="21" ht="22" customHeight="1"/>
    <row r="22" ht="20" customHeight="1">
      <c r="B22" s="17" t="inlineStr">
        <is>
          <t>IIC council constituted per MoE/MIC guidelines. Minimum 2 student innovation ambassadors mandatory. Industry/investor members add credibility for Star Rating.</t>
        </is>
      </c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IIC: MEETING NOTICE &amp; AGENDA</t>
        </is>
      </c>
    </row>
    <row r="3" ht="22" customHeight="1">
      <c r="B3" s="19" t="inlineStr">
        <is>
          <t>Meeting No.:</t>
        </is>
      </c>
      <c r="C3" s="9" t="n"/>
    </row>
    <row r="4" ht="22" customHeight="1">
      <c r="B4" s="19" t="inlineStr">
        <is>
          <t>Calendar Year:</t>
        </is>
      </c>
      <c r="C4" s="9" t="n"/>
    </row>
    <row r="5" ht="22" customHeight="1">
      <c r="B5" s="19" t="inlineStr">
        <is>
          <t>Date:</t>
        </is>
      </c>
      <c r="C5" s="9" t="n"/>
    </row>
    <row r="6" ht="22" customHeight="1">
      <c r="B6" s="19" t="inlineStr">
        <is>
          <t>Time:</t>
        </is>
      </c>
      <c r="C6" s="9" t="n"/>
    </row>
    <row r="7" ht="22" customHeight="1">
      <c r="B7" s="19" t="inlineStr">
        <is>
          <t>Venue:</t>
        </is>
      </c>
      <c r="C7" s="9" t="n"/>
    </row>
    <row r="8" ht="22" customHeight="1">
      <c r="B8" s="19" t="inlineStr">
        <is>
          <t>Mode:</t>
        </is>
      </c>
      <c r="C8" s="9" t="n"/>
    </row>
    <row r="9" ht="22" customHeight="1">
      <c r="B9" s="19" t="inlineStr">
        <is>
          <t>Notice by:</t>
        </is>
      </c>
      <c r="C9" s="9" t="n"/>
    </row>
    <row r="10" ht="22" customHeight="1">
      <c r="B10" s="19" t="inlineStr">
        <is>
          <t>Notice Date:</t>
        </is>
      </c>
      <c r="C10" s="9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IIC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MIC portal — activity reporting status (quarterly update)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Innovation idea pipeline — new ideas, shortlisting update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Hackathon / innovation challenge — planning or post-event review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Pre-incubation and startup support — current cohort status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IPR activities — patent filings, awareness programmes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IIC Star Rating — progress on performance buckets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Startup funding &amp; external grant opportunities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Industry expert / mentor connect — session schedule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Student innovation ambassador — outreach activities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Faculty innovation &amp; FDP — calendar update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ARIIA / NIRF Innovation Ranking data — compilation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National Innovation Day — planning / review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Social innovation &amp; SDG-linked initiatives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Budget review — IIC expenditure and grants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MIC national / regional events — participation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1" t="inlineStr">
        <is>
          <t>DISPATCH RECORD</t>
        </is>
      </c>
    </row>
    <row r="33" ht="24" customHeight="1">
      <c r="B33" s="22" t="inlineStr">
        <is>
          <t>Sl.</t>
        </is>
      </c>
      <c r="C33" s="22" t="inlineStr">
        <is>
          <t>Member Name &amp; Role</t>
        </is>
      </c>
      <c r="D33" s="22" t="inlineStr">
        <is>
          <t>Mode</t>
        </is>
      </c>
      <c r="E33" s="22" t="inlineStr">
        <is>
          <t>Date &amp; Acknowledgement</t>
        </is>
      </c>
    </row>
    <row r="34" ht="22" customHeight="1">
      <c r="B34" s="23" t="n"/>
      <c r="C34" s="23" t="n"/>
      <c r="D34" s="23" t="n"/>
      <c r="E34" s="23" t="n"/>
    </row>
    <row r="35" ht="22" customHeight="1">
      <c r="B35" s="10" t="n"/>
      <c r="C35" s="10" t="n"/>
      <c r="D35" s="10" t="n"/>
      <c r="E35" s="10" t="n"/>
    </row>
    <row r="36" ht="22" customHeight="1">
      <c r="B36" s="23" t="n"/>
      <c r="C36" s="23" t="n"/>
      <c r="D36" s="23" t="n"/>
      <c r="E36" s="23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IIC: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Organisation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/>
    <row r="24" ht="24" customHeight="1">
      <c r="B24" s="21" t="inlineStr">
        <is>
          <t>QUORUM VERIFICATION</t>
        </is>
      </c>
    </row>
    <row r="25" ht="22" customHeight="1">
      <c r="B25" s="24" t="inlineStr">
        <is>
          <t>Total IIC Members</t>
        </is>
      </c>
      <c r="G25" s="25" t="inlineStr"/>
    </row>
    <row r="26" ht="22" customHeight="1">
      <c r="B26" s="26" t="inlineStr">
        <is>
          <t>Present (Physical)</t>
        </is>
      </c>
      <c r="G26" s="25">
        <f>COUNTIF(F5:F22,"P")</f>
        <v/>
      </c>
    </row>
    <row r="27" ht="22" customHeight="1">
      <c r="B27" s="24" t="inlineStr">
        <is>
          <t>Present (VC)</t>
        </is>
      </c>
      <c r="G27" s="25" t="inlineStr"/>
    </row>
    <row r="28" ht="22" customHeight="1">
      <c r="B28" s="26" t="inlineStr">
        <is>
          <t>Total Effective</t>
        </is>
      </c>
      <c r="G28" s="25">
        <f>IFERROR(C26+C27,"")</f>
        <v/>
      </c>
    </row>
    <row r="29" ht="22" customHeight="1">
      <c r="B29" s="24" t="inlineStr">
        <is>
          <t>Quorum Required (50%)</t>
        </is>
      </c>
      <c r="G29" s="25" t="inlineStr"/>
    </row>
    <row r="30">
      <c r="B30" s="26" t="inlineStr">
        <is>
          <t>Quorum Achieved?</t>
        </is>
      </c>
      <c r="G30" s="27">
        <f>IFERROR(IF(C28&gt;=C29,"YES — Valid","NO — Adjourned"),"")</f>
        <v/>
      </c>
    </row>
  </sheetData>
  <mergeCells count="15">
    <mergeCell ref="B30:F30"/>
    <mergeCell ref="B29:F29"/>
    <mergeCell ref="G28:I28"/>
    <mergeCell ref="G27:I27"/>
    <mergeCell ref="B24:I24"/>
    <mergeCell ref="B2:I2"/>
    <mergeCell ref="B25:F25"/>
    <mergeCell ref="B28:F28"/>
    <mergeCell ref="B3:I3"/>
    <mergeCell ref="G26:I26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IIC: MEETING MINUTES &amp; RESOLUTIONS</t>
        </is>
      </c>
    </row>
    <row r="3" ht="25" customHeight="1">
      <c r="B3" s="2" t="inlineStr">
        <is>
          <t>Meeting No.: _______  Date: _______  Venue: _______  IIC President: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IIC/RES/001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IIC/RES/002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IIC/RES/003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IIC/RES/004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IIC/RES/005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IIC/RES/006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IIC/RES/007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IIC/RES/008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IIC/RES/009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IIC/RES/010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IIC/RES/011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IIC/RES/012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IIC/RES/013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IIC/RES/014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0" t="inlineStr">
        <is>
          <t>Next Meeting: _______    IIC President: ___________________    IIC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IIC: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IIC/RES/001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In Progress</t>
        </is>
      </c>
    </row>
    <row r="6" ht="26" customHeight="1">
      <c r="B6" s="8" t="inlineStr">
        <is>
          <t>IIC/RES/002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IIC/RES/003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In Progress</t>
        </is>
      </c>
    </row>
    <row r="8" ht="26" customHeight="1">
      <c r="B8" s="8" t="inlineStr">
        <is>
          <t>IIC/RES/004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2" t="inlineStr">
        <is>
          <t>IIC/RES/005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In Progress</t>
        </is>
      </c>
    </row>
    <row r="10" ht="26" customHeight="1">
      <c r="B10" s="8" t="inlineStr">
        <is>
          <t>IIC/RES/006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2" t="inlineStr">
        <is>
          <t>IIC/RES/007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IIC/RES/008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2" t="inlineStr">
        <is>
          <t>IIC/RES/009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In Progress</t>
        </is>
      </c>
    </row>
    <row r="14" ht="26" customHeight="1">
      <c r="B14" s="8" t="inlineStr">
        <is>
          <t>IIC/RES/010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2" t="inlineStr">
        <is>
          <t>IIC/RES/011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In Progress</t>
        </is>
      </c>
    </row>
    <row r="16" ht="26" customHeight="1">
      <c r="B16" s="8" t="inlineStr">
        <is>
          <t>IIC/RES/012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2" t="inlineStr">
        <is>
          <t>IIC/RES/013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In Progress</t>
        </is>
      </c>
    </row>
    <row r="18" ht="26" customHeight="1">
      <c r="B18" s="8" t="inlineStr">
        <is>
          <t>IIC/RES/014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2" t="inlineStr">
        <is>
          <t>IIC/RES/015</t>
        </is>
      </c>
      <c r="C19" s="33" t="inlineStr"/>
      <c r="D19" s="33" t="inlineStr"/>
      <c r="E19" s="34" t="inlineStr"/>
      <c r="F19" s="34" t="inlineStr"/>
      <c r="G19" s="34" t="inlineStr"/>
      <c r="H19" s="33" t="inlineStr">
        <is>
          <t>In Progress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36" t="inlineStr">
        <is>
          <t>Total Resolutions Under Review</t>
        </is>
      </c>
      <c r="F22" s="37">
        <f>COUNTA(B5:B19)</f>
        <v/>
      </c>
    </row>
    <row r="23" ht="26" customHeight="1">
      <c r="B23" s="26" t="inlineStr">
        <is>
          <t>Implemented</t>
        </is>
      </c>
      <c r="F23" s="38">
        <f>COUNTIF(H5:H19,"Implemented")</f>
        <v/>
      </c>
    </row>
    <row r="24" ht="26" customHeight="1">
      <c r="B24" s="36" t="inlineStr">
        <is>
          <t>In Progress</t>
        </is>
      </c>
      <c r="F24" s="37">
        <f>COUNTIF(H5:H19,"In Progress")</f>
        <v/>
      </c>
    </row>
    <row r="25" ht="26" customHeight="1">
      <c r="B25" s="26" t="inlineStr">
        <is>
          <t>Pending</t>
        </is>
      </c>
      <c r="F25" s="38">
        <f>COUNTIF(H5:H19,"Pending")</f>
        <v/>
      </c>
    </row>
    <row r="26" ht="26" customHeight="1">
      <c r="B26" s="36" t="inlineStr">
        <is>
          <t>Deferred</t>
        </is>
      </c>
      <c r="F26" s="37">
        <f>COUNTIF(H5:H19,"Deferred")</f>
        <v/>
      </c>
    </row>
    <row r="27" ht="26" customHeight="1">
      <c r="B27" s="26" t="inlineStr">
        <is>
          <t>Implementation Rate (%)</t>
        </is>
      </c>
      <c r="F27" s="38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IIC-01: IIC REGISTRATION, MIC PORTAL &amp; STAR RATING DETAILS</t>
        </is>
      </c>
    </row>
    <row r="3" ht="25" customHeight="1">
      <c r="B3" s="2" t="inlineStr">
        <is>
          <t>Maintained by IIC Coordinator — Updated annually and on every Star Rating assessment</t>
        </is>
      </c>
    </row>
    <row r="4" ht="24" customHeight="1">
      <c r="B4" s="20" t="inlineStr">
        <is>
          <t>SECTION A — IIC REGISTRATION DETAILS</t>
        </is>
      </c>
    </row>
    <row r="5" ht="28" customHeight="1">
      <c r="B5" s="39" t="inlineStr">
        <is>
          <t>IIC Registration Number (MIC Portal):</t>
        </is>
      </c>
      <c r="C5" s="9" t="n"/>
    </row>
    <row r="6" ht="28" customHeight="1">
      <c r="B6" s="39" t="inlineStr">
        <is>
          <t>Year of IIC Establishment:</t>
        </is>
      </c>
      <c r="C6" s="9" t="n"/>
    </row>
    <row r="7" ht="28" customHeight="1">
      <c r="B7" s="39" t="inlineStr">
        <is>
          <t>MIC Portal Login ID:</t>
        </is>
      </c>
      <c r="C7" s="9" t="n"/>
    </row>
    <row r="8" ht="28" customHeight="1">
      <c r="B8" s="39" t="inlineStr">
        <is>
          <t>IIC Category:</t>
        </is>
      </c>
      <c r="C8" s="40" t="inlineStr">
        <is>
          <t>[ ] Technology Institute  [ ] Management  [ ] Arts / Science  [ ] University  [ ] Other</t>
        </is>
      </c>
    </row>
    <row r="9" ht="28" customHeight="1">
      <c r="B9" s="39" t="inlineStr">
        <is>
          <t>Current IIC Star Rating:</t>
        </is>
      </c>
      <c r="C9" s="40" t="inlineStr">
        <is>
          <t>[ ] 1 Star  [ ] 2 Star  [ ] 3 Star  [ ] 4 Star  [ ] 5 Star  [ ] Unrated</t>
        </is>
      </c>
    </row>
    <row r="10" ht="28" customHeight="1">
      <c r="B10" s="39" t="inlineStr">
        <is>
          <t>Star Rating Year:</t>
        </is>
      </c>
      <c r="C10" s="9" t="n"/>
    </row>
    <row r="11" ht="28" customHeight="1">
      <c r="B11" s="39" t="inlineStr">
        <is>
          <t>Last Performance Score (out of 100):</t>
        </is>
      </c>
      <c r="C11" s="9" t="n"/>
    </row>
    <row r="12" ht="28" customHeight="1">
      <c r="B12" s="39" t="inlineStr">
        <is>
          <t>ARIIA Rank (if applicable):</t>
        </is>
      </c>
      <c r="C12" s="9" t="n"/>
    </row>
    <row r="13" ht="28" customHeight="1">
      <c r="B13" s="39" t="inlineStr">
        <is>
          <t>NIRF Innovation Ranking (if applicable):</t>
        </is>
      </c>
      <c r="C13" s="9" t="n"/>
    </row>
    <row r="14" ht="28" customHeight="1">
      <c r="B14" s="39" t="inlineStr">
        <is>
          <t>DPIIT Startup India Recognition:</t>
        </is>
      </c>
      <c r="C14" s="40" t="inlineStr">
        <is>
          <t>[ ] Yes — Ref. No.: _______   [ ] No   [ ] Applied</t>
        </is>
      </c>
    </row>
    <row r="15" ht="28" customHeight="1">
      <c r="B15" s="39" t="inlineStr">
        <is>
          <t>AIC Scheme Participation:</t>
        </is>
      </c>
      <c r="C15" s="40" t="inlineStr">
        <is>
          <t>[ ] Yes — AIC Name: _______   [ ] No</t>
        </is>
      </c>
    </row>
    <row r="16" ht="28" customHeight="1"/>
    <row r="17" ht="24" customHeight="1">
      <c r="B17" s="20" t="inlineStr">
        <is>
          <t>SECTION B — MIC PERFORMANCE BUCKET TARGETS</t>
        </is>
      </c>
    </row>
    <row r="18" ht="28" customHeight="1">
      <c r="B18" s="13" t="inlineStr">
        <is>
          <t>Performance Bucket</t>
        </is>
      </c>
      <c r="C18" s="13" t="inlineStr">
        <is>
          <t>Max Points
(MIC)</t>
        </is>
      </c>
      <c r="D18" s="13" t="inlineStr">
        <is>
          <t>Target Points
(This Year)</t>
        </is>
      </c>
      <c r="E18" s="13" t="inlineStr">
        <is>
          <t>Previous Year
Actual</t>
        </is>
      </c>
    </row>
    <row r="19" ht="28" customHeight="1">
      <c r="B19" s="41" t="inlineStr">
        <is>
          <t>1. Innovation Promotion &amp; Ecosystem Development</t>
        </is>
      </c>
      <c r="C19" s="16" t="n">
        <v>25</v>
      </c>
      <c r="D19" s="16" t="inlineStr"/>
      <c r="E19" s="16" t="inlineStr"/>
    </row>
    <row r="20" ht="28" customHeight="1">
      <c r="B20" s="26" t="inlineStr">
        <is>
          <t>2. Pre-Incubation Activities</t>
        </is>
      </c>
      <c r="C20" s="10" t="n">
        <v>25</v>
      </c>
      <c r="D20" s="10" t="inlineStr"/>
      <c r="E20" s="10" t="inlineStr"/>
    </row>
    <row r="21" ht="28" customHeight="1">
      <c r="B21" s="41" t="inlineStr">
        <is>
          <t>3. MIC-IIC Driven Activities (National Programmes)</t>
        </is>
      </c>
      <c r="C21" s="16" t="n">
        <v>20</v>
      </c>
      <c r="D21" s="16" t="inlineStr"/>
      <c r="E21" s="16" t="inlineStr"/>
    </row>
    <row r="22" ht="28" customHeight="1">
      <c r="B22" s="26" t="inlineStr">
        <is>
          <t>4. Organisation of Competitions / Competitions</t>
        </is>
      </c>
      <c r="C22" s="10" t="n">
        <v>15</v>
      </c>
      <c r="D22" s="10" t="inlineStr"/>
      <c r="E22" s="10" t="inlineStr"/>
    </row>
    <row r="23" ht="28" customHeight="1">
      <c r="B23" s="41" t="inlineStr">
        <is>
          <t>5. Governance &amp; Leadership Commitment</t>
        </is>
      </c>
      <c r="C23" s="16" t="n">
        <v>15</v>
      </c>
      <c r="D23" s="16" t="inlineStr"/>
      <c r="E23" s="16" t="inlineStr"/>
    </row>
    <row r="24" ht="28" customHeight="1"/>
    <row r="25" ht="26" customHeight="1">
      <c r="B25" s="42" t="inlineStr">
        <is>
          <t>TOTAL</t>
        </is>
      </c>
      <c r="C25" s="43" t="n">
        <v>100</v>
      </c>
      <c r="D25" s="43">
        <f>IFERROR(SUM(D19:D23),"")</f>
        <v/>
      </c>
      <c r="E25" s="43">
        <f>IFERROR(SUM(E19:E23),"")</f>
        <v/>
      </c>
    </row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</sheetData>
  <mergeCells count="15">
    <mergeCell ref="B17:E17"/>
    <mergeCell ref="C11:E11"/>
    <mergeCell ref="C14:E14"/>
    <mergeCell ref="C5:E5"/>
    <mergeCell ref="B4:E4"/>
    <mergeCell ref="C13:E13"/>
    <mergeCell ref="C15:E15"/>
    <mergeCell ref="C8:E8"/>
    <mergeCell ref="C9:E9"/>
    <mergeCell ref="B3:E3"/>
    <mergeCell ref="B2:E2"/>
    <mergeCell ref="C7:E7"/>
    <mergeCell ref="C12:E12"/>
    <mergeCell ref="C6:E6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IIC-02: IIC ANNUAL ACTIVITY CALENDAR</t>
        </is>
      </c>
    </row>
    <row r="3" ht="25" customHeight="1">
      <c r="B3" s="2" t="inlineStr">
        <is>
          <t>Calendar Year: _______  IIC Coordinator: ___________________  Approved by IIC President: ___________________  Date: _______</t>
        </is>
      </c>
    </row>
    <row r="4" ht="25" customHeight="1">
      <c r="B4" s="13" t="inlineStr">
        <is>
          <t>Sl.</t>
        </is>
      </c>
      <c r="C4" s="13" t="inlineStr">
        <is>
          <t>Activity Title</t>
        </is>
      </c>
      <c r="D4" s="13" t="inlineStr">
        <is>
          <t>Activity Type
(MIC Category)</t>
        </is>
      </c>
      <c r="E4" s="13" t="inlineStr">
        <is>
          <t>Target
Participants</t>
        </is>
      </c>
      <c r="F4" s="13" t="inlineStr">
        <is>
          <t>Q1
(Jan–Mar)</t>
        </is>
      </c>
      <c r="G4" s="13" t="inlineStr">
        <is>
          <t>Q2
(Apr–Jun)</t>
        </is>
      </c>
      <c r="H4" s="13" t="inlineStr">
        <is>
          <t>Q3
(Jul–Sep)</t>
        </is>
      </c>
      <c r="I4" s="13" t="inlineStr">
        <is>
          <t>Q4
(Oct–Dec)</t>
        </is>
      </c>
      <c r="J4" s="13" t="inlineStr">
        <is>
          <t>Budget
(₹)</t>
        </is>
      </c>
      <c r="K4" s="13" t="inlineStr">
        <is>
          <t>Status</t>
        </is>
      </c>
    </row>
    <row r="5" ht="24" customHeight="1">
      <c r="B5" s="20" t="inlineStr">
        <is>
          <t>A. INNOVATION &amp; IDEATION</t>
        </is>
      </c>
    </row>
    <row r="6" ht="22" customHeight="1">
      <c r="B6" s="14" t="n">
        <v>1</v>
      </c>
      <c r="C6" s="15" t="inlineStr">
        <is>
          <t>IIC Innovation Day Celebration</t>
        </is>
      </c>
      <c r="D6" s="16" t="inlineStr">
        <is>
          <t>MIC-IIC Driven</t>
        </is>
      </c>
      <c r="E6" s="16" t="inlineStr"/>
      <c r="F6" s="16" t="inlineStr"/>
      <c r="G6" s="16" t="inlineStr"/>
      <c r="H6" s="16" t="inlineStr"/>
      <c r="I6" s="16" t="inlineStr"/>
      <c r="J6" s="16" t="inlineStr"/>
      <c r="K6" s="16" t="inlineStr">
        <is>
          <t>Planned</t>
        </is>
      </c>
    </row>
    <row r="7" ht="22" customHeight="1">
      <c r="B7" s="8" t="n">
        <v>2</v>
      </c>
      <c r="C7" s="9" t="inlineStr">
        <is>
          <t>Hackathon / Ideathon</t>
        </is>
      </c>
      <c r="D7" s="10" t="inlineStr">
        <is>
          <t>Innovation Promotion</t>
        </is>
      </c>
      <c r="E7" s="10" t="inlineStr"/>
      <c r="F7" s="10" t="inlineStr"/>
      <c r="G7" s="10" t="inlineStr"/>
      <c r="H7" s="10" t="inlineStr"/>
      <c r="I7" s="10" t="inlineStr"/>
      <c r="J7" s="10" t="inlineStr"/>
      <c r="K7" s="10" t="inlineStr">
        <is>
          <t>Planned</t>
        </is>
      </c>
    </row>
    <row r="8" ht="22" customHeight="1">
      <c r="B8" s="14" t="n">
        <v>3</v>
      </c>
      <c r="C8" s="15" t="inlineStr">
        <is>
          <t>Design Thinking Workshop</t>
        </is>
      </c>
      <c r="D8" s="16" t="inlineStr">
        <is>
          <t>Innovation Promotion</t>
        </is>
      </c>
      <c r="E8" s="16" t="inlineStr"/>
      <c r="F8" s="16" t="inlineStr"/>
      <c r="G8" s="16" t="inlineStr"/>
      <c r="H8" s="16" t="inlineStr"/>
      <c r="I8" s="16" t="inlineStr"/>
      <c r="J8" s="16" t="inlineStr"/>
      <c r="K8" s="16" t="inlineStr">
        <is>
          <t>Planned</t>
        </is>
      </c>
    </row>
    <row r="9" ht="22" customHeight="1">
      <c r="B9" s="8" t="n">
        <v>4</v>
      </c>
      <c r="C9" s="9" t="inlineStr">
        <is>
          <t>Innovation Challenge (Internal)</t>
        </is>
      </c>
      <c r="D9" s="10" t="inlineStr">
        <is>
          <t>Innovation Promotion</t>
        </is>
      </c>
      <c r="E9" s="10" t="inlineStr"/>
      <c r="F9" s="10" t="inlineStr"/>
      <c r="G9" s="10" t="inlineStr"/>
      <c r="H9" s="10" t="inlineStr"/>
      <c r="I9" s="10" t="inlineStr"/>
      <c r="J9" s="10" t="inlineStr"/>
      <c r="K9" s="10" t="inlineStr">
        <is>
          <t>Planned</t>
        </is>
      </c>
    </row>
    <row r="10" ht="22" customHeight="1">
      <c r="B10" s="14" t="n">
        <v>5</v>
      </c>
      <c r="C10" s="15" t="inlineStr">
        <is>
          <t>Idea Submission Drive</t>
        </is>
      </c>
      <c r="D10" s="16" t="inlineStr">
        <is>
          <t>Innovation Promotion</t>
        </is>
      </c>
      <c r="E10" s="16" t="inlineStr"/>
      <c r="F10" s="16" t="inlineStr"/>
      <c r="G10" s="16" t="inlineStr"/>
      <c r="H10" s="16" t="inlineStr"/>
      <c r="I10" s="16" t="inlineStr"/>
      <c r="J10" s="16" t="inlineStr"/>
      <c r="K10" s="16" t="inlineStr">
        <is>
          <t>Planned</t>
        </is>
      </c>
    </row>
    <row r="11" ht="22" customHeight="1">
      <c r="B11" s="8" t="n">
        <v>6</v>
      </c>
      <c r="C11" s="9" t="inlineStr">
        <is>
          <t>Innovation Bootcamp</t>
        </is>
      </c>
      <c r="D11" s="10" t="inlineStr">
        <is>
          <t>Innovation Promotion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>
        <is>
          <t>Planned</t>
        </is>
      </c>
    </row>
    <row r="12" ht="22" customHeight="1"/>
    <row r="13" ht="24" customHeight="1">
      <c r="B13" s="44" t="inlineStr">
        <is>
          <t>B. PRE-INCUBATION &amp; STARTUP</t>
        </is>
      </c>
    </row>
    <row r="14" ht="22" customHeight="1">
      <c r="B14" s="45" t="n">
        <v>7</v>
      </c>
      <c r="C14" s="46" t="inlineStr">
        <is>
          <t>Business Ideation Workshop</t>
        </is>
      </c>
      <c r="D14" s="47" t="inlineStr">
        <is>
          <t>Pre-Incubation</t>
        </is>
      </c>
      <c r="E14" s="47" t="inlineStr"/>
      <c r="F14" s="47" t="inlineStr"/>
      <c r="G14" s="47" t="inlineStr"/>
      <c r="H14" s="47" t="inlineStr"/>
      <c r="I14" s="47" t="inlineStr"/>
      <c r="J14" s="47" t="inlineStr"/>
      <c r="K14" s="47" t="inlineStr">
        <is>
          <t>Planned</t>
        </is>
      </c>
    </row>
    <row r="15" ht="22" customHeight="1">
      <c r="B15" s="8" t="n">
        <v>8</v>
      </c>
      <c r="C15" s="9" t="inlineStr">
        <is>
          <t>Lean Startup / MVP Workshop</t>
        </is>
      </c>
      <c r="D15" s="10" t="inlineStr">
        <is>
          <t>Pre-Incubation</t>
        </is>
      </c>
      <c r="E15" s="10" t="inlineStr"/>
      <c r="F15" s="10" t="inlineStr"/>
      <c r="G15" s="10" t="inlineStr"/>
      <c r="H15" s="10" t="inlineStr"/>
      <c r="I15" s="10" t="inlineStr"/>
      <c r="J15" s="10" t="inlineStr"/>
      <c r="K15" s="10" t="inlineStr">
        <is>
          <t>Planned</t>
        </is>
      </c>
    </row>
    <row r="16" ht="22" customHeight="1">
      <c r="B16" s="45" t="n">
        <v>9</v>
      </c>
      <c r="C16" s="46" t="inlineStr">
        <is>
          <t>Startup Registration Drive (DPIIT)</t>
        </is>
      </c>
      <c r="D16" s="47" t="inlineStr">
        <is>
          <t>Pre-Incubation</t>
        </is>
      </c>
      <c r="E16" s="47" t="inlineStr"/>
      <c r="F16" s="47" t="inlineStr"/>
      <c r="G16" s="47" t="inlineStr"/>
      <c r="H16" s="47" t="inlineStr"/>
      <c r="I16" s="47" t="inlineStr"/>
      <c r="J16" s="47" t="inlineStr"/>
      <c r="K16" s="47" t="inlineStr">
        <is>
          <t>Planned</t>
        </is>
      </c>
    </row>
    <row r="17" ht="22" customHeight="1">
      <c r="B17" s="8" t="n">
        <v>10</v>
      </c>
      <c r="C17" s="9" t="inlineStr">
        <is>
          <t>Startup Mentoring Sessions</t>
        </is>
      </c>
      <c r="D17" s="10" t="inlineStr">
        <is>
          <t>Pre-Incubation</t>
        </is>
      </c>
      <c r="E17" s="10" t="inlineStr"/>
      <c r="F17" s="10" t="inlineStr"/>
      <c r="G17" s="10" t="inlineStr"/>
      <c r="H17" s="10" t="inlineStr"/>
      <c r="I17" s="10" t="inlineStr"/>
      <c r="J17" s="10" t="inlineStr"/>
      <c r="K17" s="10" t="inlineStr">
        <is>
          <t>Planned</t>
        </is>
      </c>
    </row>
    <row r="18" ht="22" customHeight="1">
      <c r="B18" s="45" t="n">
        <v>11</v>
      </c>
      <c r="C18" s="46" t="inlineStr">
        <is>
          <t>Pre-Incubation Cohort Launch</t>
        </is>
      </c>
      <c r="D18" s="47" t="inlineStr">
        <is>
          <t>Pre-Incubation</t>
        </is>
      </c>
      <c r="E18" s="47" t="inlineStr"/>
      <c r="F18" s="47" t="inlineStr"/>
      <c r="G18" s="47" t="inlineStr"/>
      <c r="H18" s="47" t="inlineStr"/>
      <c r="I18" s="47" t="inlineStr"/>
      <c r="J18" s="47" t="inlineStr"/>
      <c r="K18" s="47" t="inlineStr">
        <is>
          <t>Planned</t>
        </is>
      </c>
    </row>
    <row r="19" ht="22" customHeight="1">
      <c r="B19" s="8" t="n">
        <v>12</v>
      </c>
      <c r="C19" s="9" t="inlineStr">
        <is>
          <t>Demo Day / Pitch Practice</t>
        </is>
      </c>
      <c r="D19" s="10" t="inlineStr">
        <is>
          <t>Pre-Incubation</t>
        </is>
      </c>
      <c r="E19" s="10" t="inlineStr"/>
      <c r="F19" s="10" t="inlineStr"/>
      <c r="G19" s="10" t="inlineStr"/>
      <c r="H19" s="10" t="inlineStr"/>
      <c r="I19" s="10" t="inlineStr"/>
      <c r="J19" s="10" t="inlineStr"/>
      <c r="K19" s="10" t="inlineStr">
        <is>
          <t>Planned</t>
        </is>
      </c>
    </row>
    <row r="20" ht="22" customHeight="1"/>
    <row r="21" ht="24" customHeight="1">
      <c r="B21" s="48" t="inlineStr">
        <is>
          <t>C. IPR &amp; TECHNOLOGY</t>
        </is>
      </c>
    </row>
    <row r="22" ht="22" customHeight="1">
      <c r="B22" s="49" t="n">
        <v>13</v>
      </c>
      <c r="C22" s="50" t="inlineStr">
        <is>
          <t>IPR Awareness Workshop</t>
        </is>
      </c>
      <c r="D22" s="51" t="inlineStr">
        <is>
          <t>Innovation Promotion</t>
        </is>
      </c>
      <c r="E22" s="51" t="inlineStr"/>
      <c r="F22" s="51" t="inlineStr"/>
      <c r="G22" s="51" t="inlineStr"/>
      <c r="H22" s="51" t="inlineStr"/>
      <c r="I22" s="51" t="inlineStr"/>
      <c r="J22" s="51" t="inlineStr"/>
      <c r="K22" s="51" t="inlineStr">
        <is>
          <t>Planned</t>
        </is>
      </c>
    </row>
    <row r="23" ht="22" customHeight="1">
      <c r="B23" s="8" t="n">
        <v>14</v>
      </c>
      <c r="C23" s="9" t="inlineStr">
        <is>
          <t>Patent Filing Support Sessions</t>
        </is>
      </c>
      <c r="D23" s="10" t="inlineStr">
        <is>
          <t>Innovation Promotion</t>
        </is>
      </c>
      <c r="E23" s="10" t="inlineStr"/>
      <c r="F23" s="10" t="inlineStr"/>
      <c r="G23" s="10" t="inlineStr"/>
      <c r="H23" s="10" t="inlineStr"/>
      <c r="I23" s="10" t="inlineStr"/>
      <c r="J23" s="10" t="inlineStr"/>
      <c r="K23" s="10" t="inlineStr">
        <is>
          <t>Planned</t>
        </is>
      </c>
    </row>
    <row r="24" ht="22" customHeight="1">
      <c r="B24" s="49" t="n">
        <v>15</v>
      </c>
      <c r="C24" s="50" t="inlineStr">
        <is>
          <t>Technology Transfer Seminar</t>
        </is>
      </c>
      <c r="D24" s="51" t="inlineStr">
        <is>
          <t>Innovation Promotion</t>
        </is>
      </c>
      <c r="E24" s="51" t="inlineStr"/>
      <c r="F24" s="51" t="inlineStr"/>
      <c r="G24" s="51" t="inlineStr"/>
      <c r="H24" s="51" t="inlineStr"/>
      <c r="I24" s="51" t="inlineStr"/>
      <c r="J24" s="51" t="inlineStr"/>
      <c r="K24" s="51" t="inlineStr">
        <is>
          <t>Planned</t>
        </is>
      </c>
    </row>
    <row r="25" ht="22" customHeight="1"/>
    <row r="26" ht="24" customHeight="1">
      <c r="B26" s="35" t="inlineStr">
        <is>
          <t>D. MIC / NATIONAL PROGRAMMES</t>
        </is>
      </c>
    </row>
    <row r="27" ht="22" customHeight="1">
      <c r="B27" s="8" t="n">
        <v>16</v>
      </c>
      <c r="C27" s="9" t="inlineStr">
        <is>
          <t>Smart India Hackathon (SIH) Participation</t>
        </is>
      </c>
      <c r="D27" s="10" t="inlineStr">
        <is>
          <t>MIC-IIC Driven</t>
        </is>
      </c>
      <c r="E27" s="10" t="inlineStr"/>
      <c r="F27" s="10" t="inlineStr"/>
      <c r="G27" s="10" t="inlineStr"/>
      <c r="H27" s="10" t="inlineStr"/>
      <c r="I27" s="10" t="inlineStr"/>
      <c r="J27" s="10" t="inlineStr"/>
      <c r="K27" s="10" t="inlineStr">
        <is>
          <t>Planned</t>
        </is>
      </c>
    </row>
    <row r="28" ht="22" customHeight="1">
      <c r="B28" s="32" t="n">
        <v>17</v>
      </c>
      <c r="C28" s="33" t="inlineStr">
        <is>
          <t>Toycathon / Kavach / Vihaan Participation</t>
        </is>
      </c>
      <c r="D28" s="34" t="inlineStr">
        <is>
          <t>MIC-IIC Driven</t>
        </is>
      </c>
      <c r="E28" s="34" t="inlineStr"/>
      <c r="F28" s="34" t="inlineStr"/>
      <c r="G28" s="34" t="inlineStr"/>
      <c r="H28" s="34" t="inlineStr"/>
      <c r="I28" s="34" t="inlineStr"/>
      <c r="J28" s="34" t="inlineStr"/>
      <c r="K28" s="34" t="inlineStr">
        <is>
          <t>Planned</t>
        </is>
      </c>
    </row>
    <row r="29" ht="22" customHeight="1">
      <c r="B29" s="8" t="n">
        <v>18</v>
      </c>
      <c r="C29" s="9" t="inlineStr">
        <is>
          <t>National Innovation Day (15 Oct)</t>
        </is>
      </c>
      <c r="D29" s="10" t="inlineStr">
        <is>
          <t>MIC-IIC Driven</t>
        </is>
      </c>
      <c r="E29" s="10" t="inlineStr"/>
      <c r="F29" s="10" t="inlineStr"/>
      <c r="G29" s="10" t="inlineStr"/>
      <c r="H29" s="10" t="inlineStr"/>
      <c r="I29" s="10" t="inlineStr"/>
      <c r="J29" s="10" t="inlineStr"/>
      <c r="K29" s="10" t="inlineStr">
        <is>
          <t>Planned</t>
        </is>
      </c>
    </row>
    <row r="30" ht="22" customHeight="1">
      <c r="B30" s="32" t="n">
        <v>19</v>
      </c>
      <c r="C30" s="33" t="inlineStr">
        <is>
          <t>MIC Regional IIC Meet Participation</t>
        </is>
      </c>
      <c r="D30" s="34" t="inlineStr">
        <is>
          <t>MIC-IIC Driven</t>
        </is>
      </c>
      <c r="E30" s="34" t="inlineStr"/>
      <c r="F30" s="34" t="inlineStr"/>
      <c r="G30" s="34" t="inlineStr"/>
      <c r="H30" s="34" t="inlineStr"/>
      <c r="I30" s="34" t="inlineStr"/>
      <c r="J30" s="34" t="inlineStr"/>
      <c r="K30" s="34" t="inlineStr">
        <is>
          <t>Planned</t>
        </is>
      </c>
    </row>
    <row r="31" ht="22" customHeight="1">
      <c r="B31" s="8" t="n">
        <v>20</v>
      </c>
      <c r="C31" s="9" t="inlineStr">
        <is>
          <t>e-Yantra / other MIC competitions</t>
        </is>
      </c>
      <c r="D31" s="10" t="inlineStr">
        <is>
          <t>MIC-IIC Driven</t>
        </is>
      </c>
      <c r="E31" s="10" t="inlineStr"/>
      <c r="F31" s="10" t="inlineStr"/>
      <c r="G31" s="10" t="inlineStr"/>
      <c r="H31" s="10" t="inlineStr"/>
      <c r="I31" s="10" t="inlineStr"/>
      <c r="J31" s="10" t="inlineStr"/>
      <c r="K31" s="10" t="inlineStr">
        <is>
          <t>Planned</t>
        </is>
      </c>
    </row>
    <row r="32" ht="22" customHeight="1"/>
    <row r="33" ht="24" customHeight="1">
      <c r="B33" s="52" t="inlineStr">
        <is>
          <t>E. AWARENESS &amp; OUTREACH</t>
        </is>
      </c>
    </row>
    <row r="34" ht="22" customHeight="1">
      <c r="B34" s="53" t="n">
        <v>21</v>
      </c>
      <c r="C34" s="54" t="inlineStr">
        <is>
          <t>Expert Talk — Entrepreneur / Investor</t>
        </is>
      </c>
      <c r="D34" s="55" t="inlineStr">
        <is>
          <t>Innovation Promotion</t>
        </is>
      </c>
      <c r="E34" s="55" t="inlineStr"/>
      <c r="F34" s="55" t="inlineStr"/>
      <c r="G34" s="55" t="inlineStr"/>
      <c r="H34" s="55" t="inlineStr"/>
      <c r="I34" s="55" t="inlineStr"/>
      <c r="J34" s="55" t="inlineStr"/>
      <c r="K34" s="55" t="inlineStr">
        <is>
          <t>Planned</t>
        </is>
      </c>
    </row>
    <row r="35" ht="22" customHeight="1">
      <c r="B35" s="8" t="n">
        <v>22</v>
      </c>
      <c r="C35" s="9" t="inlineStr">
        <is>
          <t>Faculty Innovation FDP</t>
        </is>
      </c>
      <c r="D35" s="10" t="inlineStr">
        <is>
          <t>Governance</t>
        </is>
      </c>
      <c r="E35" s="10" t="inlineStr"/>
      <c r="F35" s="10" t="inlineStr"/>
      <c r="G35" s="10" t="inlineStr"/>
      <c r="H35" s="10" t="inlineStr"/>
      <c r="I35" s="10" t="inlineStr"/>
      <c r="J35" s="10" t="inlineStr"/>
      <c r="K35" s="10" t="inlineStr">
        <is>
          <t>Planned</t>
        </is>
      </c>
    </row>
    <row r="36" ht="22" customHeight="1">
      <c r="B36" s="53" t="n">
        <v>23</v>
      </c>
      <c r="C36" s="54" t="inlineStr">
        <is>
          <t>Student Innovation Ambassador Training</t>
        </is>
      </c>
      <c r="D36" s="55" t="inlineStr">
        <is>
          <t>Governance</t>
        </is>
      </c>
      <c r="E36" s="55" t="inlineStr"/>
      <c r="F36" s="55" t="inlineStr"/>
      <c r="G36" s="55" t="inlineStr"/>
      <c r="H36" s="55" t="inlineStr"/>
      <c r="I36" s="55" t="inlineStr"/>
      <c r="J36" s="55" t="inlineStr"/>
      <c r="K36" s="55" t="inlineStr">
        <is>
          <t>Planned</t>
        </is>
      </c>
    </row>
    <row r="37" ht="22" customHeight="1">
      <c r="B37" s="8" t="n">
        <v>24</v>
      </c>
      <c r="C37" s="9" t="inlineStr">
        <is>
          <t>Innovation Awareness Week</t>
        </is>
      </c>
      <c r="D37" s="10" t="inlineStr">
        <is>
          <t>Innovation Promotion</t>
        </is>
      </c>
      <c r="E37" s="10" t="inlineStr"/>
      <c r="F37" s="10" t="inlineStr"/>
      <c r="G37" s="10" t="inlineStr"/>
      <c r="H37" s="10" t="inlineStr"/>
      <c r="I37" s="10" t="inlineStr"/>
      <c r="J37" s="10" t="inlineStr"/>
      <c r="K37" s="10" t="inlineStr">
        <is>
          <t>Planned</t>
        </is>
      </c>
    </row>
    <row r="38" ht="22" customHeight="1">
      <c r="B38" s="53" t="n">
        <v>25</v>
      </c>
      <c r="C38" s="54" t="inlineStr">
        <is>
          <t>Social Innovation / SDG Workshop</t>
        </is>
      </c>
      <c r="D38" s="55" t="inlineStr">
        <is>
          <t>Innovation Promotion</t>
        </is>
      </c>
      <c r="E38" s="55" t="inlineStr"/>
      <c r="F38" s="55" t="inlineStr"/>
      <c r="G38" s="55" t="inlineStr"/>
      <c r="H38" s="55" t="inlineStr"/>
      <c r="I38" s="55" t="inlineStr"/>
      <c r="J38" s="55" t="inlineStr"/>
      <c r="K38" s="55" t="inlineStr">
        <is>
          <t>Planned</t>
        </is>
      </c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7">
    <mergeCell ref="B26:K26"/>
    <mergeCell ref="B13:K13"/>
    <mergeCell ref="B21:K21"/>
    <mergeCell ref="B2:K2"/>
    <mergeCell ref="B33:K33"/>
    <mergeCell ref="B3:K3"/>
    <mergeCell ref="B5:K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IIC-04: INNOVATION IDEA SUBMISSION REGISTER</t>
        </is>
      </c>
    </row>
    <row r="3" ht="25" customHeight="1">
      <c r="B3" s="2" t="inlineStr">
        <is>
          <t>Calendar Year: _______  IIC Coordinator: ___________________  Total Ideas Received: _______</t>
        </is>
      </c>
    </row>
    <row r="4" ht="25" customHeight="1">
      <c r="B4" s="13" t="inlineStr">
        <is>
          <t>Idea
Ref.</t>
        </is>
      </c>
      <c r="C4" s="13" t="inlineStr">
        <is>
          <t>Title of Idea / Innovation</t>
        </is>
      </c>
      <c r="D4" s="13" t="inlineStr">
        <is>
          <t>Innovator(s)
(Student/Faculty)</t>
        </is>
      </c>
      <c r="E4" s="13" t="inlineStr">
        <is>
          <t>Dept. / Branch</t>
        </is>
      </c>
      <c r="F4" s="13" t="inlineStr">
        <is>
          <t>Problem
Domain</t>
        </is>
      </c>
      <c r="G4" s="13" t="inlineStr">
        <is>
          <t>SDG
Alignment</t>
        </is>
      </c>
      <c r="H4" s="13" t="inlineStr">
        <is>
          <t>Technology
Readiness (1–9)</t>
        </is>
      </c>
      <c r="I4" s="13" t="inlineStr">
        <is>
          <t>Evaluation
Score (/50)</t>
        </is>
      </c>
      <c r="J4" s="13" t="inlineStr">
        <is>
          <t>Stage /
Status</t>
        </is>
      </c>
    </row>
    <row r="5" ht="24" customHeight="1">
      <c r="B5" s="14" t="inlineStr">
        <is>
          <t>IDEA/2024/0001</t>
        </is>
      </c>
      <c r="C5" s="15" t="inlineStr"/>
      <c r="D5" s="15" t="inlineStr"/>
      <c r="E5" s="16" t="inlineStr"/>
      <c r="F5" s="16" t="inlineStr">
        <is>
          <t>AgriTech</t>
        </is>
      </c>
      <c r="G5" s="16" t="inlineStr">
        <is>
          <t>SDG 1</t>
        </is>
      </c>
      <c r="H5" s="16" t="inlineStr"/>
      <c r="I5" s="16" t="inlineStr"/>
      <c r="J5" s="16" t="inlineStr">
        <is>
          <t>Submitted</t>
        </is>
      </c>
    </row>
    <row r="6" ht="24" customHeight="1">
      <c r="B6" s="8" t="inlineStr">
        <is>
          <t>IDEA/2024/0002</t>
        </is>
      </c>
      <c r="C6" s="9" t="inlineStr"/>
      <c r="D6" s="9" t="inlineStr"/>
      <c r="E6" s="10" t="inlineStr"/>
      <c r="F6" s="10" t="inlineStr">
        <is>
          <t>HealthTech</t>
        </is>
      </c>
      <c r="G6" s="10" t="inlineStr">
        <is>
          <t>SDG 2</t>
        </is>
      </c>
      <c r="H6" s="10" t="inlineStr"/>
      <c r="I6" s="10" t="inlineStr"/>
      <c r="J6" s="10" t="inlineStr">
        <is>
          <t>Under Evaluation</t>
        </is>
      </c>
    </row>
    <row r="7" ht="24" customHeight="1">
      <c r="B7" s="14" t="inlineStr">
        <is>
          <t>IDEA/2024/0003</t>
        </is>
      </c>
      <c r="C7" s="15" t="inlineStr"/>
      <c r="D7" s="15" t="inlineStr"/>
      <c r="E7" s="16" t="inlineStr"/>
      <c r="F7" s="16" t="inlineStr">
        <is>
          <t>EduTech</t>
        </is>
      </c>
      <c r="G7" s="16" t="inlineStr">
        <is>
          <t>SDG 3</t>
        </is>
      </c>
      <c r="H7" s="16" t="inlineStr"/>
      <c r="I7" s="16" t="inlineStr"/>
      <c r="J7" s="16" t="inlineStr">
        <is>
          <t>Shortlisted</t>
        </is>
      </c>
    </row>
    <row r="8" ht="24" customHeight="1">
      <c r="B8" s="8" t="inlineStr">
        <is>
          <t>IDEA/2024/0004</t>
        </is>
      </c>
      <c r="C8" s="9" t="inlineStr"/>
      <c r="D8" s="9" t="inlineStr"/>
      <c r="E8" s="10" t="inlineStr"/>
      <c r="F8" s="10" t="inlineStr">
        <is>
          <t>FinTech</t>
        </is>
      </c>
      <c r="G8" s="10" t="inlineStr">
        <is>
          <t>SDG 4</t>
        </is>
      </c>
      <c r="H8" s="10" t="inlineStr"/>
      <c r="I8" s="10" t="inlineStr"/>
      <c r="J8" s="10" t="inlineStr">
        <is>
          <t>Selected — Mentoring</t>
        </is>
      </c>
    </row>
    <row r="9" ht="24" customHeight="1">
      <c r="B9" s="14" t="inlineStr">
        <is>
          <t>IDEA/2024/0005</t>
        </is>
      </c>
      <c r="C9" s="15" t="inlineStr"/>
      <c r="D9" s="15" t="inlineStr"/>
      <c r="E9" s="16" t="inlineStr"/>
      <c r="F9" s="16" t="inlineStr">
        <is>
          <t>GreenTech / Clean Energy</t>
        </is>
      </c>
      <c r="G9" s="16" t="inlineStr">
        <is>
          <t>SDG 5</t>
        </is>
      </c>
      <c r="H9" s="16" t="inlineStr"/>
      <c r="I9" s="16" t="inlineStr"/>
      <c r="J9" s="16" t="inlineStr">
        <is>
          <t>Prototype Stage</t>
        </is>
      </c>
    </row>
    <row r="10" ht="24" customHeight="1">
      <c r="B10" s="8" t="inlineStr">
        <is>
          <t>IDEA/2024/0006</t>
        </is>
      </c>
      <c r="C10" s="9" t="inlineStr"/>
      <c r="D10" s="9" t="inlineStr"/>
      <c r="E10" s="10" t="inlineStr"/>
      <c r="F10" s="10" t="inlineStr">
        <is>
          <t>SmartCity / Mobility</t>
        </is>
      </c>
      <c r="G10" s="10" t="inlineStr">
        <is>
          <t>SDG 6</t>
        </is>
      </c>
      <c r="H10" s="10" t="inlineStr"/>
      <c r="I10" s="10" t="inlineStr"/>
      <c r="J10" s="10" t="inlineStr">
        <is>
          <t>MVP Ready</t>
        </is>
      </c>
    </row>
    <row r="11" ht="24" customHeight="1">
      <c r="B11" s="14" t="inlineStr">
        <is>
          <t>IDEA/2024/0007</t>
        </is>
      </c>
      <c r="C11" s="15" t="inlineStr"/>
      <c r="D11" s="15" t="inlineStr"/>
      <c r="E11" s="16" t="inlineStr"/>
      <c r="F11" s="16" t="inlineStr">
        <is>
          <t>Manufacturing</t>
        </is>
      </c>
      <c r="G11" s="16" t="inlineStr">
        <is>
          <t>SDG 7</t>
        </is>
      </c>
      <c r="H11" s="16" t="inlineStr"/>
      <c r="I11" s="16" t="inlineStr"/>
      <c r="J11" s="16" t="inlineStr">
        <is>
          <t>Pre-Incubated</t>
        </is>
      </c>
    </row>
    <row r="12" ht="24" customHeight="1">
      <c r="B12" s="8" t="inlineStr">
        <is>
          <t>IDEA/2024/0008</t>
        </is>
      </c>
      <c r="C12" s="9" t="inlineStr"/>
      <c r="D12" s="9" t="inlineStr"/>
      <c r="E12" s="10" t="inlineStr"/>
      <c r="F12" s="10" t="inlineStr">
        <is>
          <t>AI / ML / Data</t>
        </is>
      </c>
      <c r="G12" s="10" t="inlineStr">
        <is>
          <t>SDG 8</t>
        </is>
      </c>
      <c r="H12" s="10" t="inlineStr"/>
      <c r="I12" s="10" t="inlineStr"/>
      <c r="J12" s="10" t="inlineStr">
        <is>
          <t>Commercialised</t>
        </is>
      </c>
    </row>
    <row r="13" ht="24" customHeight="1">
      <c r="B13" s="14" t="inlineStr">
        <is>
          <t>IDEA/2024/0009</t>
        </is>
      </c>
      <c r="C13" s="15" t="inlineStr"/>
      <c r="D13" s="15" t="inlineStr"/>
      <c r="E13" s="16" t="inlineStr"/>
      <c r="F13" s="16" t="inlineStr">
        <is>
          <t>IoT / Embedded</t>
        </is>
      </c>
      <c r="G13" s="16" t="inlineStr">
        <is>
          <t>SDG 9</t>
        </is>
      </c>
      <c r="H13" s="16" t="inlineStr"/>
      <c r="I13" s="16" t="inlineStr"/>
      <c r="J13" s="16" t="inlineStr">
        <is>
          <t>Rejected</t>
        </is>
      </c>
    </row>
    <row r="14" ht="24" customHeight="1">
      <c r="B14" s="8" t="inlineStr">
        <is>
          <t>IDEA/2024/0010</t>
        </is>
      </c>
      <c r="C14" s="9" t="inlineStr"/>
      <c r="D14" s="9" t="inlineStr"/>
      <c r="E14" s="10" t="inlineStr"/>
      <c r="F14" s="10" t="inlineStr">
        <is>
          <t>Social Innovation</t>
        </is>
      </c>
      <c r="G14" s="10" t="inlineStr">
        <is>
          <t>SDG 10</t>
        </is>
      </c>
      <c r="H14" s="10" t="inlineStr"/>
      <c r="I14" s="10" t="inlineStr"/>
      <c r="J14" s="10" t="inlineStr">
        <is>
          <t>Submitted</t>
        </is>
      </c>
    </row>
    <row r="15" ht="24" customHeight="1">
      <c r="B15" s="14" t="inlineStr">
        <is>
          <t>IDEA/2024/0011</t>
        </is>
      </c>
      <c r="C15" s="15" t="inlineStr"/>
      <c r="D15" s="15" t="inlineStr"/>
      <c r="E15" s="16" t="inlineStr"/>
      <c r="F15" s="16" t="inlineStr">
        <is>
          <t>Women Empowerment</t>
        </is>
      </c>
      <c r="G15" s="16" t="inlineStr">
        <is>
          <t>SDG 11</t>
        </is>
      </c>
      <c r="H15" s="16" t="inlineStr"/>
      <c r="I15" s="16" t="inlineStr"/>
      <c r="J15" s="16" t="inlineStr">
        <is>
          <t>Under Evaluation</t>
        </is>
      </c>
    </row>
    <row r="16" ht="24" customHeight="1">
      <c r="B16" s="8" t="inlineStr">
        <is>
          <t>IDEA/2024/0012</t>
        </is>
      </c>
      <c r="C16" s="9" t="inlineStr"/>
      <c r="D16" s="9" t="inlineStr"/>
      <c r="E16" s="10" t="inlineStr"/>
      <c r="F16" s="10" t="inlineStr">
        <is>
          <t>Other</t>
        </is>
      </c>
      <c r="G16" s="10" t="inlineStr">
        <is>
          <t>SDG 12</t>
        </is>
      </c>
      <c r="H16" s="10" t="inlineStr"/>
      <c r="I16" s="10" t="inlineStr"/>
      <c r="J16" s="10" t="inlineStr">
        <is>
          <t>Shortlisted</t>
        </is>
      </c>
    </row>
    <row r="17" ht="24" customHeight="1">
      <c r="B17" s="14" t="inlineStr">
        <is>
          <t>IDEA/2024/0013</t>
        </is>
      </c>
      <c r="C17" s="15" t="inlineStr"/>
      <c r="D17" s="15" t="inlineStr"/>
      <c r="E17" s="16" t="inlineStr"/>
      <c r="F17" s="16" t="inlineStr">
        <is>
          <t>AgriTech</t>
        </is>
      </c>
      <c r="G17" s="16" t="inlineStr">
        <is>
          <t>SDG 13</t>
        </is>
      </c>
      <c r="H17" s="16" t="inlineStr"/>
      <c r="I17" s="16" t="inlineStr"/>
      <c r="J17" s="16" t="inlineStr">
        <is>
          <t>Selected — Mentoring</t>
        </is>
      </c>
    </row>
    <row r="18" ht="24" customHeight="1">
      <c r="B18" s="8" t="inlineStr">
        <is>
          <t>IDEA/2024/0014</t>
        </is>
      </c>
      <c r="C18" s="9" t="inlineStr"/>
      <c r="D18" s="9" t="inlineStr"/>
      <c r="E18" s="10" t="inlineStr"/>
      <c r="F18" s="10" t="inlineStr">
        <is>
          <t>HealthTech</t>
        </is>
      </c>
      <c r="G18" s="10" t="inlineStr">
        <is>
          <t>SDG 14</t>
        </is>
      </c>
      <c r="H18" s="10" t="inlineStr"/>
      <c r="I18" s="10" t="inlineStr"/>
      <c r="J18" s="10" t="inlineStr">
        <is>
          <t>Prototype Stage</t>
        </is>
      </c>
    </row>
    <row r="19" ht="24" customHeight="1">
      <c r="B19" s="14" t="inlineStr">
        <is>
          <t>IDEA/2025/0015</t>
        </is>
      </c>
      <c r="C19" s="15" t="inlineStr"/>
      <c r="D19" s="15" t="inlineStr"/>
      <c r="E19" s="16" t="inlineStr"/>
      <c r="F19" s="16" t="inlineStr">
        <is>
          <t>EduTech</t>
        </is>
      </c>
      <c r="G19" s="16" t="inlineStr">
        <is>
          <t>SDG 15</t>
        </is>
      </c>
      <c r="H19" s="16" t="inlineStr"/>
      <c r="I19" s="16" t="inlineStr"/>
      <c r="J19" s="16" t="inlineStr">
        <is>
          <t>MVP Ready</t>
        </is>
      </c>
    </row>
    <row r="20" ht="24" customHeight="1">
      <c r="B20" s="8" t="inlineStr">
        <is>
          <t>IDEA/2025/0016</t>
        </is>
      </c>
      <c r="C20" s="9" t="inlineStr"/>
      <c r="D20" s="9" t="inlineStr"/>
      <c r="E20" s="10" t="inlineStr"/>
      <c r="F20" s="10" t="inlineStr">
        <is>
          <t>FinTech</t>
        </is>
      </c>
      <c r="G20" s="10" t="inlineStr">
        <is>
          <t>SDG 16</t>
        </is>
      </c>
      <c r="H20" s="10" t="inlineStr"/>
      <c r="I20" s="10" t="inlineStr"/>
      <c r="J20" s="10" t="inlineStr">
        <is>
          <t>Pre-Incubated</t>
        </is>
      </c>
    </row>
    <row r="21" ht="24" customHeight="1">
      <c r="B21" s="14" t="inlineStr">
        <is>
          <t>IDEA/2025/0017</t>
        </is>
      </c>
      <c r="C21" s="15" t="inlineStr"/>
      <c r="D21" s="15" t="inlineStr"/>
      <c r="E21" s="16" t="inlineStr"/>
      <c r="F21" s="16" t="inlineStr">
        <is>
          <t>GreenTech / Clean Energy</t>
        </is>
      </c>
      <c r="G21" s="16" t="inlineStr">
        <is>
          <t>SDG 17</t>
        </is>
      </c>
      <c r="H21" s="16" t="inlineStr"/>
      <c r="I21" s="16" t="inlineStr"/>
      <c r="J21" s="16" t="inlineStr">
        <is>
          <t>Commercialised</t>
        </is>
      </c>
    </row>
    <row r="22" ht="24" customHeight="1">
      <c r="B22" s="8" t="inlineStr">
        <is>
          <t>IDEA/2025/0018</t>
        </is>
      </c>
      <c r="C22" s="9" t="inlineStr"/>
      <c r="D22" s="9" t="inlineStr"/>
      <c r="E22" s="10" t="inlineStr"/>
      <c r="F22" s="10" t="inlineStr">
        <is>
          <t>SmartCity / Mobility</t>
        </is>
      </c>
      <c r="G22" s="10" t="inlineStr">
        <is>
          <t>SDG 1</t>
        </is>
      </c>
      <c r="H22" s="10" t="inlineStr"/>
      <c r="I22" s="10" t="inlineStr"/>
      <c r="J22" s="10" t="inlineStr">
        <is>
          <t>Rejected</t>
        </is>
      </c>
    </row>
    <row r="23" ht="24" customHeight="1">
      <c r="B23" s="14" t="inlineStr">
        <is>
          <t>IDEA/2025/0019</t>
        </is>
      </c>
      <c r="C23" s="15" t="inlineStr"/>
      <c r="D23" s="15" t="inlineStr"/>
      <c r="E23" s="16" t="inlineStr"/>
      <c r="F23" s="16" t="inlineStr">
        <is>
          <t>Manufacturing</t>
        </is>
      </c>
      <c r="G23" s="16" t="inlineStr">
        <is>
          <t>SDG 2</t>
        </is>
      </c>
      <c r="H23" s="16" t="inlineStr"/>
      <c r="I23" s="16" t="inlineStr"/>
      <c r="J23" s="16" t="inlineStr">
        <is>
          <t>Submitted</t>
        </is>
      </c>
    </row>
    <row r="24" ht="24" customHeight="1">
      <c r="B24" s="8" t="inlineStr">
        <is>
          <t>IDEA/2025/0020</t>
        </is>
      </c>
      <c r="C24" s="9" t="inlineStr"/>
      <c r="D24" s="9" t="inlineStr"/>
      <c r="E24" s="10" t="inlineStr"/>
      <c r="F24" s="10" t="inlineStr">
        <is>
          <t>AI / ML / Data</t>
        </is>
      </c>
      <c r="G24" s="10" t="inlineStr">
        <is>
          <t>SDG 3</t>
        </is>
      </c>
      <c r="H24" s="10" t="inlineStr"/>
      <c r="I24" s="10" t="inlineStr"/>
      <c r="J24" s="10" t="inlineStr">
        <is>
          <t>Under Evaluation</t>
        </is>
      </c>
    </row>
    <row r="25" ht="24" customHeight="1">
      <c r="B25" s="14" t="inlineStr">
        <is>
          <t>IDEA/2025/0021</t>
        </is>
      </c>
      <c r="C25" s="15" t="inlineStr"/>
      <c r="D25" s="15" t="inlineStr"/>
      <c r="E25" s="16" t="inlineStr"/>
      <c r="F25" s="16" t="inlineStr">
        <is>
          <t>IoT / Embedded</t>
        </is>
      </c>
      <c r="G25" s="16" t="inlineStr">
        <is>
          <t>SDG 4</t>
        </is>
      </c>
      <c r="H25" s="16" t="inlineStr"/>
      <c r="I25" s="16" t="inlineStr"/>
      <c r="J25" s="16" t="inlineStr">
        <is>
          <t>Shortlisted</t>
        </is>
      </c>
    </row>
    <row r="26" ht="24" customHeight="1">
      <c r="B26" s="8" t="inlineStr">
        <is>
          <t>IDEA/2025/0022</t>
        </is>
      </c>
      <c r="C26" s="9" t="inlineStr"/>
      <c r="D26" s="9" t="inlineStr"/>
      <c r="E26" s="10" t="inlineStr"/>
      <c r="F26" s="10" t="inlineStr">
        <is>
          <t>Social Innovation</t>
        </is>
      </c>
      <c r="G26" s="10" t="inlineStr">
        <is>
          <t>SDG 5</t>
        </is>
      </c>
      <c r="H26" s="10" t="inlineStr"/>
      <c r="I26" s="10" t="inlineStr"/>
      <c r="J26" s="10" t="inlineStr">
        <is>
          <t>Selected — Mentoring</t>
        </is>
      </c>
    </row>
    <row r="27" ht="24" customHeight="1">
      <c r="B27" s="14" t="inlineStr">
        <is>
          <t>IDEA/2025/0023</t>
        </is>
      </c>
      <c r="C27" s="15" t="inlineStr"/>
      <c r="D27" s="15" t="inlineStr"/>
      <c r="E27" s="16" t="inlineStr"/>
      <c r="F27" s="16" t="inlineStr">
        <is>
          <t>Women Empowerment</t>
        </is>
      </c>
      <c r="G27" s="16" t="inlineStr">
        <is>
          <t>SDG 6</t>
        </is>
      </c>
      <c r="H27" s="16" t="inlineStr"/>
      <c r="I27" s="16" t="inlineStr"/>
      <c r="J27" s="16" t="inlineStr">
        <is>
          <t>Prototype Stage</t>
        </is>
      </c>
    </row>
    <row r="28" ht="24" customHeight="1">
      <c r="B28" s="8" t="inlineStr">
        <is>
          <t>IDEA/2025/0024</t>
        </is>
      </c>
      <c r="C28" s="9" t="inlineStr"/>
      <c r="D28" s="9" t="inlineStr"/>
      <c r="E28" s="10" t="inlineStr"/>
      <c r="F28" s="10" t="inlineStr">
        <is>
          <t>Other</t>
        </is>
      </c>
      <c r="G28" s="10" t="inlineStr">
        <is>
          <t>SDG 7</t>
        </is>
      </c>
      <c r="H28" s="10" t="inlineStr"/>
      <c r="I28" s="10" t="inlineStr"/>
      <c r="J28" s="10" t="inlineStr">
        <is>
          <t>MVP Ready</t>
        </is>
      </c>
    </row>
    <row r="29" ht="24" customHeight="1">
      <c r="B29" s="14" t="inlineStr">
        <is>
          <t>IDEA/2025/0025</t>
        </is>
      </c>
      <c r="C29" s="15" t="inlineStr"/>
      <c r="D29" s="15" t="inlineStr"/>
      <c r="E29" s="16" t="inlineStr"/>
      <c r="F29" s="16" t="inlineStr">
        <is>
          <t>AgriTech</t>
        </is>
      </c>
      <c r="G29" s="16" t="inlineStr">
        <is>
          <t>SDG 8</t>
        </is>
      </c>
      <c r="H29" s="16" t="inlineStr"/>
      <c r="I29" s="16" t="inlineStr"/>
      <c r="J29" s="16" t="inlineStr">
        <is>
          <t>Pre-Incubated</t>
        </is>
      </c>
    </row>
    <row r="30" ht="24" customHeight="1">
      <c r="B30" s="8" t="inlineStr">
        <is>
          <t>IDEA/2025/0026</t>
        </is>
      </c>
      <c r="C30" s="9" t="inlineStr"/>
      <c r="D30" s="9" t="inlineStr"/>
      <c r="E30" s="10" t="inlineStr"/>
      <c r="F30" s="10" t="inlineStr">
        <is>
          <t>HealthTech</t>
        </is>
      </c>
      <c r="G30" s="10" t="inlineStr">
        <is>
          <t>SDG 9</t>
        </is>
      </c>
      <c r="H30" s="10" t="inlineStr"/>
      <c r="I30" s="10" t="inlineStr"/>
      <c r="J30" s="10" t="inlineStr">
        <is>
          <t>Commercialised</t>
        </is>
      </c>
    </row>
    <row r="31" ht="24" customHeight="1">
      <c r="B31" s="14" t="inlineStr">
        <is>
          <t>IDEA/2025/0027</t>
        </is>
      </c>
      <c r="C31" s="15" t="inlineStr"/>
      <c r="D31" s="15" t="inlineStr"/>
      <c r="E31" s="16" t="inlineStr"/>
      <c r="F31" s="16" t="inlineStr">
        <is>
          <t>EduTech</t>
        </is>
      </c>
      <c r="G31" s="16" t="inlineStr">
        <is>
          <t>SDG 10</t>
        </is>
      </c>
      <c r="H31" s="16" t="inlineStr"/>
      <c r="I31" s="16" t="inlineStr"/>
      <c r="J31" s="16" t="inlineStr">
        <is>
          <t>Rejected</t>
        </is>
      </c>
    </row>
    <row r="32" ht="24" customHeight="1">
      <c r="B32" s="8" t="inlineStr">
        <is>
          <t>IDEA/2025/0028</t>
        </is>
      </c>
      <c r="C32" s="9" t="inlineStr"/>
      <c r="D32" s="9" t="inlineStr"/>
      <c r="E32" s="10" t="inlineStr"/>
      <c r="F32" s="10" t="inlineStr">
        <is>
          <t>FinTech</t>
        </is>
      </c>
      <c r="G32" s="10" t="inlineStr">
        <is>
          <t>SDG 11</t>
        </is>
      </c>
      <c r="H32" s="10" t="inlineStr"/>
      <c r="I32" s="10" t="inlineStr"/>
      <c r="J32" s="10" t="inlineStr">
        <is>
          <t>Submitted</t>
        </is>
      </c>
    </row>
    <row r="33" ht="24" customHeight="1"/>
    <row r="34" ht="24" customHeight="1">
      <c r="B34" s="35" t="inlineStr">
        <is>
          <t>IDEA PIPELINE SUMMARY</t>
        </is>
      </c>
    </row>
    <row r="35" ht="24" customHeight="1">
      <c r="B35" s="41" t="inlineStr">
        <is>
          <t>Total Ideas Received</t>
        </is>
      </c>
      <c r="F35" s="37">
        <f>COUNTA(B5:B32)</f>
        <v/>
      </c>
    </row>
    <row r="36" ht="24" customHeight="1">
      <c r="B36" s="26" t="inlineStr">
        <is>
          <t>Under Evaluation</t>
        </is>
      </c>
      <c r="F36" s="38">
        <f>COUNTIF(J5:J32,"Under Evaluation")</f>
        <v/>
      </c>
    </row>
    <row r="37" ht="24" customHeight="1">
      <c r="B37" s="41" t="inlineStr">
        <is>
          <t>Shortlisted / Selected</t>
        </is>
      </c>
      <c r="F37" s="37">
        <f>COUNTIF(J5:J32,"Shortlisted")</f>
        <v/>
      </c>
    </row>
    <row r="38" ht="24" customHeight="1">
      <c r="B38" s="26" t="inlineStr">
        <is>
          <t>In Prototype / MVP Stage</t>
        </is>
      </c>
      <c r="F38" s="38">
        <f>COUNTIF(J5:J32,"Prototype Stage")</f>
        <v/>
      </c>
    </row>
    <row r="39" ht="24" customHeight="1">
      <c r="B39" s="41" t="inlineStr">
        <is>
          <t>Pre-Incubated</t>
        </is>
      </c>
      <c r="F39" s="37">
        <f>COUNTIF(J5:J32,"Pre-Incubated")</f>
        <v/>
      </c>
    </row>
    <row r="40">
      <c r="B40" s="26" t="inlineStr">
        <is>
          <t>Commercialised</t>
        </is>
      </c>
      <c r="F40" s="38">
        <f>COUNTIF(J5:J32,"Commercialised")</f>
        <v/>
      </c>
    </row>
    <row r="41">
      <c r="B41" s="41" t="inlineStr">
        <is>
          <t>Conversion Rate (% Shortlisted)</t>
        </is>
      </c>
      <c r="F41" s="37">
        <f>IFERROR(ROUND((C37+C38+C39+C40)/C35*100,1),"")</f>
        <v/>
      </c>
    </row>
  </sheetData>
  <mergeCells count="17">
    <mergeCell ref="B40:E40"/>
    <mergeCell ref="B41:E41"/>
    <mergeCell ref="B3:J3"/>
    <mergeCell ref="B34:J34"/>
    <mergeCell ref="B35:E35"/>
    <mergeCell ref="F37:J37"/>
    <mergeCell ref="F39:J39"/>
    <mergeCell ref="F40:J40"/>
    <mergeCell ref="F38:J38"/>
    <mergeCell ref="B38:E38"/>
    <mergeCell ref="F36:J36"/>
    <mergeCell ref="B39:E39"/>
    <mergeCell ref="B37:E37"/>
    <mergeCell ref="F41:J41"/>
    <mergeCell ref="F35:J35"/>
    <mergeCell ref="B36:E36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IIC-07: HACKATHON / IDEATHON / INNOVATION CHALLENGE REGISTER</t>
        </is>
      </c>
    </row>
    <row r="3" ht="25" customHeight="1">
      <c r="B3" s="2" t="inlineStr">
        <is>
          <t>Calendar Year: _______  IIC Coordinator: ___________________  MIC Activity Category: Innovation Promotion</t>
        </is>
      </c>
    </row>
    <row r="4" ht="25" customHeight="1">
      <c r="B4" s="13" t="inlineStr">
        <is>
          <t>Event
Ref.</t>
        </is>
      </c>
      <c r="C4" s="13" t="inlineStr">
        <is>
          <t>Event Title</t>
        </is>
      </c>
      <c r="D4" s="13" t="inlineStr">
        <is>
          <t>Event Type</t>
        </is>
      </c>
      <c r="E4" s="13" t="inlineStr">
        <is>
          <t>Date(s)</t>
        </is>
      </c>
      <c r="F4" s="13" t="inlineStr">
        <is>
          <t>Mode</t>
        </is>
      </c>
      <c r="G4" s="13" t="inlineStr">
        <is>
          <t>Problem
Statement Domain</t>
        </is>
      </c>
      <c r="H4" s="13" t="inlineStr">
        <is>
          <t>Teams
Registered</t>
        </is>
      </c>
      <c r="I4" s="13" t="inlineStr">
        <is>
          <t>Teams
Participated</t>
        </is>
      </c>
      <c r="J4" s="13" t="inlineStr">
        <is>
          <t>Winners</t>
        </is>
      </c>
      <c r="K4" s="13" t="inlineStr">
        <is>
          <t>Feedback
Score (/5)</t>
        </is>
      </c>
    </row>
    <row r="5" ht="24" customHeight="1">
      <c r="B5" s="14" t="inlineStr">
        <is>
          <t>HACK/2024/001</t>
        </is>
      </c>
      <c r="C5" s="15" t="inlineStr"/>
      <c r="D5" s="16" t="inlineStr">
        <is>
          <t>Internal Hackathon</t>
        </is>
      </c>
      <c r="E5" s="16" t="inlineStr"/>
      <c r="F5" s="16" t="inlineStr">
        <is>
          <t>Physical</t>
        </is>
      </c>
      <c r="G5" s="16" t="inlineStr"/>
      <c r="H5" s="16" t="inlineStr"/>
      <c r="I5" s="16" t="inlineStr"/>
      <c r="J5" s="16" t="inlineStr"/>
      <c r="K5" s="16" t="inlineStr"/>
    </row>
    <row r="6" ht="24" customHeight="1">
      <c r="B6" s="8" t="inlineStr">
        <is>
          <t>HACK/2024/002</t>
        </is>
      </c>
      <c r="C6" s="9" t="inlineStr"/>
      <c r="D6" s="10" t="inlineStr">
        <is>
          <t>Ideathon</t>
        </is>
      </c>
      <c r="E6" s="10" t="inlineStr"/>
      <c r="F6" s="10" t="inlineStr">
        <is>
          <t>Physical</t>
        </is>
      </c>
      <c r="G6" s="10" t="inlineStr"/>
      <c r="H6" s="10" t="inlineStr"/>
      <c r="I6" s="10" t="inlineStr"/>
      <c r="J6" s="10" t="inlineStr"/>
      <c r="K6" s="10" t="inlineStr"/>
    </row>
    <row r="7" ht="24" customHeight="1">
      <c r="B7" s="14" t="inlineStr">
        <is>
          <t>HACK/2024/003</t>
        </is>
      </c>
      <c r="C7" s="15" t="inlineStr"/>
      <c r="D7" s="16" t="inlineStr">
        <is>
          <t>Innovation Challenge</t>
        </is>
      </c>
      <c r="E7" s="16" t="inlineStr"/>
      <c r="F7" s="16" t="inlineStr">
        <is>
          <t>Physical</t>
        </is>
      </c>
      <c r="G7" s="16" t="inlineStr"/>
      <c r="H7" s="16" t="inlineStr"/>
      <c r="I7" s="16" t="inlineStr"/>
      <c r="J7" s="16" t="inlineStr"/>
      <c r="K7" s="16" t="inlineStr"/>
    </row>
    <row r="8" ht="24" customHeight="1">
      <c r="B8" s="8" t="inlineStr">
        <is>
          <t>HACK/2024/004</t>
        </is>
      </c>
      <c r="C8" s="9" t="inlineStr"/>
      <c r="D8" s="10" t="inlineStr">
        <is>
          <t>Design Sprint</t>
        </is>
      </c>
      <c r="E8" s="10" t="inlineStr"/>
      <c r="F8" s="10" t="inlineStr">
        <is>
          <t>Physical</t>
        </is>
      </c>
      <c r="G8" s="10" t="inlineStr"/>
      <c r="H8" s="10" t="inlineStr"/>
      <c r="I8" s="10" t="inlineStr"/>
      <c r="J8" s="10" t="inlineStr"/>
      <c r="K8" s="10" t="inlineStr"/>
    </row>
    <row r="9" ht="24" customHeight="1">
      <c r="B9" s="14" t="inlineStr">
        <is>
          <t>HACK/2024/005</t>
        </is>
      </c>
      <c r="C9" s="15" t="inlineStr"/>
      <c r="D9" s="16" t="inlineStr">
        <is>
          <t>Smart India Hackathon (Internal)</t>
        </is>
      </c>
      <c r="E9" s="16" t="inlineStr"/>
      <c r="F9" s="16" t="inlineStr">
        <is>
          <t>Physical</t>
        </is>
      </c>
      <c r="G9" s="16" t="inlineStr"/>
      <c r="H9" s="16" t="inlineStr"/>
      <c r="I9" s="16" t="inlineStr"/>
      <c r="J9" s="16" t="inlineStr"/>
      <c r="K9" s="16" t="inlineStr"/>
    </row>
    <row r="10" ht="24" customHeight="1">
      <c r="B10" s="8" t="inlineStr">
        <is>
          <t>HACK/2024/006</t>
        </is>
      </c>
      <c r="C10" s="9" t="inlineStr"/>
      <c r="D10" s="10" t="inlineStr">
        <is>
          <t>MIC-Organised Competition</t>
        </is>
      </c>
      <c r="E10" s="10" t="inlineStr"/>
      <c r="F10" s="10" t="inlineStr">
        <is>
          <t>Physical</t>
        </is>
      </c>
      <c r="G10" s="10" t="inlineStr"/>
      <c r="H10" s="10" t="inlineStr"/>
      <c r="I10" s="10" t="inlineStr"/>
      <c r="J10" s="10" t="inlineStr"/>
      <c r="K10" s="10" t="inlineStr"/>
    </row>
    <row r="11" ht="24" customHeight="1">
      <c r="B11" s="14" t="inlineStr">
        <is>
          <t>HACK/2024/007</t>
        </is>
      </c>
      <c r="C11" s="15" t="inlineStr"/>
      <c r="D11" s="16" t="inlineStr">
        <is>
          <t>Theme-based Challenge</t>
        </is>
      </c>
      <c r="E11" s="16" t="inlineStr"/>
      <c r="F11" s="16" t="inlineStr">
        <is>
          <t>Physical</t>
        </is>
      </c>
      <c r="G11" s="16" t="inlineStr"/>
      <c r="H11" s="16" t="inlineStr"/>
      <c r="I11" s="16" t="inlineStr"/>
      <c r="J11" s="16" t="inlineStr"/>
      <c r="K11" s="16" t="inlineStr"/>
    </row>
    <row r="12" ht="24" customHeight="1">
      <c r="B12" s="8" t="inlineStr">
        <is>
          <t>HACK/2024/008</t>
        </is>
      </c>
      <c r="C12" s="9" t="inlineStr"/>
      <c r="D12" s="10" t="inlineStr">
        <is>
          <t>Social Innovation Challenge</t>
        </is>
      </c>
      <c r="E12" s="10" t="inlineStr"/>
      <c r="F12" s="10" t="inlineStr">
        <is>
          <t>Physical</t>
        </is>
      </c>
      <c r="G12" s="10" t="inlineStr"/>
      <c r="H12" s="10" t="inlineStr"/>
      <c r="I12" s="10" t="inlineStr"/>
      <c r="J12" s="10" t="inlineStr"/>
      <c r="K12" s="10" t="inlineStr"/>
    </row>
    <row r="13" ht="24" customHeight="1">
      <c r="B13" s="14" t="inlineStr">
        <is>
          <t>HACK/2025/009</t>
        </is>
      </c>
      <c r="C13" s="15" t="inlineStr"/>
      <c r="D13" s="16" t="inlineStr">
        <is>
          <t>Tech-a-thon</t>
        </is>
      </c>
      <c r="E13" s="16" t="inlineStr"/>
      <c r="F13" s="16" t="inlineStr">
        <is>
          <t>Physical</t>
        </is>
      </c>
      <c r="G13" s="16" t="inlineStr"/>
      <c r="H13" s="16" t="inlineStr"/>
      <c r="I13" s="16" t="inlineStr"/>
      <c r="J13" s="16" t="inlineStr"/>
      <c r="K13" s="16" t="inlineStr"/>
    </row>
    <row r="14" ht="24" customHeight="1">
      <c r="B14" s="8" t="inlineStr">
        <is>
          <t>HACK/2025/010</t>
        </is>
      </c>
      <c r="C14" s="9" t="inlineStr"/>
      <c r="D14" s="10" t="inlineStr">
        <is>
          <t>Open Innovation Challenge</t>
        </is>
      </c>
      <c r="E14" s="10" t="inlineStr"/>
      <c r="F14" s="10" t="inlineStr">
        <is>
          <t>Physical</t>
        </is>
      </c>
      <c r="G14" s="10" t="inlineStr"/>
      <c r="H14" s="10" t="inlineStr"/>
      <c r="I14" s="10" t="inlineStr"/>
      <c r="J14" s="10" t="inlineStr"/>
      <c r="K14" s="10" t="inlineStr"/>
    </row>
    <row r="15" ht="24" customHeight="1">
      <c r="B15" s="14" t="inlineStr">
        <is>
          <t>HACK/2025/011</t>
        </is>
      </c>
      <c r="C15" s="15" t="inlineStr"/>
      <c r="D15" s="16" t="inlineStr">
        <is>
          <t>Internal Hackathon</t>
        </is>
      </c>
      <c r="E15" s="16" t="inlineStr"/>
      <c r="F15" s="16" t="inlineStr">
        <is>
          <t>Physical</t>
        </is>
      </c>
      <c r="G15" s="16" t="inlineStr"/>
      <c r="H15" s="16" t="inlineStr"/>
      <c r="I15" s="16" t="inlineStr"/>
      <c r="J15" s="16" t="inlineStr"/>
      <c r="K15" s="16" t="inlineStr"/>
    </row>
    <row r="16" ht="24" customHeight="1">
      <c r="B16" s="8" t="inlineStr">
        <is>
          <t>HACK/2025/012</t>
        </is>
      </c>
      <c r="C16" s="9" t="inlineStr"/>
      <c r="D16" s="10" t="inlineStr">
        <is>
          <t>Ideathon</t>
        </is>
      </c>
      <c r="E16" s="10" t="inlineStr"/>
      <c r="F16" s="10" t="inlineStr">
        <is>
          <t>Physical</t>
        </is>
      </c>
      <c r="G16" s="10" t="inlineStr"/>
      <c r="H16" s="10" t="inlineStr"/>
      <c r="I16" s="10" t="inlineStr"/>
      <c r="J16" s="10" t="inlineStr"/>
      <c r="K16" s="10" t="inlineStr"/>
    </row>
    <row r="17" ht="24" customHeight="1">
      <c r="B17" s="14" t="inlineStr">
        <is>
          <t>HACK/2025/013</t>
        </is>
      </c>
      <c r="C17" s="15" t="inlineStr"/>
      <c r="D17" s="16" t="inlineStr">
        <is>
          <t>Innovation Challenge</t>
        </is>
      </c>
      <c r="E17" s="16" t="inlineStr"/>
      <c r="F17" s="16" t="inlineStr">
        <is>
          <t>Physical</t>
        </is>
      </c>
      <c r="G17" s="16" t="inlineStr"/>
      <c r="H17" s="16" t="inlineStr"/>
      <c r="I17" s="16" t="inlineStr"/>
      <c r="J17" s="16" t="inlineStr"/>
      <c r="K17" s="16" t="inlineStr"/>
    </row>
    <row r="18" ht="24" customHeight="1">
      <c r="B18" s="8" t="inlineStr">
        <is>
          <t>HACK/2025/014</t>
        </is>
      </c>
      <c r="C18" s="9" t="inlineStr"/>
      <c r="D18" s="10" t="inlineStr">
        <is>
          <t>Design Sprint</t>
        </is>
      </c>
      <c r="E18" s="10" t="inlineStr"/>
      <c r="F18" s="10" t="inlineStr">
        <is>
          <t>Physical</t>
        </is>
      </c>
      <c r="G18" s="10" t="inlineStr"/>
      <c r="H18" s="10" t="inlineStr"/>
      <c r="I18" s="10" t="inlineStr"/>
      <c r="J18" s="10" t="inlineStr"/>
      <c r="K18" s="10" t="inlineStr"/>
    </row>
    <row r="19" ht="24" customHeight="1">
      <c r="B19" s="14" t="inlineStr">
        <is>
          <t>HACK/2025/015</t>
        </is>
      </c>
      <c r="C19" s="15" t="inlineStr"/>
      <c r="D19" s="16" t="inlineStr">
        <is>
          <t>Smart India Hackathon (Internal)</t>
        </is>
      </c>
      <c r="E19" s="16" t="inlineStr"/>
      <c r="F19" s="16" t="inlineStr">
        <is>
          <t>Physical</t>
        </is>
      </c>
      <c r="G19" s="16" t="inlineStr"/>
      <c r="H19" s="16" t="inlineStr"/>
      <c r="I19" s="16" t="inlineStr"/>
      <c r="J19" s="16" t="inlineStr"/>
      <c r="K19" s="16" t="inlineStr"/>
    </row>
    <row r="20" ht="24" customHeight="1">
      <c r="B20" s="8" t="inlineStr">
        <is>
          <t>HACK/2025/016</t>
        </is>
      </c>
      <c r="C20" s="9" t="inlineStr"/>
      <c r="D20" s="10" t="inlineStr">
        <is>
          <t>MIC-Organised Competition</t>
        </is>
      </c>
      <c r="E20" s="10" t="inlineStr"/>
      <c r="F20" s="10" t="inlineStr">
        <is>
          <t>Physical</t>
        </is>
      </c>
      <c r="G20" s="10" t="inlineStr"/>
      <c r="H20" s="10" t="inlineStr"/>
      <c r="I20" s="10" t="inlineStr"/>
      <c r="J20" s="10" t="inlineStr"/>
      <c r="K20" s="10" t="inlineStr"/>
    </row>
    <row r="21" ht="24" customHeight="1"/>
    <row r="22" ht="24" customHeight="1">
      <c r="B22" s="35" t="inlineStr">
        <is>
          <t>EVENT IMPACT SUMMARY</t>
        </is>
      </c>
    </row>
    <row r="23" ht="24" customHeight="1">
      <c r="B23" s="41" t="inlineStr">
        <is>
          <t>Total Events Conducted</t>
        </is>
      </c>
      <c r="F23" s="37">
        <f>COUNTA(B5:B20)</f>
        <v/>
      </c>
    </row>
    <row r="24" ht="24" customHeight="1">
      <c r="B24" s="26" t="inlineStr">
        <is>
          <t>Total Teams Registered</t>
        </is>
      </c>
      <c r="F24" s="38">
        <f>IFERROR(SUM(H5:H20),"")</f>
        <v/>
      </c>
    </row>
    <row r="25" ht="24" customHeight="1">
      <c r="B25" s="41" t="inlineStr">
        <is>
          <t>Total Teams Participated</t>
        </is>
      </c>
      <c r="F25" s="37">
        <f>IFERROR(SUM(I5:I20),"")</f>
        <v/>
      </c>
    </row>
    <row r="26" ht="24" customHeight="1">
      <c r="B26" s="26" t="inlineStr">
        <is>
          <t>Avg. Teams per Event</t>
        </is>
      </c>
      <c r="F26" s="38">
        <f>IFERROR(ROUND(C25/C23,0),"")</f>
        <v/>
      </c>
    </row>
    <row r="27" ht="24" customHeight="1">
      <c r="B27" s="41" t="inlineStr">
        <is>
          <t>Average Feedback Score (/5)</t>
        </is>
      </c>
      <c r="F27" s="37">
        <f>IFERROR(ROUND(AVERAGE(K5:K20),2),"")</f>
        <v/>
      </c>
    </row>
    <row r="28" ht="24" customHeight="1">
      <c r="B28" s="26" t="inlineStr">
        <is>
          <t>Ideas Converted to Prototypes</t>
        </is>
      </c>
      <c r="F28" s="38" t="inlineStr"/>
    </row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</sheetData>
  <mergeCells count="15">
    <mergeCell ref="B23:E23"/>
    <mergeCell ref="F24:K24"/>
    <mergeCell ref="F23:K23"/>
    <mergeCell ref="B22:K22"/>
    <mergeCell ref="F25:K25"/>
    <mergeCell ref="B26:E26"/>
    <mergeCell ref="B27:E27"/>
    <mergeCell ref="F28:K28"/>
    <mergeCell ref="F26:K26"/>
    <mergeCell ref="F27:K27"/>
    <mergeCell ref="B25:E25"/>
    <mergeCell ref="B24:E24"/>
    <mergeCell ref="B2:K2"/>
    <mergeCell ref="B28:E28"/>
    <mergeCell ref="B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IIC-11: STARTUP REGISTRATION &amp; DPIIT RECOGNITION REGISTER</t>
        </is>
      </c>
    </row>
    <row r="3" ht="25" customHeight="1">
      <c r="B3" s="2" t="inlineStr">
        <is>
          <t>Calendar Year: _______  IIC Startup Coordinator: ___________________  NAAC Ref.: Criterion III / NIRF Innovation</t>
        </is>
      </c>
    </row>
    <row r="4" ht="25" customHeight="1">
      <c r="B4" s="13" t="inlineStr">
        <is>
          <t>Startup
Ref.</t>
        </is>
      </c>
      <c r="C4" s="13" t="inlineStr">
        <is>
          <t>Startup / Venture Name</t>
        </is>
      </c>
      <c r="D4" s="13" t="inlineStr">
        <is>
          <t>Founder(s)</t>
        </is>
      </c>
      <c r="E4" s="13" t="inlineStr">
        <is>
          <t>Dept. / Category</t>
        </is>
      </c>
      <c r="F4" s="13" t="inlineStr">
        <is>
          <t>Sector</t>
        </is>
      </c>
      <c r="G4" s="13" t="inlineStr">
        <is>
          <t>DPIIT
Ref. No.</t>
        </is>
      </c>
      <c r="H4" s="13" t="inlineStr">
        <is>
          <t>Year of
Recognition</t>
        </is>
      </c>
      <c r="I4" s="13" t="inlineStr">
        <is>
          <t>Revenue
Stage</t>
        </is>
      </c>
      <c r="J4" s="13" t="inlineStr">
        <is>
          <t>Funding
Received (₹L)</t>
        </is>
      </c>
      <c r="K4" s="13" t="inlineStr">
        <is>
          <t>Current
Status</t>
        </is>
      </c>
    </row>
    <row r="5" ht="24" customHeight="1">
      <c r="B5" s="14" t="inlineStr">
        <is>
          <t>IIC-STRT/001</t>
        </is>
      </c>
      <c r="C5" s="15" t="inlineStr"/>
      <c r="D5" s="15" t="inlineStr"/>
      <c r="E5" s="16" t="inlineStr">
        <is>
          <t>Student/Faculty/Alumni</t>
        </is>
      </c>
      <c r="F5" s="16" t="inlineStr">
        <is>
          <t>AgriTech</t>
        </is>
      </c>
      <c r="G5" s="16" t="inlineStr"/>
      <c r="H5" s="16" t="inlineStr"/>
      <c r="I5" s="16" t="inlineStr">
        <is>
          <t>Idea</t>
        </is>
      </c>
      <c r="J5" s="16" t="inlineStr"/>
      <c r="K5" s="16" t="inlineStr">
        <is>
          <t>Active</t>
        </is>
      </c>
    </row>
    <row r="6" ht="24" customHeight="1">
      <c r="B6" s="8" t="inlineStr">
        <is>
          <t>IIC-STRT/002</t>
        </is>
      </c>
      <c r="C6" s="9" t="inlineStr"/>
      <c r="D6" s="9" t="inlineStr"/>
      <c r="E6" s="10" t="inlineStr">
        <is>
          <t>Student/Faculty/Alumni</t>
        </is>
      </c>
      <c r="F6" s="10" t="inlineStr">
        <is>
          <t>EdTech</t>
        </is>
      </c>
      <c r="G6" s="10" t="inlineStr"/>
      <c r="H6" s="10" t="inlineStr"/>
      <c r="I6" s="10" t="inlineStr">
        <is>
          <t>Pre-seed</t>
        </is>
      </c>
      <c r="J6" s="10" t="inlineStr"/>
      <c r="K6" s="10" t="inlineStr">
        <is>
          <t>Active</t>
        </is>
      </c>
    </row>
    <row r="7" ht="24" customHeight="1">
      <c r="B7" s="14" t="inlineStr">
        <is>
          <t>IIC-STRT/003</t>
        </is>
      </c>
      <c r="C7" s="15" t="inlineStr"/>
      <c r="D7" s="15" t="inlineStr"/>
      <c r="E7" s="16" t="inlineStr">
        <is>
          <t>Student/Faculty/Alumni</t>
        </is>
      </c>
      <c r="F7" s="16" t="inlineStr">
        <is>
          <t>HealthTech</t>
        </is>
      </c>
      <c r="G7" s="16" t="inlineStr"/>
      <c r="H7" s="16" t="inlineStr"/>
      <c r="I7" s="16" t="inlineStr">
        <is>
          <t>Seed</t>
        </is>
      </c>
      <c r="J7" s="16" t="inlineStr"/>
      <c r="K7" s="16" t="inlineStr">
        <is>
          <t>Active</t>
        </is>
      </c>
    </row>
    <row r="8" ht="24" customHeight="1">
      <c r="B8" s="8" t="inlineStr">
        <is>
          <t>IIC-STRT/004</t>
        </is>
      </c>
      <c r="C8" s="9" t="inlineStr"/>
      <c r="D8" s="9" t="inlineStr"/>
      <c r="E8" s="10" t="inlineStr">
        <is>
          <t>Student/Faculty/Alumni</t>
        </is>
      </c>
      <c r="F8" s="10" t="inlineStr">
        <is>
          <t>FinTech</t>
        </is>
      </c>
      <c r="G8" s="10" t="inlineStr"/>
      <c r="H8" s="10" t="inlineStr"/>
      <c r="I8" s="10" t="inlineStr">
        <is>
          <t>Early Revenue</t>
        </is>
      </c>
      <c r="J8" s="10" t="inlineStr"/>
      <c r="K8" s="10" t="inlineStr">
        <is>
          <t>Active</t>
        </is>
      </c>
    </row>
    <row r="9" ht="24" customHeight="1">
      <c r="B9" s="14" t="inlineStr">
        <is>
          <t>IIC-STRT/005</t>
        </is>
      </c>
      <c r="C9" s="15" t="inlineStr"/>
      <c r="D9" s="15" t="inlineStr"/>
      <c r="E9" s="16" t="inlineStr">
        <is>
          <t>Student/Faculty/Alumni</t>
        </is>
      </c>
      <c r="F9" s="16" t="inlineStr">
        <is>
          <t>GreenTech</t>
        </is>
      </c>
      <c r="G9" s="16" t="inlineStr"/>
      <c r="H9" s="16" t="inlineStr"/>
      <c r="I9" s="16" t="inlineStr">
        <is>
          <t>Growth</t>
        </is>
      </c>
      <c r="J9" s="16" t="inlineStr"/>
      <c r="K9" s="16" t="inlineStr">
        <is>
          <t>Active</t>
        </is>
      </c>
    </row>
    <row r="10" ht="24" customHeight="1">
      <c r="B10" s="8" t="inlineStr">
        <is>
          <t>IIC-STRT/006</t>
        </is>
      </c>
      <c r="C10" s="9" t="inlineStr"/>
      <c r="D10" s="9" t="inlineStr"/>
      <c r="E10" s="10" t="inlineStr">
        <is>
          <t>Student/Faculty/Alumni</t>
        </is>
      </c>
      <c r="F10" s="10" t="inlineStr">
        <is>
          <t>MedTech</t>
        </is>
      </c>
      <c r="G10" s="10" t="inlineStr"/>
      <c r="H10" s="10" t="inlineStr"/>
      <c r="I10" s="10" t="inlineStr">
        <is>
          <t>Graduated</t>
        </is>
      </c>
      <c r="J10" s="10" t="inlineStr"/>
      <c r="K10" s="10" t="inlineStr">
        <is>
          <t>Active</t>
        </is>
      </c>
    </row>
    <row r="11" ht="24" customHeight="1">
      <c r="B11" s="14" t="inlineStr">
        <is>
          <t>IIC-STRT/007</t>
        </is>
      </c>
      <c r="C11" s="15" t="inlineStr"/>
      <c r="D11" s="15" t="inlineStr"/>
      <c r="E11" s="16" t="inlineStr">
        <is>
          <t>Student/Faculty/Alumni</t>
        </is>
      </c>
      <c r="F11" s="16" t="inlineStr">
        <is>
          <t>AI/ML</t>
        </is>
      </c>
      <c r="G11" s="16" t="inlineStr"/>
      <c r="H11" s="16" t="inlineStr"/>
      <c r="I11" s="16" t="inlineStr">
        <is>
          <t>Pivoted</t>
        </is>
      </c>
      <c r="J11" s="16" t="inlineStr"/>
      <c r="K11" s="16" t="inlineStr">
        <is>
          <t>Active</t>
        </is>
      </c>
    </row>
    <row r="12" ht="24" customHeight="1">
      <c r="B12" s="8" t="inlineStr">
        <is>
          <t>IIC-STRT/008</t>
        </is>
      </c>
      <c r="C12" s="9" t="inlineStr"/>
      <c r="D12" s="9" t="inlineStr"/>
      <c r="E12" s="10" t="inlineStr">
        <is>
          <t>Student/Faculty/Alumni</t>
        </is>
      </c>
      <c r="F12" s="10" t="inlineStr">
        <is>
          <t>Manufacturing</t>
        </is>
      </c>
      <c r="G12" s="10" t="inlineStr"/>
      <c r="H12" s="10" t="inlineStr"/>
      <c r="I12" s="10" t="inlineStr">
        <is>
          <t>Closed</t>
        </is>
      </c>
      <c r="J12" s="10" t="inlineStr"/>
      <c r="K12" s="10" t="inlineStr">
        <is>
          <t>Active</t>
        </is>
      </c>
    </row>
    <row r="13" ht="24" customHeight="1">
      <c r="B13" s="14" t="inlineStr">
        <is>
          <t>IIC-STRT/009</t>
        </is>
      </c>
      <c r="C13" s="15" t="inlineStr"/>
      <c r="D13" s="15" t="inlineStr"/>
      <c r="E13" s="16" t="inlineStr">
        <is>
          <t>Student/Faculty/Alumni</t>
        </is>
      </c>
      <c r="F13" s="16" t="inlineStr">
        <is>
          <t>Social Enterprise</t>
        </is>
      </c>
      <c r="G13" s="16" t="inlineStr"/>
      <c r="H13" s="16" t="inlineStr"/>
      <c r="I13" s="16" t="inlineStr">
        <is>
          <t>Idea</t>
        </is>
      </c>
      <c r="J13" s="16" t="inlineStr"/>
      <c r="K13" s="16" t="inlineStr">
        <is>
          <t>Active</t>
        </is>
      </c>
    </row>
    <row r="14" ht="24" customHeight="1">
      <c r="B14" s="8" t="inlineStr">
        <is>
          <t>IIC-STRT/010</t>
        </is>
      </c>
      <c r="C14" s="9" t="inlineStr"/>
      <c r="D14" s="9" t="inlineStr"/>
      <c r="E14" s="10" t="inlineStr">
        <is>
          <t>Student/Faculty/Alumni</t>
        </is>
      </c>
      <c r="F14" s="10" t="inlineStr">
        <is>
          <t>Others</t>
        </is>
      </c>
      <c r="G14" s="10" t="inlineStr"/>
      <c r="H14" s="10" t="inlineStr"/>
      <c r="I14" s="10" t="inlineStr">
        <is>
          <t>Pre-seed</t>
        </is>
      </c>
      <c r="J14" s="10" t="inlineStr"/>
      <c r="K14" s="10" t="inlineStr">
        <is>
          <t>Active</t>
        </is>
      </c>
    </row>
    <row r="15" ht="24" customHeight="1">
      <c r="B15" s="14" t="inlineStr">
        <is>
          <t>IIC-STRT/011</t>
        </is>
      </c>
      <c r="C15" s="15" t="inlineStr"/>
      <c r="D15" s="15" t="inlineStr"/>
      <c r="E15" s="16" t="inlineStr">
        <is>
          <t>Student/Faculty/Alumni</t>
        </is>
      </c>
      <c r="F15" s="16" t="inlineStr">
        <is>
          <t>AgriTech</t>
        </is>
      </c>
      <c r="G15" s="16" t="inlineStr"/>
      <c r="H15" s="16" t="inlineStr"/>
      <c r="I15" s="16" t="inlineStr">
        <is>
          <t>Seed</t>
        </is>
      </c>
      <c r="J15" s="16" t="inlineStr"/>
      <c r="K15" s="16" t="inlineStr">
        <is>
          <t>Active</t>
        </is>
      </c>
    </row>
    <row r="16" ht="24" customHeight="1">
      <c r="B16" s="8" t="inlineStr">
        <is>
          <t>IIC-STRT/012</t>
        </is>
      </c>
      <c r="C16" s="9" t="inlineStr"/>
      <c r="D16" s="9" t="inlineStr"/>
      <c r="E16" s="10" t="inlineStr">
        <is>
          <t>Student/Faculty/Alumni</t>
        </is>
      </c>
      <c r="F16" s="10" t="inlineStr">
        <is>
          <t>EdTech</t>
        </is>
      </c>
      <c r="G16" s="10" t="inlineStr"/>
      <c r="H16" s="10" t="inlineStr"/>
      <c r="I16" s="10" t="inlineStr">
        <is>
          <t>Early Revenue</t>
        </is>
      </c>
      <c r="J16" s="10" t="inlineStr"/>
      <c r="K16" s="10" t="inlineStr">
        <is>
          <t>Active</t>
        </is>
      </c>
    </row>
    <row r="17" ht="24" customHeight="1">
      <c r="B17" s="14" t="inlineStr">
        <is>
          <t>IIC-STRT/013</t>
        </is>
      </c>
      <c r="C17" s="15" t="inlineStr"/>
      <c r="D17" s="15" t="inlineStr"/>
      <c r="E17" s="16" t="inlineStr">
        <is>
          <t>Student/Faculty/Alumni</t>
        </is>
      </c>
      <c r="F17" s="16" t="inlineStr">
        <is>
          <t>HealthTech</t>
        </is>
      </c>
      <c r="G17" s="16" t="inlineStr"/>
      <c r="H17" s="16" t="inlineStr"/>
      <c r="I17" s="16" t="inlineStr">
        <is>
          <t>Growth</t>
        </is>
      </c>
      <c r="J17" s="16" t="inlineStr"/>
      <c r="K17" s="16" t="inlineStr">
        <is>
          <t>Active</t>
        </is>
      </c>
    </row>
    <row r="18" ht="24" customHeight="1">
      <c r="B18" s="8" t="inlineStr">
        <is>
          <t>IIC-STRT/014</t>
        </is>
      </c>
      <c r="C18" s="9" t="inlineStr"/>
      <c r="D18" s="9" t="inlineStr"/>
      <c r="E18" s="10" t="inlineStr">
        <is>
          <t>Student/Faculty/Alumni</t>
        </is>
      </c>
      <c r="F18" s="10" t="inlineStr">
        <is>
          <t>FinTech</t>
        </is>
      </c>
      <c r="G18" s="10" t="inlineStr"/>
      <c r="H18" s="10" t="inlineStr"/>
      <c r="I18" s="10" t="inlineStr">
        <is>
          <t>Graduated</t>
        </is>
      </c>
      <c r="J18" s="10" t="inlineStr"/>
      <c r="K18" s="10" t="inlineStr">
        <is>
          <t>Active</t>
        </is>
      </c>
    </row>
    <row r="19" ht="24" customHeight="1">
      <c r="B19" s="14" t="inlineStr">
        <is>
          <t>IIC-STRT/015</t>
        </is>
      </c>
      <c r="C19" s="15" t="inlineStr"/>
      <c r="D19" s="15" t="inlineStr"/>
      <c r="E19" s="16" t="inlineStr">
        <is>
          <t>Student/Faculty/Alumni</t>
        </is>
      </c>
      <c r="F19" s="16" t="inlineStr">
        <is>
          <t>GreenTech</t>
        </is>
      </c>
      <c r="G19" s="16" t="inlineStr"/>
      <c r="H19" s="16" t="inlineStr"/>
      <c r="I19" s="16" t="inlineStr">
        <is>
          <t>Pivoted</t>
        </is>
      </c>
      <c r="J19" s="16" t="inlineStr"/>
      <c r="K19" s="16" t="inlineStr">
        <is>
          <t>Active</t>
        </is>
      </c>
    </row>
    <row r="20" ht="24" customHeight="1">
      <c r="B20" s="8" t="inlineStr">
        <is>
          <t>IIC-STRT/016</t>
        </is>
      </c>
      <c r="C20" s="9" t="inlineStr"/>
      <c r="D20" s="9" t="inlineStr"/>
      <c r="E20" s="10" t="inlineStr">
        <is>
          <t>Student/Faculty/Alumni</t>
        </is>
      </c>
      <c r="F20" s="10" t="inlineStr">
        <is>
          <t>MedTech</t>
        </is>
      </c>
      <c r="G20" s="10" t="inlineStr"/>
      <c r="H20" s="10" t="inlineStr"/>
      <c r="I20" s="10" t="inlineStr">
        <is>
          <t>Closed</t>
        </is>
      </c>
      <c r="J20" s="10" t="inlineStr"/>
      <c r="K20" s="10" t="inlineStr">
        <is>
          <t>Active</t>
        </is>
      </c>
    </row>
    <row r="21" ht="24" customHeight="1">
      <c r="B21" s="14" t="inlineStr">
        <is>
          <t>IIC-STRT/017</t>
        </is>
      </c>
      <c r="C21" s="15" t="inlineStr"/>
      <c r="D21" s="15" t="inlineStr"/>
      <c r="E21" s="16" t="inlineStr">
        <is>
          <t>Student/Faculty/Alumni</t>
        </is>
      </c>
      <c r="F21" s="16" t="inlineStr">
        <is>
          <t>AI/ML</t>
        </is>
      </c>
      <c r="G21" s="16" t="inlineStr"/>
      <c r="H21" s="16" t="inlineStr"/>
      <c r="I21" s="16" t="inlineStr">
        <is>
          <t>Idea</t>
        </is>
      </c>
      <c r="J21" s="16" t="inlineStr"/>
      <c r="K21" s="16" t="inlineStr">
        <is>
          <t>Active</t>
        </is>
      </c>
    </row>
    <row r="22" ht="24" customHeight="1">
      <c r="B22" s="8" t="inlineStr">
        <is>
          <t>IIC-STRT/018</t>
        </is>
      </c>
      <c r="C22" s="9" t="inlineStr"/>
      <c r="D22" s="9" t="inlineStr"/>
      <c r="E22" s="10" t="inlineStr">
        <is>
          <t>Student/Faculty/Alumni</t>
        </is>
      </c>
      <c r="F22" s="10" t="inlineStr">
        <is>
          <t>Manufacturing</t>
        </is>
      </c>
      <c r="G22" s="10" t="inlineStr"/>
      <c r="H22" s="10" t="inlineStr"/>
      <c r="I22" s="10" t="inlineStr">
        <is>
          <t>Pre-seed</t>
        </is>
      </c>
      <c r="J22" s="10" t="inlineStr"/>
      <c r="K22" s="10" t="inlineStr">
        <is>
          <t>Active</t>
        </is>
      </c>
    </row>
    <row r="23" ht="24" customHeight="1">
      <c r="B23" s="14" t="inlineStr">
        <is>
          <t>IIC-STRT/019</t>
        </is>
      </c>
      <c r="C23" s="15" t="inlineStr"/>
      <c r="D23" s="15" t="inlineStr"/>
      <c r="E23" s="16" t="inlineStr">
        <is>
          <t>Student/Faculty/Alumni</t>
        </is>
      </c>
      <c r="F23" s="16" t="inlineStr">
        <is>
          <t>Social Enterprise</t>
        </is>
      </c>
      <c r="G23" s="16" t="inlineStr"/>
      <c r="H23" s="16" t="inlineStr"/>
      <c r="I23" s="16" t="inlineStr">
        <is>
          <t>Seed</t>
        </is>
      </c>
      <c r="J23" s="16" t="inlineStr"/>
      <c r="K23" s="16" t="inlineStr">
        <is>
          <t>Active</t>
        </is>
      </c>
    </row>
    <row r="24" ht="24" customHeight="1">
      <c r="B24" s="8" t="inlineStr">
        <is>
          <t>IIC-STRT/020</t>
        </is>
      </c>
      <c r="C24" s="9" t="inlineStr"/>
      <c r="D24" s="9" t="inlineStr"/>
      <c r="E24" s="10" t="inlineStr">
        <is>
          <t>Student/Faculty/Alumni</t>
        </is>
      </c>
      <c r="F24" s="10" t="inlineStr">
        <is>
          <t>Others</t>
        </is>
      </c>
      <c r="G24" s="10" t="inlineStr"/>
      <c r="H24" s="10" t="inlineStr"/>
      <c r="I24" s="10" t="inlineStr">
        <is>
          <t>Early Revenue</t>
        </is>
      </c>
      <c r="J24" s="10" t="inlineStr"/>
      <c r="K24" s="10" t="inlineStr">
        <is>
          <t>Active</t>
        </is>
      </c>
    </row>
    <row r="25" ht="24" customHeight="1">
      <c r="B25" s="14" t="inlineStr">
        <is>
          <t>IIC-STRT/021</t>
        </is>
      </c>
      <c r="C25" s="15" t="inlineStr"/>
      <c r="D25" s="15" t="inlineStr"/>
      <c r="E25" s="16" t="inlineStr">
        <is>
          <t>Student/Faculty/Alumni</t>
        </is>
      </c>
      <c r="F25" s="16" t="inlineStr">
        <is>
          <t>AgriTech</t>
        </is>
      </c>
      <c r="G25" s="16" t="inlineStr"/>
      <c r="H25" s="16" t="inlineStr"/>
      <c r="I25" s="16" t="inlineStr">
        <is>
          <t>Growth</t>
        </is>
      </c>
      <c r="J25" s="16" t="inlineStr"/>
      <c r="K25" s="16" t="inlineStr">
        <is>
          <t>Active</t>
        </is>
      </c>
    </row>
    <row r="26" ht="24" customHeight="1">
      <c r="B26" s="8" t="inlineStr">
        <is>
          <t>IIC-STRT/022</t>
        </is>
      </c>
      <c r="C26" s="9" t="inlineStr"/>
      <c r="D26" s="9" t="inlineStr"/>
      <c r="E26" s="10" t="inlineStr">
        <is>
          <t>Student/Faculty/Alumni</t>
        </is>
      </c>
      <c r="F26" s="10" t="inlineStr">
        <is>
          <t>EdTech</t>
        </is>
      </c>
      <c r="G26" s="10" t="inlineStr"/>
      <c r="H26" s="10" t="inlineStr"/>
      <c r="I26" s="10" t="inlineStr">
        <is>
          <t>Graduated</t>
        </is>
      </c>
      <c r="J26" s="10" t="inlineStr"/>
      <c r="K26" s="10" t="inlineStr">
        <is>
          <t>Active</t>
        </is>
      </c>
    </row>
    <row r="27" ht="24" customHeight="1"/>
    <row r="28" ht="24" customHeight="1">
      <c r="B28" s="35" t="inlineStr">
        <is>
          <t>STARTUP PORTFOLIO SUMMARY</t>
        </is>
      </c>
    </row>
    <row r="29" ht="24" customHeight="1">
      <c r="B29" s="41" t="inlineStr">
        <is>
          <t>Total Registered Startups</t>
        </is>
      </c>
      <c r="F29" s="37">
        <f>COUNTA(B5:B26)</f>
        <v/>
      </c>
    </row>
    <row r="30" ht="24" customHeight="1">
      <c r="B30" s="26" t="inlineStr">
        <is>
          <t>DPIIT Recognised</t>
        </is>
      </c>
      <c r="F30" s="38">
        <f>COUNTIF(G5:G26,"&lt;&gt;"&amp;"")</f>
        <v/>
      </c>
    </row>
    <row r="31" ht="24" customHeight="1">
      <c r="B31" s="41" t="inlineStr">
        <is>
          <t>With Positive Revenue</t>
        </is>
      </c>
      <c r="F31" s="37">
        <f>COUNTIF(I5:I26,"Early Revenue")</f>
        <v/>
      </c>
    </row>
    <row r="32" ht="24" customHeight="1">
      <c r="B32" s="26" t="inlineStr">
        <is>
          <t>Total Funding Raised (₹L)</t>
        </is>
      </c>
      <c r="F32" s="38">
        <f>IFERROR(SUM(J5:J26),"")</f>
        <v/>
      </c>
    </row>
    <row r="33" ht="24" customHeight="1">
      <c r="B33" s="41" t="inlineStr">
        <is>
          <t>Sector-Wise Diversity (No. of Sectors)</t>
        </is>
      </c>
      <c r="F33" s="37" t="inlineStr"/>
    </row>
    <row r="34" ht="24" customHeight="1">
      <c r="B34" s="26" t="inlineStr">
        <is>
          <t>Startups Graduated</t>
        </is>
      </c>
      <c r="F34" s="38">
        <f>COUNTIF(K5:K26,"Graduated")</f>
        <v/>
      </c>
    </row>
    <row r="35" ht="24" customHeight="1"/>
  </sheetData>
  <mergeCells count="15">
    <mergeCell ref="B31:E31"/>
    <mergeCell ref="F34:K34"/>
    <mergeCell ref="F33:K33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IIC-13: STARTUP FUNDING &amp; GRANT TRACKING REGISTER (₹)</t>
        </is>
      </c>
    </row>
    <row r="3" ht="25" customHeight="1">
      <c r="B3" s="2" t="inlineStr">
        <is>
          <t>Calendar Year: _______  IIC Coordinator: ___________________</t>
        </is>
      </c>
    </row>
    <row r="4" ht="25" customHeight="1">
      <c r="B4" s="13" t="inlineStr">
        <is>
          <t>Funding
Ref.</t>
        </is>
      </c>
      <c r="C4" s="13" t="inlineStr">
        <is>
          <t>Startup Name</t>
        </is>
      </c>
      <c r="D4" s="13" t="inlineStr">
        <is>
          <t>Funding Source</t>
        </is>
      </c>
      <c r="E4" s="13" t="inlineStr">
        <is>
          <t>Funding Type</t>
        </is>
      </c>
      <c r="F4" s="13" t="inlineStr">
        <is>
          <t>Application
Date</t>
        </is>
      </c>
      <c r="G4" s="13" t="inlineStr">
        <is>
          <t>Amount
Applied (₹L)</t>
        </is>
      </c>
      <c r="H4" s="13" t="inlineStr">
        <is>
          <t>Amount
Received (₹L)</t>
        </is>
      </c>
      <c r="I4" s="13" t="inlineStr">
        <is>
          <t>Date
Received</t>
        </is>
      </c>
      <c r="J4" s="13" t="inlineStr">
        <is>
          <t>Current
Utilisation %</t>
        </is>
      </c>
    </row>
    <row r="5" ht="24" customHeight="1">
      <c r="B5" s="14" t="inlineStr">
        <is>
          <t>FUND/2024/001</t>
        </is>
      </c>
      <c r="C5" s="15" t="inlineStr"/>
      <c r="D5" s="16" t="inlineStr">
        <is>
          <t>MIC Seed Grant</t>
        </is>
      </c>
      <c r="E5" s="16" t="inlineStr">
        <is>
          <t>Grant/Investment</t>
        </is>
      </c>
      <c r="F5" s="16" t="inlineStr"/>
      <c r="G5" s="16" t="inlineStr"/>
      <c r="H5" s="16" t="inlineStr"/>
      <c r="I5" s="16" t="inlineStr"/>
      <c r="J5" s="16" t="inlineStr"/>
    </row>
    <row r="6" ht="24" customHeight="1">
      <c r="B6" s="8" t="inlineStr">
        <is>
          <t>FUND/2024/002</t>
        </is>
      </c>
      <c r="C6" s="9" t="inlineStr"/>
      <c r="D6" s="10" t="inlineStr">
        <is>
          <t>DST NIDHI-PRAYAS</t>
        </is>
      </c>
      <c r="E6" s="10" t="inlineStr">
        <is>
          <t>Grant/Investment</t>
        </is>
      </c>
      <c r="F6" s="10" t="inlineStr"/>
      <c r="G6" s="10" t="inlineStr"/>
      <c r="H6" s="10" t="inlineStr"/>
      <c r="I6" s="10" t="inlineStr"/>
      <c r="J6" s="10" t="inlineStr"/>
    </row>
    <row r="7" ht="24" customHeight="1">
      <c r="B7" s="14" t="inlineStr">
        <is>
          <t>FUND/2024/003</t>
        </is>
      </c>
      <c r="C7" s="15" t="inlineStr"/>
      <c r="D7" s="16" t="inlineStr">
        <is>
          <t>MSME Grant</t>
        </is>
      </c>
      <c r="E7" s="16" t="inlineStr">
        <is>
          <t>Grant/Investment</t>
        </is>
      </c>
      <c r="F7" s="16" t="inlineStr"/>
      <c r="G7" s="16" t="inlineStr"/>
      <c r="H7" s="16" t="inlineStr"/>
      <c r="I7" s="16" t="inlineStr"/>
      <c r="J7" s="16" t="inlineStr"/>
    </row>
    <row r="8" ht="24" customHeight="1">
      <c r="B8" s="8" t="inlineStr">
        <is>
          <t>FUND/2024/004</t>
        </is>
      </c>
      <c r="C8" s="9" t="inlineStr"/>
      <c r="D8" s="10" t="inlineStr">
        <is>
          <t>State Innovation Fund</t>
        </is>
      </c>
      <c r="E8" s="10" t="inlineStr">
        <is>
          <t>Grant/Investment</t>
        </is>
      </c>
      <c r="F8" s="10" t="inlineStr"/>
      <c r="G8" s="10" t="inlineStr"/>
      <c r="H8" s="10" t="inlineStr"/>
      <c r="I8" s="10" t="inlineStr"/>
      <c r="J8" s="10" t="inlineStr"/>
    </row>
    <row r="9" ht="24" customHeight="1">
      <c r="B9" s="14" t="inlineStr">
        <is>
          <t>FUND/2024/005</t>
        </is>
      </c>
      <c r="C9" s="15" t="inlineStr"/>
      <c r="D9" s="16" t="inlineStr">
        <is>
          <t>DPIIT Startup Fund</t>
        </is>
      </c>
      <c r="E9" s="16" t="inlineStr">
        <is>
          <t>Grant/Investment</t>
        </is>
      </c>
      <c r="F9" s="16" t="inlineStr"/>
      <c r="G9" s="16" t="inlineStr"/>
      <c r="H9" s="16" t="inlineStr"/>
      <c r="I9" s="16" t="inlineStr"/>
      <c r="J9" s="16" t="inlineStr"/>
    </row>
    <row r="10" ht="24" customHeight="1">
      <c r="B10" s="8" t="inlineStr">
        <is>
          <t>FUND/2024/006</t>
        </is>
      </c>
      <c r="C10" s="9" t="inlineStr"/>
      <c r="D10" s="10" t="inlineStr">
        <is>
          <t>Angel Investor</t>
        </is>
      </c>
      <c r="E10" s="10" t="inlineStr">
        <is>
          <t>Grant/Investment</t>
        </is>
      </c>
      <c r="F10" s="10" t="inlineStr"/>
      <c r="G10" s="10" t="inlineStr"/>
      <c r="H10" s="10" t="inlineStr"/>
      <c r="I10" s="10" t="inlineStr"/>
      <c r="J10" s="10" t="inlineStr"/>
    </row>
    <row r="11" ht="24" customHeight="1">
      <c r="B11" s="14" t="inlineStr">
        <is>
          <t>FUND/2024/007</t>
        </is>
      </c>
      <c r="C11" s="15" t="inlineStr"/>
      <c r="D11" s="16" t="inlineStr">
        <is>
          <t>Venture Capital</t>
        </is>
      </c>
      <c r="E11" s="16" t="inlineStr">
        <is>
          <t>Grant/Investment</t>
        </is>
      </c>
      <c r="F11" s="16" t="inlineStr"/>
      <c r="G11" s="16" t="inlineStr"/>
      <c r="H11" s="16" t="inlineStr"/>
      <c r="I11" s="16" t="inlineStr"/>
      <c r="J11" s="16" t="inlineStr"/>
    </row>
    <row r="12" ht="24" customHeight="1">
      <c r="B12" s="8" t="inlineStr">
        <is>
          <t>FUND/2024/008</t>
        </is>
      </c>
      <c r="C12" s="9" t="inlineStr"/>
      <c r="D12" s="10" t="inlineStr">
        <is>
          <t>Crowdfunding</t>
        </is>
      </c>
      <c r="E12" s="10" t="inlineStr">
        <is>
          <t>Grant/Investment</t>
        </is>
      </c>
      <c r="F12" s="10" t="inlineStr"/>
      <c r="G12" s="10" t="inlineStr"/>
      <c r="H12" s="10" t="inlineStr"/>
      <c r="I12" s="10" t="inlineStr"/>
      <c r="J12" s="10" t="inlineStr"/>
    </row>
    <row r="13" ht="24" customHeight="1">
      <c r="B13" s="14" t="inlineStr">
        <is>
          <t>FUND/2024/009</t>
        </is>
      </c>
      <c r="C13" s="15" t="inlineStr"/>
      <c r="D13" s="16" t="inlineStr">
        <is>
          <t>Competition Prize</t>
        </is>
      </c>
      <c r="E13" s="16" t="inlineStr">
        <is>
          <t>Grant/Investment</t>
        </is>
      </c>
      <c r="F13" s="16" t="inlineStr"/>
      <c r="G13" s="16" t="inlineStr"/>
      <c r="H13" s="16" t="inlineStr"/>
      <c r="I13" s="16" t="inlineStr"/>
      <c r="J13" s="16" t="inlineStr"/>
    </row>
    <row r="14" ht="24" customHeight="1">
      <c r="B14" s="8" t="inlineStr">
        <is>
          <t>FUND/2024/010</t>
        </is>
      </c>
      <c r="C14" s="9" t="inlineStr"/>
      <c r="D14" s="10" t="inlineStr">
        <is>
          <t>CSR Grant</t>
        </is>
      </c>
      <c r="E14" s="10" t="inlineStr">
        <is>
          <t>Grant/Investment</t>
        </is>
      </c>
      <c r="F14" s="10" t="inlineStr"/>
      <c r="G14" s="10" t="inlineStr"/>
      <c r="H14" s="10" t="inlineStr"/>
      <c r="I14" s="10" t="inlineStr"/>
      <c r="J14" s="10" t="inlineStr"/>
    </row>
    <row r="15" ht="24" customHeight="1">
      <c r="B15" s="14" t="inlineStr">
        <is>
          <t>FUND/2025/011</t>
        </is>
      </c>
      <c r="C15" s="15" t="inlineStr"/>
      <c r="D15" s="16" t="inlineStr">
        <is>
          <t>Internal Seed Fund</t>
        </is>
      </c>
      <c r="E15" s="16" t="inlineStr">
        <is>
          <t>Grant/Investment</t>
        </is>
      </c>
      <c r="F15" s="16" t="inlineStr"/>
      <c r="G15" s="16" t="inlineStr"/>
      <c r="H15" s="16" t="inlineStr"/>
      <c r="I15" s="16" t="inlineStr"/>
      <c r="J15" s="16" t="inlineStr"/>
    </row>
    <row r="16" ht="24" customHeight="1">
      <c r="B16" s="8" t="inlineStr">
        <is>
          <t>FUND/2025/012</t>
        </is>
      </c>
      <c r="C16" s="9" t="inlineStr"/>
      <c r="D16" s="10" t="inlineStr">
        <is>
          <t>Other Govt. Scheme</t>
        </is>
      </c>
      <c r="E16" s="10" t="inlineStr">
        <is>
          <t>Grant/Investment</t>
        </is>
      </c>
      <c r="F16" s="10" t="inlineStr"/>
      <c r="G16" s="10" t="inlineStr"/>
      <c r="H16" s="10" t="inlineStr"/>
      <c r="I16" s="10" t="inlineStr"/>
      <c r="J16" s="10" t="inlineStr"/>
    </row>
    <row r="17" ht="24" customHeight="1">
      <c r="B17" s="14" t="inlineStr">
        <is>
          <t>FUND/2025/013</t>
        </is>
      </c>
      <c r="C17" s="15" t="inlineStr"/>
      <c r="D17" s="16" t="inlineStr">
        <is>
          <t>MIC Seed Grant</t>
        </is>
      </c>
      <c r="E17" s="16" t="inlineStr">
        <is>
          <t>Grant/Investment</t>
        </is>
      </c>
      <c r="F17" s="16" t="inlineStr"/>
      <c r="G17" s="16" t="inlineStr"/>
      <c r="H17" s="16" t="inlineStr"/>
      <c r="I17" s="16" t="inlineStr"/>
      <c r="J17" s="16" t="inlineStr"/>
    </row>
    <row r="18" ht="24" customHeight="1">
      <c r="B18" s="8" t="inlineStr">
        <is>
          <t>FUND/2025/014</t>
        </is>
      </c>
      <c r="C18" s="9" t="inlineStr"/>
      <c r="D18" s="10" t="inlineStr">
        <is>
          <t>DST NIDHI-PRAYAS</t>
        </is>
      </c>
      <c r="E18" s="10" t="inlineStr">
        <is>
          <t>Grant/Investment</t>
        </is>
      </c>
      <c r="F18" s="10" t="inlineStr"/>
      <c r="G18" s="10" t="inlineStr"/>
      <c r="H18" s="10" t="inlineStr"/>
      <c r="I18" s="10" t="inlineStr"/>
      <c r="J18" s="10" t="inlineStr"/>
    </row>
    <row r="19" ht="24" customHeight="1">
      <c r="B19" s="14" t="inlineStr">
        <is>
          <t>FUND/2025/015</t>
        </is>
      </c>
      <c r="C19" s="15" t="inlineStr"/>
      <c r="D19" s="16" t="inlineStr">
        <is>
          <t>MSME Grant</t>
        </is>
      </c>
      <c r="E19" s="16" t="inlineStr">
        <is>
          <t>Grant/Investment</t>
        </is>
      </c>
      <c r="F19" s="16" t="inlineStr"/>
      <c r="G19" s="16" t="inlineStr"/>
      <c r="H19" s="16" t="inlineStr"/>
      <c r="I19" s="16" t="inlineStr"/>
      <c r="J19" s="16" t="inlineStr"/>
    </row>
    <row r="20" ht="24" customHeight="1">
      <c r="B20" s="8" t="inlineStr">
        <is>
          <t>FUND/2025/016</t>
        </is>
      </c>
      <c r="C20" s="9" t="inlineStr"/>
      <c r="D20" s="10" t="inlineStr">
        <is>
          <t>State Innovation Fund</t>
        </is>
      </c>
      <c r="E20" s="10" t="inlineStr">
        <is>
          <t>Grant/Investment</t>
        </is>
      </c>
      <c r="F20" s="10" t="inlineStr"/>
      <c r="G20" s="10" t="inlineStr"/>
      <c r="H20" s="10" t="inlineStr"/>
      <c r="I20" s="10" t="inlineStr"/>
      <c r="J20" s="10" t="inlineStr"/>
    </row>
    <row r="21" ht="24" customHeight="1">
      <c r="B21" s="14" t="inlineStr">
        <is>
          <t>FUND/2025/017</t>
        </is>
      </c>
      <c r="C21" s="15" t="inlineStr"/>
      <c r="D21" s="16" t="inlineStr">
        <is>
          <t>DPIIT Startup Fund</t>
        </is>
      </c>
      <c r="E21" s="16" t="inlineStr">
        <is>
          <t>Grant/Investment</t>
        </is>
      </c>
      <c r="F21" s="16" t="inlineStr"/>
      <c r="G21" s="16" t="inlineStr"/>
      <c r="H21" s="16" t="inlineStr"/>
      <c r="I21" s="16" t="inlineStr"/>
      <c r="J21" s="16" t="inlineStr"/>
    </row>
    <row r="22" ht="24" customHeight="1">
      <c r="B22" s="8" t="inlineStr">
        <is>
          <t>FUND/2025/018</t>
        </is>
      </c>
      <c r="C22" s="9" t="inlineStr"/>
      <c r="D22" s="10" t="inlineStr">
        <is>
          <t>Angel Investor</t>
        </is>
      </c>
      <c r="E22" s="10" t="inlineStr">
        <is>
          <t>Grant/Investment</t>
        </is>
      </c>
      <c r="F22" s="10" t="inlineStr"/>
      <c r="G22" s="10" t="inlineStr"/>
      <c r="H22" s="10" t="inlineStr"/>
      <c r="I22" s="10" t="inlineStr"/>
      <c r="J22" s="10" t="inlineStr"/>
    </row>
    <row r="23" ht="24" customHeight="1">
      <c r="B23" s="14" t="inlineStr">
        <is>
          <t>FUND/2025/019</t>
        </is>
      </c>
      <c r="C23" s="15" t="inlineStr"/>
      <c r="D23" s="16" t="inlineStr">
        <is>
          <t>Venture Capital</t>
        </is>
      </c>
      <c r="E23" s="16" t="inlineStr">
        <is>
          <t>Grant/Investment</t>
        </is>
      </c>
      <c r="F23" s="16" t="inlineStr"/>
      <c r="G23" s="16" t="inlineStr"/>
      <c r="H23" s="16" t="inlineStr"/>
      <c r="I23" s="16" t="inlineStr"/>
      <c r="J23" s="16" t="inlineStr"/>
    </row>
    <row r="24" ht="24" customHeight="1">
      <c r="B24" s="8" t="inlineStr">
        <is>
          <t>FUND/2025/020</t>
        </is>
      </c>
      <c r="C24" s="9" t="inlineStr"/>
      <c r="D24" s="10" t="inlineStr">
        <is>
          <t>Crowdfunding</t>
        </is>
      </c>
      <c r="E24" s="10" t="inlineStr">
        <is>
          <t>Grant/Investment</t>
        </is>
      </c>
      <c r="F24" s="10" t="inlineStr"/>
      <c r="G24" s="10" t="inlineStr"/>
      <c r="H24" s="10" t="inlineStr"/>
      <c r="I24" s="10" t="inlineStr"/>
      <c r="J24" s="10" t="inlineStr"/>
    </row>
    <row r="25" ht="24" customHeight="1"/>
    <row r="26" ht="26" customHeight="1">
      <c r="B26" s="42" t="inlineStr">
        <is>
          <t>TOTAL FUNDING</t>
        </is>
      </c>
      <c r="C26" s="56" t="n"/>
      <c r="D26" s="56" t="n"/>
      <c r="E26" s="56" t="n"/>
      <c r="F26" s="56" t="n"/>
      <c r="G26" s="43">
        <f>IFERROR(SUM(G5:G24),"")</f>
        <v/>
      </c>
      <c r="H26" s="43">
        <f>IFERROR(SUM(H5:H24),"")</f>
        <v/>
      </c>
      <c r="I26" s="57" t="n"/>
      <c r="J26" s="57" t="n"/>
    </row>
    <row r="27" ht="24" customHeight="1"/>
    <row r="28" ht="24" customHeight="1">
      <c r="B28" s="35" t="inlineStr">
        <is>
          <t>FUNDING SUMMARY BY SOURCE</t>
        </is>
      </c>
    </row>
    <row r="29" ht="24" customHeight="1">
      <c r="B29" s="31" t="inlineStr">
        <is>
          <t>Funding Source Category</t>
        </is>
      </c>
      <c r="C29" s="31" t="inlineStr">
        <is>
          <t>No. of
Applicants</t>
        </is>
      </c>
      <c r="D29" s="31" t="inlineStr">
        <is>
          <t>Amount Applied
(₹L)</t>
        </is>
      </c>
      <c r="E29" s="31" t="inlineStr">
        <is>
          <t>Amount Received
(₹L)</t>
        </is>
      </c>
      <c r="F29" s="31" t="inlineStr">
        <is>
          <t>Success Rate
%</t>
        </is>
      </c>
      <c r="G29" s="31" t="inlineStr">
        <is>
          <t>Avg. Grant Size
(₹L)</t>
        </is>
      </c>
    </row>
    <row r="30" ht="24" customHeight="1">
      <c r="B30" s="33" t="inlineStr">
        <is>
          <t>Govt. Grants (Central)</t>
        </is>
      </c>
      <c r="C30" s="34" t="inlineStr"/>
      <c r="D30" s="34" t="inlineStr"/>
      <c r="E30" s="34" t="inlineStr"/>
      <c r="F30" s="34">
        <f>IFERROR(ROUND(E30/D30*100,1),"")</f>
        <v/>
      </c>
      <c r="G30" s="34" t="inlineStr"/>
      <c r="H30" s="58" t="n"/>
      <c r="I30" s="58" t="n"/>
      <c r="J30" s="58" t="n"/>
    </row>
    <row r="31" ht="24" customHeight="1">
      <c r="B31" s="9" t="inlineStr">
        <is>
          <t>Govt. Grants (State)</t>
        </is>
      </c>
      <c r="C31" s="10" t="inlineStr"/>
      <c r="D31" s="10" t="inlineStr"/>
      <c r="E31" s="10" t="inlineStr"/>
      <c r="F31" s="10">
        <f>IFERROR(ROUND(E31/D31*100,1),"")</f>
        <v/>
      </c>
      <c r="G31" s="10" t="inlineStr"/>
      <c r="H31" s="59" t="n"/>
      <c r="I31" s="59" t="n"/>
      <c r="J31" s="59" t="n"/>
    </row>
    <row r="32" ht="24" customHeight="1">
      <c r="B32" s="33" t="inlineStr">
        <is>
          <t>Private / Angel / VC</t>
        </is>
      </c>
      <c r="C32" s="34" t="inlineStr"/>
      <c r="D32" s="34" t="inlineStr"/>
      <c r="E32" s="34" t="inlineStr"/>
      <c r="F32" s="34">
        <f>IFERROR(ROUND(E32/D32*100,1),"")</f>
        <v/>
      </c>
      <c r="G32" s="34" t="inlineStr"/>
      <c r="H32" s="58" t="n"/>
      <c r="I32" s="58" t="n"/>
      <c r="J32" s="58" t="n"/>
    </row>
    <row r="33" ht="24" customHeight="1">
      <c r="B33" s="9" t="inlineStr">
        <is>
          <t>Internal Seed Fund</t>
        </is>
      </c>
      <c r="C33" s="10" t="inlineStr"/>
      <c r="D33" s="10" t="inlineStr"/>
      <c r="E33" s="10" t="inlineStr"/>
      <c r="F33" s="10">
        <f>IFERROR(ROUND(E33/D33*100,1),"")</f>
        <v/>
      </c>
      <c r="G33" s="10" t="inlineStr"/>
      <c r="H33" s="59" t="n"/>
      <c r="I33" s="59" t="n"/>
      <c r="J33" s="59" t="n"/>
    </row>
    <row r="34" ht="24" customHeight="1">
      <c r="B34" s="33" t="inlineStr">
        <is>
          <t>Competition Prize</t>
        </is>
      </c>
      <c r="C34" s="34" t="inlineStr"/>
      <c r="D34" s="34" t="inlineStr"/>
      <c r="E34" s="34" t="inlineStr"/>
      <c r="F34" s="34">
        <f>IFERROR(ROUND(E34/D34*100,1),"")</f>
        <v/>
      </c>
      <c r="G34" s="34" t="inlineStr"/>
      <c r="H34" s="58" t="n"/>
      <c r="I34" s="58" t="n"/>
      <c r="J34" s="58" t="n"/>
    </row>
    <row r="35" ht="24" customHeight="1">
      <c r="B35" s="24" t="inlineStr">
        <is>
          <t>TOTAL</t>
        </is>
      </c>
      <c r="C35" s="60" t="inlineStr"/>
      <c r="D35" s="60" t="inlineStr"/>
      <c r="E35" s="60" t="inlineStr"/>
      <c r="F35" s="60">
        <f>IFERROR(ROUND(E35/D35*100,1),"")</f>
        <v/>
      </c>
      <c r="G35" s="60" t="inlineStr"/>
      <c r="H35" s="57" t="n"/>
      <c r="I35" s="57" t="n"/>
      <c r="J35" s="57" t="n"/>
    </row>
  </sheetData>
  <mergeCells count="3">
    <mergeCell ref="B28:J28"/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IIC-15 / IIC-16: IPR FILING SUPPORT REGISTER (Patents, TM, Copyright, Design)</t>
        </is>
      </c>
    </row>
    <row r="3" ht="25" customHeight="1">
      <c r="B3" s="2" t="inlineStr">
        <is>
          <t>Calendar Year: _______  IPR Cell / IIC Coordinator: ___________________  Linked to: RDC-SC4 / AAA-11</t>
        </is>
      </c>
    </row>
    <row r="4" ht="25" customHeight="1">
      <c r="B4" s="13" t="inlineStr">
        <is>
          <t>IPR
Ref.</t>
        </is>
      </c>
      <c r="C4" s="13" t="inlineStr">
        <is>
          <t>Title of Invention /
Creation</t>
        </is>
      </c>
      <c r="D4" s="13" t="inlineStr">
        <is>
          <t>Inventor(s)
Dept.</t>
        </is>
      </c>
      <c r="E4" s="13" t="inlineStr">
        <is>
          <t>IPR Type</t>
        </is>
      </c>
      <c r="F4" s="13" t="inlineStr">
        <is>
          <t>Application
No.</t>
        </is>
      </c>
      <c r="G4" s="13" t="inlineStr">
        <is>
          <t>Filing
Date</t>
        </is>
      </c>
      <c r="H4" s="13" t="inlineStr">
        <is>
          <t>Status</t>
        </is>
      </c>
      <c r="I4" s="13" t="inlineStr">
        <is>
          <t>IIC Support
Provided</t>
        </is>
      </c>
      <c r="J4" s="13" t="inlineStr">
        <is>
          <t>Commercialisation
Potential</t>
        </is>
      </c>
    </row>
    <row r="5" ht="24" customHeight="1">
      <c r="B5" s="14" t="inlineStr">
        <is>
          <t>IPR/2024/001</t>
        </is>
      </c>
      <c r="C5" s="15" t="inlineStr"/>
      <c r="D5" s="15" t="inlineStr"/>
      <c r="E5" s="16" t="inlineStr">
        <is>
          <t>Patent (Indian)</t>
        </is>
      </c>
      <c r="F5" s="16" t="inlineStr"/>
      <c r="G5" s="16" t="inlineStr"/>
      <c r="H5" s="16" t="inlineStr">
        <is>
          <t>Filed</t>
        </is>
      </c>
      <c r="I5" s="15" t="inlineStr">
        <is>
          <t>Prior Art Search</t>
        </is>
      </c>
      <c r="J5" s="16" t="inlineStr">
        <is>
          <t>High/Medium/Low</t>
        </is>
      </c>
    </row>
    <row r="6" ht="24" customHeight="1">
      <c r="B6" s="8" t="inlineStr">
        <is>
          <t>IPR/2024/002</t>
        </is>
      </c>
      <c r="C6" s="9" t="inlineStr"/>
      <c r="D6" s="9" t="inlineStr"/>
      <c r="E6" s="10" t="inlineStr">
        <is>
          <t>Patent (International — PCT)</t>
        </is>
      </c>
      <c r="F6" s="10" t="inlineStr"/>
      <c r="G6" s="10" t="inlineStr"/>
      <c r="H6" s="10" t="inlineStr">
        <is>
          <t>Published</t>
        </is>
      </c>
      <c r="I6" s="9" t="inlineStr">
        <is>
          <t>Fee Reimbursement</t>
        </is>
      </c>
      <c r="J6" s="10" t="inlineStr">
        <is>
          <t>High/Medium/Low</t>
        </is>
      </c>
    </row>
    <row r="7" ht="24" customHeight="1">
      <c r="B7" s="14" t="inlineStr">
        <is>
          <t>IPR/2024/003</t>
        </is>
      </c>
      <c r="C7" s="15" t="inlineStr"/>
      <c r="D7" s="15" t="inlineStr"/>
      <c r="E7" s="16" t="inlineStr">
        <is>
          <t>Trademark</t>
        </is>
      </c>
      <c r="F7" s="16" t="inlineStr"/>
      <c r="G7" s="16" t="inlineStr"/>
      <c r="H7" s="16" t="inlineStr">
        <is>
          <t>Examination Requested</t>
        </is>
      </c>
      <c r="I7" s="15" t="inlineStr">
        <is>
          <t>Legal Guidance</t>
        </is>
      </c>
      <c r="J7" s="16" t="inlineStr">
        <is>
          <t>High/Medium/Low</t>
        </is>
      </c>
    </row>
    <row r="8" ht="24" customHeight="1">
      <c r="B8" s="8" t="inlineStr">
        <is>
          <t>IPR/2024/004</t>
        </is>
      </c>
      <c r="C8" s="9" t="inlineStr"/>
      <c r="D8" s="9" t="inlineStr"/>
      <c r="E8" s="10" t="inlineStr">
        <is>
          <t>Copyright</t>
        </is>
      </c>
      <c r="F8" s="10" t="inlineStr"/>
      <c r="G8" s="10" t="inlineStr"/>
      <c r="H8" s="10" t="inlineStr">
        <is>
          <t>Granted</t>
        </is>
      </c>
      <c r="I8" s="9" t="inlineStr">
        <is>
          <t>Agent Connect</t>
        </is>
      </c>
      <c r="J8" s="10" t="inlineStr">
        <is>
          <t>High/Medium/Low</t>
        </is>
      </c>
    </row>
    <row r="9" ht="24" customHeight="1">
      <c r="B9" s="14" t="inlineStr">
        <is>
          <t>IPR/2024/005</t>
        </is>
      </c>
      <c r="C9" s="15" t="inlineStr"/>
      <c r="D9" s="15" t="inlineStr"/>
      <c r="E9" s="16" t="inlineStr">
        <is>
          <t>Design Registration</t>
        </is>
      </c>
      <c r="F9" s="16" t="inlineStr"/>
      <c r="G9" s="16" t="inlineStr"/>
      <c r="H9" s="16" t="inlineStr">
        <is>
          <t>Abandoned</t>
        </is>
      </c>
      <c r="I9" s="15" t="inlineStr">
        <is>
          <t>IDF (Indian IP Office) Form Help</t>
        </is>
      </c>
      <c r="J9" s="16" t="inlineStr">
        <is>
          <t>High/Medium/Low</t>
        </is>
      </c>
    </row>
    <row r="10" ht="24" customHeight="1">
      <c r="B10" s="8" t="inlineStr">
        <is>
          <t>IPR/2024/006</t>
        </is>
      </c>
      <c r="C10" s="9" t="inlineStr"/>
      <c r="D10" s="9" t="inlineStr"/>
      <c r="E10" s="10" t="inlineStr">
        <is>
          <t>Geographical Indication</t>
        </is>
      </c>
      <c r="F10" s="10" t="inlineStr"/>
      <c r="G10" s="10" t="inlineStr"/>
      <c r="H10" s="10" t="inlineStr">
        <is>
          <t>Opposition Pending</t>
        </is>
      </c>
      <c r="I10" s="9" t="inlineStr">
        <is>
          <t>None</t>
        </is>
      </c>
      <c r="J10" s="10" t="inlineStr">
        <is>
          <t>High/Medium/Low</t>
        </is>
      </c>
    </row>
    <row r="11" ht="24" customHeight="1">
      <c r="B11" s="14" t="inlineStr">
        <is>
          <t>IPR/2024/007</t>
        </is>
      </c>
      <c r="C11" s="15" t="inlineStr"/>
      <c r="D11" s="15" t="inlineStr"/>
      <c r="E11" s="16" t="inlineStr">
        <is>
          <t>Trade Secret</t>
        </is>
      </c>
      <c r="F11" s="16" t="inlineStr"/>
      <c r="G11" s="16" t="inlineStr"/>
      <c r="H11" s="16" t="inlineStr">
        <is>
          <t>Filed</t>
        </is>
      </c>
      <c r="I11" s="15" t="inlineStr">
        <is>
          <t>Prior Art Search</t>
        </is>
      </c>
      <c r="J11" s="16" t="inlineStr">
        <is>
          <t>High/Medium/Low</t>
        </is>
      </c>
    </row>
    <row r="12" ht="24" customHeight="1">
      <c r="B12" s="8" t="inlineStr">
        <is>
          <t>IPR/2024/008</t>
        </is>
      </c>
      <c r="C12" s="9" t="inlineStr"/>
      <c r="D12" s="9" t="inlineStr"/>
      <c r="E12" s="10" t="inlineStr">
        <is>
          <t>Software Copyright</t>
        </is>
      </c>
      <c r="F12" s="10" t="inlineStr"/>
      <c r="G12" s="10" t="inlineStr"/>
      <c r="H12" s="10" t="inlineStr">
        <is>
          <t>Published</t>
        </is>
      </c>
      <c r="I12" s="9" t="inlineStr">
        <is>
          <t>Fee Reimbursement</t>
        </is>
      </c>
      <c r="J12" s="10" t="inlineStr">
        <is>
          <t>High/Medium/Low</t>
        </is>
      </c>
    </row>
    <row r="13" ht="24" customHeight="1">
      <c r="B13" s="14" t="inlineStr">
        <is>
          <t>IPR/2024/009</t>
        </is>
      </c>
      <c r="C13" s="15" t="inlineStr"/>
      <c r="D13" s="15" t="inlineStr"/>
      <c r="E13" s="16" t="inlineStr">
        <is>
          <t>Patent (Indian)</t>
        </is>
      </c>
      <c r="F13" s="16" t="inlineStr"/>
      <c r="G13" s="16" t="inlineStr"/>
      <c r="H13" s="16" t="inlineStr">
        <is>
          <t>Examination Requested</t>
        </is>
      </c>
      <c r="I13" s="15" t="inlineStr">
        <is>
          <t>Legal Guidance</t>
        </is>
      </c>
      <c r="J13" s="16" t="inlineStr">
        <is>
          <t>High/Medium/Low</t>
        </is>
      </c>
    </row>
    <row r="14" ht="24" customHeight="1">
      <c r="B14" s="8" t="inlineStr">
        <is>
          <t>IPR/2024/010</t>
        </is>
      </c>
      <c r="C14" s="9" t="inlineStr"/>
      <c r="D14" s="9" t="inlineStr"/>
      <c r="E14" s="10" t="inlineStr">
        <is>
          <t>Patent (International — PCT)</t>
        </is>
      </c>
      <c r="F14" s="10" t="inlineStr"/>
      <c r="G14" s="10" t="inlineStr"/>
      <c r="H14" s="10" t="inlineStr">
        <is>
          <t>Granted</t>
        </is>
      </c>
      <c r="I14" s="9" t="inlineStr">
        <is>
          <t>Agent Connect</t>
        </is>
      </c>
      <c r="J14" s="10" t="inlineStr">
        <is>
          <t>High/Medium/Low</t>
        </is>
      </c>
    </row>
    <row r="15" ht="24" customHeight="1">
      <c r="B15" s="14" t="inlineStr">
        <is>
          <t>IPR/2025/011</t>
        </is>
      </c>
      <c r="C15" s="15" t="inlineStr"/>
      <c r="D15" s="15" t="inlineStr"/>
      <c r="E15" s="16" t="inlineStr">
        <is>
          <t>Trademark</t>
        </is>
      </c>
      <c r="F15" s="16" t="inlineStr"/>
      <c r="G15" s="16" t="inlineStr"/>
      <c r="H15" s="16" t="inlineStr">
        <is>
          <t>Abandoned</t>
        </is>
      </c>
      <c r="I15" s="15" t="inlineStr">
        <is>
          <t>IDF (Indian IP Office) Form Help</t>
        </is>
      </c>
      <c r="J15" s="16" t="inlineStr">
        <is>
          <t>High/Medium/Low</t>
        </is>
      </c>
    </row>
    <row r="16" ht="24" customHeight="1">
      <c r="B16" s="8" t="inlineStr">
        <is>
          <t>IPR/2025/012</t>
        </is>
      </c>
      <c r="C16" s="9" t="inlineStr"/>
      <c r="D16" s="9" t="inlineStr"/>
      <c r="E16" s="10" t="inlineStr">
        <is>
          <t>Copyright</t>
        </is>
      </c>
      <c r="F16" s="10" t="inlineStr"/>
      <c r="G16" s="10" t="inlineStr"/>
      <c r="H16" s="10" t="inlineStr">
        <is>
          <t>Opposition Pending</t>
        </is>
      </c>
      <c r="I16" s="9" t="inlineStr">
        <is>
          <t>None</t>
        </is>
      </c>
      <c r="J16" s="10" t="inlineStr">
        <is>
          <t>High/Medium/Low</t>
        </is>
      </c>
    </row>
    <row r="17" ht="24" customHeight="1">
      <c r="B17" s="14" t="inlineStr">
        <is>
          <t>IPR/2025/013</t>
        </is>
      </c>
      <c r="C17" s="15" t="inlineStr"/>
      <c r="D17" s="15" t="inlineStr"/>
      <c r="E17" s="16" t="inlineStr">
        <is>
          <t>Design Registration</t>
        </is>
      </c>
      <c r="F17" s="16" t="inlineStr"/>
      <c r="G17" s="16" t="inlineStr"/>
      <c r="H17" s="16" t="inlineStr">
        <is>
          <t>Filed</t>
        </is>
      </c>
      <c r="I17" s="15" t="inlineStr">
        <is>
          <t>Prior Art Search</t>
        </is>
      </c>
      <c r="J17" s="16" t="inlineStr">
        <is>
          <t>High/Medium/Low</t>
        </is>
      </c>
    </row>
    <row r="18" ht="24" customHeight="1">
      <c r="B18" s="8" t="inlineStr">
        <is>
          <t>IPR/2025/014</t>
        </is>
      </c>
      <c r="C18" s="9" t="inlineStr"/>
      <c r="D18" s="9" t="inlineStr"/>
      <c r="E18" s="10" t="inlineStr">
        <is>
          <t>Geographical Indication</t>
        </is>
      </c>
      <c r="F18" s="10" t="inlineStr"/>
      <c r="G18" s="10" t="inlineStr"/>
      <c r="H18" s="10" t="inlineStr">
        <is>
          <t>Published</t>
        </is>
      </c>
      <c r="I18" s="9" t="inlineStr">
        <is>
          <t>Fee Reimbursement</t>
        </is>
      </c>
      <c r="J18" s="10" t="inlineStr">
        <is>
          <t>High/Medium/Low</t>
        </is>
      </c>
    </row>
    <row r="19" ht="24" customHeight="1">
      <c r="B19" s="14" t="inlineStr">
        <is>
          <t>IPR/2025/015</t>
        </is>
      </c>
      <c r="C19" s="15" t="inlineStr"/>
      <c r="D19" s="15" t="inlineStr"/>
      <c r="E19" s="16" t="inlineStr">
        <is>
          <t>Trade Secret</t>
        </is>
      </c>
      <c r="F19" s="16" t="inlineStr"/>
      <c r="G19" s="16" t="inlineStr"/>
      <c r="H19" s="16" t="inlineStr">
        <is>
          <t>Examination Requested</t>
        </is>
      </c>
      <c r="I19" s="15" t="inlineStr">
        <is>
          <t>Legal Guidance</t>
        </is>
      </c>
      <c r="J19" s="16" t="inlineStr">
        <is>
          <t>High/Medium/Low</t>
        </is>
      </c>
    </row>
    <row r="20" ht="24" customHeight="1">
      <c r="B20" s="8" t="inlineStr">
        <is>
          <t>IPR/2025/016</t>
        </is>
      </c>
      <c r="C20" s="9" t="inlineStr"/>
      <c r="D20" s="9" t="inlineStr"/>
      <c r="E20" s="10" t="inlineStr">
        <is>
          <t>Software Copyright</t>
        </is>
      </c>
      <c r="F20" s="10" t="inlineStr"/>
      <c r="G20" s="10" t="inlineStr"/>
      <c r="H20" s="10" t="inlineStr">
        <is>
          <t>Granted</t>
        </is>
      </c>
      <c r="I20" s="9" t="inlineStr">
        <is>
          <t>Agent Connect</t>
        </is>
      </c>
      <c r="J20" s="10" t="inlineStr">
        <is>
          <t>High/Medium/Low</t>
        </is>
      </c>
    </row>
    <row r="21" ht="24" customHeight="1">
      <c r="B21" s="14" t="inlineStr">
        <is>
          <t>IPR/2025/017</t>
        </is>
      </c>
      <c r="C21" s="15" t="inlineStr"/>
      <c r="D21" s="15" t="inlineStr"/>
      <c r="E21" s="16" t="inlineStr">
        <is>
          <t>Patent (Indian)</t>
        </is>
      </c>
      <c r="F21" s="16" t="inlineStr"/>
      <c r="G21" s="16" t="inlineStr"/>
      <c r="H21" s="16" t="inlineStr">
        <is>
          <t>Abandoned</t>
        </is>
      </c>
      <c r="I21" s="15" t="inlineStr">
        <is>
          <t>IDF (Indian IP Office) Form Help</t>
        </is>
      </c>
      <c r="J21" s="16" t="inlineStr">
        <is>
          <t>High/Medium/Low</t>
        </is>
      </c>
    </row>
    <row r="22" ht="24" customHeight="1">
      <c r="B22" s="8" t="inlineStr">
        <is>
          <t>IPR/2025/018</t>
        </is>
      </c>
      <c r="C22" s="9" t="inlineStr"/>
      <c r="D22" s="9" t="inlineStr"/>
      <c r="E22" s="10" t="inlineStr">
        <is>
          <t>Patent (International — PCT)</t>
        </is>
      </c>
      <c r="F22" s="10" t="inlineStr"/>
      <c r="G22" s="10" t="inlineStr"/>
      <c r="H22" s="10" t="inlineStr">
        <is>
          <t>Opposition Pending</t>
        </is>
      </c>
      <c r="I22" s="9" t="inlineStr">
        <is>
          <t>None</t>
        </is>
      </c>
      <c r="J22" s="10" t="inlineStr">
        <is>
          <t>High/Medium/Low</t>
        </is>
      </c>
    </row>
    <row r="23" ht="24" customHeight="1">
      <c r="B23" s="14" t="inlineStr">
        <is>
          <t>IPR/2025/019</t>
        </is>
      </c>
      <c r="C23" s="15" t="inlineStr"/>
      <c r="D23" s="15" t="inlineStr"/>
      <c r="E23" s="16" t="inlineStr">
        <is>
          <t>Trademark</t>
        </is>
      </c>
      <c r="F23" s="16" t="inlineStr"/>
      <c r="G23" s="16" t="inlineStr"/>
      <c r="H23" s="16" t="inlineStr">
        <is>
          <t>Filed</t>
        </is>
      </c>
      <c r="I23" s="15" t="inlineStr">
        <is>
          <t>Prior Art Search</t>
        </is>
      </c>
      <c r="J23" s="16" t="inlineStr">
        <is>
          <t>High/Medium/Low</t>
        </is>
      </c>
    </row>
    <row r="24" ht="24" customHeight="1">
      <c r="B24" s="8" t="inlineStr">
        <is>
          <t>IPR/2025/020</t>
        </is>
      </c>
      <c r="C24" s="9" t="inlineStr"/>
      <c r="D24" s="9" t="inlineStr"/>
      <c r="E24" s="10" t="inlineStr">
        <is>
          <t>Copyright</t>
        </is>
      </c>
      <c r="F24" s="10" t="inlineStr"/>
      <c r="G24" s="10" t="inlineStr"/>
      <c r="H24" s="10" t="inlineStr">
        <is>
          <t>Published</t>
        </is>
      </c>
      <c r="I24" s="9" t="inlineStr">
        <is>
          <t>Fee Reimbursement</t>
        </is>
      </c>
      <c r="J24" s="10" t="inlineStr">
        <is>
          <t>High/Medium/Low</t>
        </is>
      </c>
    </row>
    <row r="25" ht="24" customHeight="1"/>
    <row r="26" ht="24" customHeight="1">
      <c r="B26" s="35" t="inlineStr">
        <is>
          <t>IPR FILING SUMMARY</t>
        </is>
      </c>
    </row>
    <row r="27" ht="24" customHeight="1">
      <c r="B27" s="41" t="inlineStr">
        <is>
          <t>Total IPR Filings Supported</t>
        </is>
      </c>
      <c r="F27" s="37">
        <f>COUNTA(B5:B24)</f>
        <v/>
      </c>
    </row>
    <row r="28" ht="24" customHeight="1">
      <c r="B28" s="26" t="inlineStr">
        <is>
          <t>Patents Filed</t>
        </is>
      </c>
      <c r="F28" s="38">
        <f>COUNTIF(E5:E24,"Patent (Indian)")</f>
        <v/>
      </c>
    </row>
    <row r="29" ht="24" customHeight="1">
      <c r="B29" s="41" t="inlineStr">
        <is>
          <t>International Patents (PCT)</t>
        </is>
      </c>
      <c r="F29" s="37">
        <f>COUNTIF(E5:E24,"Patent (International — PCT)")</f>
        <v/>
      </c>
    </row>
    <row r="30" ht="24" customHeight="1">
      <c r="B30" s="26" t="inlineStr">
        <is>
          <t>Trademarks</t>
        </is>
      </c>
      <c r="F30" s="38">
        <f>COUNTIF(E5:E24,"Trademark")</f>
        <v/>
      </c>
    </row>
    <row r="31" ht="24" customHeight="1">
      <c r="B31" s="41" t="inlineStr">
        <is>
          <t>Granted Patents</t>
        </is>
      </c>
      <c r="F31" s="37">
        <f>COUNTIF(H5:H24,"Granted")</f>
        <v/>
      </c>
    </row>
    <row r="32" ht="24" customHeight="1">
      <c r="B32" s="26" t="inlineStr">
        <is>
          <t>Fee Reimbursement Cases</t>
        </is>
      </c>
      <c r="F32" s="38">
        <f>COUNTIF(I5:I24,"Fee Reimbursement")</f>
        <v/>
      </c>
    </row>
    <row r="33" ht="24" customHeight="1"/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IIC-20: INVESTOR CONNECT &amp; PITCH EVENT REGISTER</t>
        </is>
      </c>
    </row>
    <row r="3" ht="25" customHeight="1">
      <c r="B3" s="2" t="inlineStr">
        <is>
          <t>Calendar Year: _______  IIC Coordinator: ___________________</t>
        </is>
      </c>
    </row>
    <row r="4" ht="25" customHeight="1">
      <c r="B4" s="13" t="inlineStr">
        <is>
          <t>Event
Ref.</t>
        </is>
      </c>
      <c r="C4" s="13" t="inlineStr">
        <is>
          <t>Event Title</t>
        </is>
      </c>
      <c r="D4" s="13" t="inlineStr">
        <is>
          <t>Event Type</t>
        </is>
      </c>
      <c r="E4" s="13" t="inlineStr">
        <is>
          <t>Date</t>
        </is>
      </c>
      <c r="F4" s="13" t="inlineStr">
        <is>
          <t>Mode</t>
        </is>
      </c>
      <c r="G4" s="13" t="inlineStr">
        <is>
          <t>Investors
/ Mentors Present</t>
        </is>
      </c>
      <c r="H4" s="13" t="inlineStr">
        <is>
          <t>Startups
Pitched</t>
        </is>
      </c>
      <c r="I4" s="13" t="inlineStr">
        <is>
          <t>Startups
Shortlisted</t>
        </is>
      </c>
      <c r="J4" s="13" t="inlineStr">
        <is>
          <t>Investment
Interest (₹L)</t>
        </is>
      </c>
    </row>
    <row r="5" ht="24" customHeight="1">
      <c r="B5" s="14" t="inlineStr">
        <is>
          <t>INV/2024/001</t>
        </is>
      </c>
      <c r="C5" s="15" t="inlineStr"/>
      <c r="D5" s="16" t="inlineStr">
        <is>
          <t>Pitch Day</t>
        </is>
      </c>
      <c r="E5" s="16" t="inlineStr"/>
      <c r="F5" s="16" t="inlineStr">
        <is>
          <t>Physical</t>
        </is>
      </c>
      <c r="G5" s="16" t="inlineStr"/>
      <c r="H5" s="16" t="inlineStr"/>
      <c r="I5" s="16" t="inlineStr"/>
      <c r="J5" s="16" t="inlineStr"/>
    </row>
    <row r="6" ht="24" customHeight="1">
      <c r="B6" s="8" t="inlineStr">
        <is>
          <t>INV/2024/002</t>
        </is>
      </c>
      <c r="C6" s="9" t="inlineStr"/>
      <c r="D6" s="10" t="inlineStr">
        <is>
          <t>Demo Day</t>
        </is>
      </c>
      <c r="E6" s="10" t="inlineStr"/>
      <c r="F6" s="10" t="inlineStr">
        <is>
          <t>Physical</t>
        </is>
      </c>
      <c r="G6" s="10" t="inlineStr"/>
      <c r="H6" s="10" t="inlineStr"/>
      <c r="I6" s="10" t="inlineStr"/>
      <c r="J6" s="10" t="inlineStr"/>
    </row>
    <row r="7" ht="24" customHeight="1">
      <c r="B7" s="14" t="inlineStr">
        <is>
          <t>INV/2024/003</t>
        </is>
      </c>
      <c r="C7" s="15" t="inlineStr"/>
      <c r="D7" s="16" t="inlineStr">
        <is>
          <t>Investor Meet</t>
        </is>
      </c>
      <c r="E7" s="16" t="inlineStr"/>
      <c r="F7" s="16" t="inlineStr">
        <is>
          <t>Physical</t>
        </is>
      </c>
      <c r="G7" s="16" t="inlineStr"/>
      <c r="H7" s="16" t="inlineStr"/>
      <c r="I7" s="16" t="inlineStr"/>
      <c r="J7" s="16" t="inlineStr"/>
    </row>
    <row r="8" ht="24" customHeight="1">
      <c r="B8" s="8" t="inlineStr">
        <is>
          <t>INV/2024/004</t>
        </is>
      </c>
      <c r="C8" s="9" t="inlineStr"/>
      <c r="D8" s="10" t="inlineStr">
        <is>
          <t>Angel Network Event</t>
        </is>
      </c>
      <c r="E8" s="10" t="inlineStr"/>
      <c r="F8" s="10" t="inlineStr">
        <is>
          <t>Physical</t>
        </is>
      </c>
      <c r="G8" s="10" t="inlineStr"/>
      <c r="H8" s="10" t="inlineStr"/>
      <c r="I8" s="10" t="inlineStr"/>
      <c r="J8" s="10" t="inlineStr"/>
    </row>
    <row r="9" ht="24" customHeight="1">
      <c r="B9" s="14" t="inlineStr">
        <is>
          <t>INV/2024/005</t>
        </is>
      </c>
      <c r="C9" s="15" t="inlineStr"/>
      <c r="D9" s="16" t="inlineStr">
        <is>
          <t>VC Conclave</t>
        </is>
      </c>
      <c r="E9" s="16" t="inlineStr"/>
      <c r="F9" s="16" t="inlineStr">
        <is>
          <t>Physical</t>
        </is>
      </c>
      <c r="G9" s="16" t="inlineStr"/>
      <c r="H9" s="16" t="inlineStr"/>
      <c r="I9" s="16" t="inlineStr"/>
      <c r="J9" s="16" t="inlineStr"/>
    </row>
    <row r="10" ht="24" customHeight="1">
      <c r="B10" s="8" t="inlineStr">
        <is>
          <t>INV/2024/006</t>
        </is>
      </c>
      <c r="C10" s="9" t="inlineStr"/>
      <c r="D10" s="10" t="inlineStr">
        <is>
          <t>Startup Showcase</t>
        </is>
      </c>
      <c r="E10" s="10" t="inlineStr"/>
      <c r="F10" s="10" t="inlineStr">
        <is>
          <t>Physical</t>
        </is>
      </c>
      <c r="G10" s="10" t="inlineStr"/>
      <c r="H10" s="10" t="inlineStr"/>
      <c r="I10" s="10" t="inlineStr"/>
      <c r="J10" s="10" t="inlineStr"/>
    </row>
    <row r="11" ht="24" customHeight="1">
      <c r="B11" s="14" t="inlineStr">
        <is>
          <t>INV/2024/007</t>
        </is>
      </c>
      <c r="C11" s="15" t="inlineStr"/>
      <c r="D11" s="16" t="inlineStr">
        <is>
          <t>MIC Investor Connect</t>
        </is>
      </c>
      <c r="E11" s="16" t="inlineStr"/>
      <c r="F11" s="16" t="inlineStr">
        <is>
          <t>Physical</t>
        </is>
      </c>
      <c r="G11" s="16" t="inlineStr"/>
      <c r="H11" s="16" t="inlineStr"/>
      <c r="I11" s="16" t="inlineStr"/>
      <c r="J11" s="16" t="inlineStr"/>
    </row>
    <row r="12" ht="24" customHeight="1">
      <c r="B12" s="8" t="inlineStr">
        <is>
          <t>INV/2024/008</t>
        </is>
      </c>
      <c r="C12" s="9" t="inlineStr"/>
      <c r="D12" s="10" t="inlineStr">
        <is>
          <t>Government Scheme Presentation</t>
        </is>
      </c>
      <c r="E12" s="10" t="inlineStr"/>
      <c r="F12" s="10" t="inlineStr">
        <is>
          <t>Physical</t>
        </is>
      </c>
      <c r="G12" s="10" t="inlineStr"/>
      <c r="H12" s="10" t="inlineStr"/>
      <c r="I12" s="10" t="inlineStr"/>
      <c r="J12" s="10" t="inlineStr"/>
    </row>
    <row r="13" ht="24" customHeight="1">
      <c r="B13" s="14" t="inlineStr">
        <is>
          <t>INV/2025/009</t>
        </is>
      </c>
      <c r="C13" s="15" t="inlineStr"/>
      <c r="D13" s="16" t="inlineStr">
        <is>
          <t>Competition Finals</t>
        </is>
      </c>
      <c r="E13" s="16" t="inlineStr"/>
      <c r="F13" s="16" t="inlineStr">
        <is>
          <t>Physical</t>
        </is>
      </c>
      <c r="G13" s="16" t="inlineStr"/>
      <c r="H13" s="16" t="inlineStr"/>
      <c r="I13" s="16" t="inlineStr"/>
      <c r="J13" s="16" t="inlineStr"/>
    </row>
    <row r="14" ht="24" customHeight="1">
      <c r="B14" s="8" t="inlineStr">
        <is>
          <t>INV/2025/010</t>
        </is>
      </c>
      <c r="C14" s="9" t="inlineStr"/>
      <c r="D14" s="10" t="inlineStr">
        <is>
          <t>IIC Startup Expo</t>
        </is>
      </c>
      <c r="E14" s="10" t="inlineStr"/>
      <c r="F14" s="10" t="inlineStr">
        <is>
          <t>Physical</t>
        </is>
      </c>
      <c r="G14" s="10" t="inlineStr"/>
      <c r="H14" s="10" t="inlineStr"/>
      <c r="I14" s="10" t="inlineStr"/>
      <c r="J14" s="10" t="inlineStr"/>
    </row>
    <row r="15" ht="24" customHeight="1">
      <c r="B15" s="14" t="inlineStr">
        <is>
          <t>INV/2025/011</t>
        </is>
      </c>
      <c r="C15" s="15" t="inlineStr"/>
      <c r="D15" s="16" t="inlineStr">
        <is>
          <t>Pitch Day</t>
        </is>
      </c>
      <c r="E15" s="16" t="inlineStr"/>
      <c r="F15" s="16" t="inlineStr">
        <is>
          <t>Physical</t>
        </is>
      </c>
      <c r="G15" s="16" t="inlineStr"/>
      <c r="H15" s="16" t="inlineStr"/>
      <c r="I15" s="16" t="inlineStr"/>
      <c r="J15" s="16" t="inlineStr"/>
    </row>
    <row r="16" ht="24" customHeight="1">
      <c r="B16" s="8" t="inlineStr">
        <is>
          <t>INV/2025/012</t>
        </is>
      </c>
      <c r="C16" s="9" t="inlineStr"/>
      <c r="D16" s="10" t="inlineStr">
        <is>
          <t>Demo Day</t>
        </is>
      </c>
      <c r="E16" s="10" t="inlineStr"/>
      <c r="F16" s="10" t="inlineStr">
        <is>
          <t>Physical</t>
        </is>
      </c>
      <c r="G16" s="10" t="inlineStr"/>
      <c r="H16" s="10" t="inlineStr"/>
      <c r="I16" s="10" t="inlineStr"/>
      <c r="J16" s="10" t="inlineStr"/>
    </row>
    <row r="17" ht="24" customHeight="1">
      <c r="B17" s="14" t="inlineStr">
        <is>
          <t>INV/2025/013</t>
        </is>
      </c>
      <c r="C17" s="15" t="inlineStr"/>
      <c r="D17" s="16" t="inlineStr">
        <is>
          <t>Investor Meet</t>
        </is>
      </c>
      <c r="E17" s="16" t="inlineStr"/>
      <c r="F17" s="16" t="inlineStr">
        <is>
          <t>Physical</t>
        </is>
      </c>
      <c r="G17" s="16" t="inlineStr"/>
      <c r="H17" s="16" t="inlineStr"/>
      <c r="I17" s="16" t="inlineStr"/>
      <c r="J17" s="16" t="inlineStr"/>
    </row>
    <row r="18" ht="24" customHeight="1">
      <c r="B18" s="8" t="inlineStr">
        <is>
          <t>INV/2025/014</t>
        </is>
      </c>
      <c r="C18" s="9" t="inlineStr"/>
      <c r="D18" s="10" t="inlineStr">
        <is>
          <t>Angel Network Event</t>
        </is>
      </c>
      <c r="E18" s="10" t="inlineStr"/>
      <c r="F18" s="10" t="inlineStr">
        <is>
          <t>Physical</t>
        </is>
      </c>
      <c r="G18" s="10" t="inlineStr"/>
      <c r="H18" s="10" t="inlineStr"/>
      <c r="I18" s="10" t="inlineStr"/>
      <c r="J18" s="10" t="inlineStr"/>
    </row>
    <row r="19" ht="24" customHeight="1">
      <c r="B19" s="14" t="inlineStr">
        <is>
          <t>INV/2025/015</t>
        </is>
      </c>
      <c r="C19" s="15" t="inlineStr"/>
      <c r="D19" s="16" t="inlineStr">
        <is>
          <t>VC Conclave</t>
        </is>
      </c>
      <c r="E19" s="16" t="inlineStr"/>
      <c r="F19" s="16" t="inlineStr">
        <is>
          <t>Physical</t>
        </is>
      </c>
      <c r="G19" s="16" t="inlineStr"/>
      <c r="H19" s="16" t="inlineStr"/>
      <c r="I19" s="16" t="inlineStr"/>
      <c r="J19" s="16" t="inlineStr"/>
    </row>
    <row r="20" ht="24" customHeight="1">
      <c r="B20" s="8" t="inlineStr">
        <is>
          <t>INV/2025/016</t>
        </is>
      </c>
      <c r="C20" s="9" t="inlineStr"/>
      <c r="D20" s="10" t="inlineStr">
        <is>
          <t>Startup Showcase</t>
        </is>
      </c>
      <c r="E20" s="10" t="inlineStr"/>
      <c r="F20" s="10" t="inlineStr">
        <is>
          <t>Physical</t>
        </is>
      </c>
      <c r="G20" s="10" t="inlineStr"/>
      <c r="H20" s="10" t="inlineStr"/>
      <c r="I20" s="10" t="inlineStr"/>
      <c r="J20" s="10" t="inlineStr"/>
    </row>
    <row r="21" ht="24" customHeight="1"/>
    <row r="22" ht="24" customHeight="1">
      <c r="B22" s="35" t="inlineStr">
        <is>
          <t>INVESTOR CONNECT IMPACT SUMMARY</t>
        </is>
      </c>
    </row>
    <row r="23" ht="24" customHeight="1">
      <c r="B23" s="41" t="inlineStr">
        <is>
          <t>Total Investor Events Conducted</t>
        </is>
      </c>
      <c r="F23" s="37">
        <f>COUNTA(B5:B20)</f>
        <v/>
      </c>
    </row>
    <row r="24" ht="24" customHeight="1">
      <c r="B24" s="26" t="inlineStr">
        <is>
          <t>Total Investors / Mentors Engaged</t>
        </is>
      </c>
      <c r="F24" s="38">
        <f>IFERROR(SUM(G5:G20),"")</f>
        <v/>
      </c>
    </row>
    <row r="25" ht="24" customHeight="1">
      <c r="B25" s="41" t="inlineStr">
        <is>
          <t>Total Startups Pitched</t>
        </is>
      </c>
      <c r="F25" s="37">
        <f>IFERROR(SUM(H5:H20),"")</f>
        <v/>
      </c>
    </row>
    <row r="26" ht="24" customHeight="1">
      <c r="B26" s="26" t="inlineStr">
        <is>
          <t>Total Investment Interest (₹L)</t>
        </is>
      </c>
      <c r="F26" s="38">
        <f>IFERROR(SUM(J5:J20),"")</f>
        <v/>
      </c>
    </row>
    <row r="27" ht="24" customHeight="1">
      <c r="B27" s="41" t="inlineStr">
        <is>
          <t>Startups Receiving Investment</t>
        </is>
      </c>
      <c r="F27" s="37" t="inlineStr"/>
    </row>
    <row r="28" ht="24" customHeight="1">
      <c r="B28" s="26" t="inlineStr">
        <is>
          <t>Avg. Investment per Startup (₹L)</t>
        </is>
      </c>
      <c r="F28" s="38" t="inlineStr"/>
    </row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IIC-22: INNOVATION AWARENESS &amp; EXPERT ENGAGEMENT REGISTER</t>
        </is>
      </c>
    </row>
    <row r="3" ht="25" customHeight="1">
      <c r="B3" s="2" t="inlineStr">
        <is>
          <t>Calendar Year: _______  IIC Coordinator: ___________________  MIC Category: Innovation Promotion / Governance</t>
        </is>
      </c>
    </row>
    <row r="4" ht="25" customHeight="1">
      <c r="B4" s="13" t="inlineStr">
        <is>
          <t>Sl.</t>
        </is>
      </c>
      <c r="C4" s="13" t="inlineStr">
        <is>
          <t>Event / Session Title</t>
        </is>
      </c>
      <c r="D4" s="13" t="inlineStr">
        <is>
          <t>Category</t>
        </is>
      </c>
      <c r="E4" s="13" t="inlineStr">
        <is>
          <t>Resource Person
/ Expert</t>
        </is>
      </c>
      <c r="F4" s="13" t="inlineStr">
        <is>
          <t>Date</t>
        </is>
      </c>
      <c r="G4" s="13" t="inlineStr">
        <is>
          <t>Mode</t>
        </is>
      </c>
      <c r="H4" s="13" t="inlineStr">
        <is>
          <t>Participants
Registered</t>
        </is>
      </c>
      <c r="I4" s="13" t="inlineStr">
        <is>
          <t>Participants
Attended</t>
        </is>
      </c>
      <c r="J4" s="13" t="inlineStr">
        <is>
          <t>Feedback
Score (/5)</t>
        </is>
      </c>
    </row>
    <row r="5" ht="22" customHeight="1">
      <c r="B5" s="14" t="n">
        <v>1</v>
      </c>
      <c r="C5" s="15" t="inlineStr"/>
      <c r="D5" s="16" t="inlineStr">
        <is>
          <t>Expert Talk — Entrepreneur</t>
        </is>
      </c>
      <c r="E5" s="15" t="inlineStr"/>
      <c r="F5" s="16" t="inlineStr"/>
      <c r="G5" s="16" t="inlineStr">
        <is>
          <t>Physical</t>
        </is>
      </c>
      <c r="H5" s="16" t="inlineStr"/>
      <c r="I5" s="16" t="inlineStr"/>
      <c r="J5" s="16" t="inlineStr"/>
    </row>
    <row r="6" ht="22" customHeight="1">
      <c r="B6" s="8" t="n">
        <v>2</v>
      </c>
      <c r="C6" s="9" t="inlineStr"/>
      <c r="D6" s="10" t="inlineStr">
        <is>
          <t>Expert Talk — Investor</t>
        </is>
      </c>
      <c r="E6" s="9" t="inlineStr"/>
      <c r="F6" s="10" t="inlineStr"/>
      <c r="G6" s="10" t="inlineStr">
        <is>
          <t>Physical</t>
        </is>
      </c>
      <c r="H6" s="10" t="inlineStr"/>
      <c r="I6" s="10" t="inlineStr"/>
      <c r="J6" s="10" t="inlineStr"/>
    </row>
    <row r="7" ht="22" customHeight="1">
      <c r="B7" s="14" t="n">
        <v>3</v>
      </c>
      <c r="C7" s="15" t="inlineStr"/>
      <c r="D7" s="16" t="inlineStr">
        <is>
          <t>IPR Awareness Session</t>
        </is>
      </c>
      <c r="E7" s="15" t="inlineStr"/>
      <c r="F7" s="16" t="inlineStr"/>
      <c r="G7" s="16" t="inlineStr">
        <is>
          <t>Physical</t>
        </is>
      </c>
      <c r="H7" s="16" t="inlineStr"/>
      <c r="I7" s="16" t="inlineStr"/>
      <c r="J7" s="16" t="inlineStr"/>
    </row>
    <row r="8" ht="22" customHeight="1">
      <c r="B8" s="8" t="n">
        <v>4</v>
      </c>
      <c r="C8" s="9" t="inlineStr"/>
      <c r="D8" s="10" t="inlineStr">
        <is>
          <t>Design Thinking Workshop</t>
        </is>
      </c>
      <c r="E8" s="9" t="inlineStr"/>
      <c r="F8" s="10" t="inlineStr"/>
      <c r="G8" s="10" t="inlineStr">
        <is>
          <t>Physical</t>
        </is>
      </c>
      <c r="H8" s="10" t="inlineStr"/>
      <c r="I8" s="10" t="inlineStr"/>
      <c r="J8" s="10" t="inlineStr"/>
    </row>
    <row r="9" ht="22" customHeight="1">
      <c r="B9" s="14" t="n">
        <v>5</v>
      </c>
      <c r="C9" s="15" t="inlineStr"/>
      <c r="D9" s="16" t="inlineStr">
        <is>
          <t>Lean Startup Workshop</t>
        </is>
      </c>
      <c r="E9" s="15" t="inlineStr"/>
      <c r="F9" s="16" t="inlineStr"/>
      <c r="G9" s="16" t="inlineStr">
        <is>
          <t>Physical</t>
        </is>
      </c>
      <c r="H9" s="16" t="inlineStr"/>
      <c r="I9" s="16" t="inlineStr"/>
      <c r="J9" s="16" t="inlineStr"/>
    </row>
    <row r="10" ht="22" customHeight="1">
      <c r="B10" s="8" t="n">
        <v>6</v>
      </c>
      <c r="C10" s="9" t="inlineStr"/>
      <c r="D10" s="10" t="inlineStr">
        <is>
          <t>Social Innovation Session</t>
        </is>
      </c>
      <c r="E10" s="9" t="inlineStr"/>
      <c r="F10" s="10" t="inlineStr"/>
      <c r="G10" s="10" t="inlineStr">
        <is>
          <t>Physical</t>
        </is>
      </c>
      <c r="H10" s="10" t="inlineStr"/>
      <c r="I10" s="10" t="inlineStr"/>
      <c r="J10" s="10" t="inlineStr"/>
    </row>
    <row r="11" ht="22" customHeight="1">
      <c r="B11" s="14" t="n">
        <v>7</v>
      </c>
      <c r="C11" s="15" t="inlineStr"/>
      <c r="D11" s="16" t="inlineStr">
        <is>
          <t>ARIIA / Ranking Awareness</t>
        </is>
      </c>
      <c r="E11" s="15" t="inlineStr"/>
      <c r="F11" s="16" t="inlineStr"/>
      <c r="G11" s="16" t="inlineStr">
        <is>
          <t>Physical</t>
        </is>
      </c>
      <c r="H11" s="16" t="inlineStr"/>
      <c r="I11" s="16" t="inlineStr"/>
      <c r="J11" s="16" t="inlineStr"/>
    </row>
    <row r="12" ht="22" customHeight="1">
      <c r="B12" s="8" t="n">
        <v>8</v>
      </c>
      <c r="C12" s="9" t="inlineStr"/>
      <c r="D12" s="10" t="inlineStr">
        <is>
          <t>MIC Scheme Awareness</t>
        </is>
      </c>
      <c r="E12" s="9" t="inlineStr"/>
      <c r="F12" s="10" t="inlineStr"/>
      <c r="G12" s="10" t="inlineStr">
        <is>
          <t>Physical</t>
        </is>
      </c>
      <c r="H12" s="10" t="inlineStr"/>
      <c r="I12" s="10" t="inlineStr"/>
      <c r="J12" s="10" t="inlineStr"/>
    </row>
    <row r="13" ht="22" customHeight="1">
      <c r="B13" s="14" t="n">
        <v>9</v>
      </c>
      <c r="C13" s="15" t="inlineStr"/>
      <c r="D13" s="16" t="inlineStr">
        <is>
          <t>Startup India / DPIIT Session</t>
        </is>
      </c>
      <c r="E13" s="15" t="inlineStr"/>
      <c r="F13" s="16" t="inlineStr"/>
      <c r="G13" s="16" t="inlineStr">
        <is>
          <t>Physical</t>
        </is>
      </c>
      <c r="H13" s="16" t="inlineStr"/>
      <c r="I13" s="16" t="inlineStr"/>
      <c r="J13" s="16" t="inlineStr"/>
    </row>
    <row r="14" ht="22" customHeight="1">
      <c r="B14" s="8" t="n">
        <v>10</v>
      </c>
      <c r="C14" s="9" t="inlineStr"/>
      <c r="D14" s="10" t="inlineStr">
        <is>
          <t>Women Innovators Programme</t>
        </is>
      </c>
      <c r="E14" s="9" t="inlineStr"/>
      <c r="F14" s="10" t="inlineStr"/>
      <c r="G14" s="10" t="inlineStr">
        <is>
          <t>Physical</t>
        </is>
      </c>
      <c r="H14" s="10" t="inlineStr"/>
      <c r="I14" s="10" t="inlineStr"/>
      <c r="J14" s="10" t="inlineStr"/>
    </row>
    <row r="15" ht="22" customHeight="1">
      <c r="B15" s="14" t="n">
        <v>11</v>
      </c>
      <c r="C15" s="15" t="inlineStr"/>
      <c r="D15" s="16" t="inlineStr">
        <is>
          <t>Green Innovation Workshop</t>
        </is>
      </c>
      <c r="E15" s="15" t="inlineStr"/>
      <c r="F15" s="16" t="inlineStr"/>
      <c r="G15" s="16" t="inlineStr">
        <is>
          <t>Physical</t>
        </is>
      </c>
      <c r="H15" s="16" t="inlineStr"/>
      <c r="I15" s="16" t="inlineStr"/>
      <c r="J15" s="16" t="inlineStr"/>
    </row>
    <row r="16" ht="22" customHeight="1">
      <c r="B16" s="8" t="n">
        <v>12</v>
      </c>
      <c r="C16" s="9" t="inlineStr"/>
      <c r="D16" s="10" t="inlineStr">
        <is>
          <t>AI / Emerging Tech Talk</t>
        </is>
      </c>
      <c r="E16" s="9" t="inlineStr"/>
      <c r="F16" s="10" t="inlineStr"/>
      <c r="G16" s="10" t="inlineStr">
        <is>
          <t>Physical</t>
        </is>
      </c>
      <c r="H16" s="10" t="inlineStr"/>
      <c r="I16" s="10" t="inlineStr"/>
      <c r="J16" s="10" t="inlineStr"/>
    </row>
    <row r="17" ht="22" customHeight="1">
      <c r="B17" s="14" t="n">
        <v>13</v>
      </c>
      <c r="C17" s="15" t="inlineStr"/>
      <c r="D17" s="16" t="inlineStr">
        <is>
          <t>Expert Talk — Entrepreneur</t>
        </is>
      </c>
      <c r="E17" s="15" t="inlineStr"/>
      <c r="F17" s="16" t="inlineStr"/>
      <c r="G17" s="16" t="inlineStr">
        <is>
          <t>Physical</t>
        </is>
      </c>
      <c r="H17" s="16" t="inlineStr"/>
      <c r="I17" s="16" t="inlineStr"/>
      <c r="J17" s="16" t="inlineStr"/>
    </row>
    <row r="18" ht="22" customHeight="1">
      <c r="B18" s="8" t="n">
        <v>14</v>
      </c>
      <c r="C18" s="9" t="inlineStr"/>
      <c r="D18" s="10" t="inlineStr">
        <is>
          <t>Expert Talk — Investor</t>
        </is>
      </c>
      <c r="E18" s="9" t="inlineStr"/>
      <c r="F18" s="10" t="inlineStr"/>
      <c r="G18" s="10" t="inlineStr">
        <is>
          <t>Physical</t>
        </is>
      </c>
      <c r="H18" s="10" t="inlineStr"/>
      <c r="I18" s="10" t="inlineStr"/>
      <c r="J18" s="10" t="inlineStr"/>
    </row>
    <row r="19" ht="22" customHeight="1">
      <c r="B19" s="14" t="n">
        <v>15</v>
      </c>
      <c r="C19" s="15" t="inlineStr"/>
      <c r="D19" s="16" t="inlineStr">
        <is>
          <t>IPR Awareness Session</t>
        </is>
      </c>
      <c r="E19" s="15" t="inlineStr"/>
      <c r="F19" s="16" t="inlineStr"/>
      <c r="G19" s="16" t="inlineStr">
        <is>
          <t>Physical</t>
        </is>
      </c>
      <c r="H19" s="16" t="inlineStr"/>
      <c r="I19" s="16" t="inlineStr"/>
      <c r="J19" s="16" t="inlineStr"/>
    </row>
    <row r="20" ht="22" customHeight="1">
      <c r="B20" s="8" t="n">
        <v>16</v>
      </c>
      <c r="C20" s="9" t="inlineStr"/>
      <c r="D20" s="10" t="inlineStr">
        <is>
          <t>Design Thinking Workshop</t>
        </is>
      </c>
      <c r="E20" s="9" t="inlineStr"/>
      <c r="F20" s="10" t="inlineStr"/>
      <c r="G20" s="10" t="inlineStr">
        <is>
          <t>Physical</t>
        </is>
      </c>
      <c r="H20" s="10" t="inlineStr"/>
      <c r="I20" s="10" t="inlineStr"/>
      <c r="J20" s="10" t="inlineStr"/>
    </row>
    <row r="21" ht="22" customHeight="1">
      <c r="B21" s="14" t="n">
        <v>17</v>
      </c>
      <c r="C21" s="15" t="inlineStr"/>
      <c r="D21" s="16" t="inlineStr">
        <is>
          <t>Lean Startup Workshop</t>
        </is>
      </c>
      <c r="E21" s="15" t="inlineStr"/>
      <c r="F21" s="16" t="inlineStr"/>
      <c r="G21" s="16" t="inlineStr">
        <is>
          <t>Physical</t>
        </is>
      </c>
      <c r="H21" s="16" t="inlineStr"/>
      <c r="I21" s="16" t="inlineStr"/>
      <c r="J21" s="16" t="inlineStr"/>
    </row>
    <row r="22" ht="22" customHeight="1">
      <c r="B22" s="8" t="n">
        <v>18</v>
      </c>
      <c r="C22" s="9" t="inlineStr"/>
      <c r="D22" s="10" t="inlineStr">
        <is>
          <t>Social Innovation Session</t>
        </is>
      </c>
      <c r="E22" s="9" t="inlineStr"/>
      <c r="F22" s="10" t="inlineStr"/>
      <c r="G22" s="10" t="inlineStr">
        <is>
          <t>Physical</t>
        </is>
      </c>
      <c r="H22" s="10" t="inlineStr"/>
      <c r="I22" s="10" t="inlineStr"/>
      <c r="J22" s="10" t="inlineStr"/>
    </row>
    <row r="23" ht="22" customHeight="1">
      <c r="B23" s="14" t="n">
        <v>19</v>
      </c>
      <c r="C23" s="15" t="inlineStr"/>
      <c r="D23" s="16" t="inlineStr">
        <is>
          <t>ARIIA / Ranking Awareness</t>
        </is>
      </c>
      <c r="E23" s="15" t="inlineStr"/>
      <c r="F23" s="16" t="inlineStr"/>
      <c r="G23" s="16" t="inlineStr">
        <is>
          <t>Physical</t>
        </is>
      </c>
      <c r="H23" s="16" t="inlineStr"/>
      <c r="I23" s="16" t="inlineStr"/>
      <c r="J23" s="16" t="inlineStr"/>
    </row>
    <row r="24" ht="22" customHeight="1">
      <c r="B24" s="8" t="n">
        <v>20</v>
      </c>
      <c r="C24" s="9" t="inlineStr"/>
      <c r="D24" s="10" t="inlineStr">
        <is>
          <t>MIC Scheme Awareness</t>
        </is>
      </c>
      <c r="E24" s="9" t="inlineStr"/>
      <c r="F24" s="10" t="inlineStr"/>
      <c r="G24" s="10" t="inlineStr">
        <is>
          <t>Physical</t>
        </is>
      </c>
      <c r="H24" s="10" t="inlineStr"/>
      <c r="I24" s="10" t="inlineStr"/>
      <c r="J24" s="10" t="inlineStr"/>
    </row>
    <row r="25" ht="22" customHeight="1">
      <c r="B25" s="14" t="n">
        <v>21</v>
      </c>
      <c r="C25" s="15" t="inlineStr"/>
      <c r="D25" s="16" t="inlineStr">
        <is>
          <t>Startup India / DPIIT Session</t>
        </is>
      </c>
      <c r="E25" s="15" t="inlineStr"/>
      <c r="F25" s="16" t="inlineStr"/>
      <c r="G25" s="16" t="inlineStr">
        <is>
          <t>Physical</t>
        </is>
      </c>
      <c r="H25" s="16" t="inlineStr"/>
      <c r="I25" s="16" t="inlineStr"/>
      <c r="J25" s="16" t="inlineStr"/>
    </row>
    <row r="26" ht="22" customHeight="1">
      <c r="B26" s="8" t="n">
        <v>22</v>
      </c>
      <c r="C26" s="9" t="inlineStr"/>
      <c r="D26" s="10" t="inlineStr">
        <is>
          <t>Women Innovators Programme</t>
        </is>
      </c>
      <c r="E26" s="9" t="inlineStr"/>
      <c r="F26" s="10" t="inlineStr"/>
      <c r="G26" s="10" t="inlineStr">
        <is>
          <t>Physical</t>
        </is>
      </c>
      <c r="H26" s="10" t="inlineStr"/>
      <c r="I26" s="10" t="inlineStr"/>
      <c r="J26" s="10" t="inlineStr"/>
    </row>
    <row r="27" ht="22" customHeight="1">
      <c r="B27" s="14" t="n">
        <v>23</v>
      </c>
      <c r="C27" s="15" t="inlineStr"/>
      <c r="D27" s="16" t="inlineStr">
        <is>
          <t>Green Innovation Workshop</t>
        </is>
      </c>
      <c r="E27" s="15" t="inlineStr"/>
      <c r="F27" s="16" t="inlineStr"/>
      <c r="G27" s="16" t="inlineStr">
        <is>
          <t>Physical</t>
        </is>
      </c>
      <c r="H27" s="16" t="inlineStr"/>
      <c r="I27" s="16" t="inlineStr"/>
      <c r="J27" s="16" t="inlineStr"/>
    </row>
    <row r="28" ht="22" customHeight="1">
      <c r="B28" s="8" t="n">
        <v>24</v>
      </c>
      <c r="C28" s="9" t="inlineStr"/>
      <c r="D28" s="10" t="inlineStr">
        <is>
          <t>AI / Emerging Tech Talk</t>
        </is>
      </c>
      <c r="E28" s="9" t="inlineStr"/>
      <c r="F28" s="10" t="inlineStr"/>
      <c r="G28" s="10" t="inlineStr">
        <is>
          <t>Physical</t>
        </is>
      </c>
      <c r="H28" s="10" t="inlineStr"/>
      <c r="I28" s="10" t="inlineStr"/>
      <c r="J28" s="10" t="inlineStr"/>
    </row>
    <row r="29" ht="22" customHeight="1"/>
    <row r="30" ht="24" customHeight="1">
      <c r="B30" s="35" t="inlineStr">
        <is>
          <t>AWARENESS EVENT SUMMARY</t>
        </is>
      </c>
    </row>
    <row r="31" ht="22" customHeight="1">
      <c r="B31" s="31" t="inlineStr">
        <is>
          <t>Category</t>
        </is>
      </c>
      <c r="C31" s="31" t="inlineStr">
        <is>
          <t>Events Conducted</t>
        </is>
      </c>
      <c r="D31" s="31" t="inlineStr">
        <is>
          <t>Total Reach
(Participants)</t>
        </is>
      </c>
      <c r="E31" s="31" t="inlineStr">
        <is>
          <t>Avg. Feedback
(/5)</t>
        </is>
      </c>
      <c r="F31" s="31" t="inlineStr">
        <is>
          <t>MIC Points
Earned</t>
        </is>
      </c>
    </row>
    <row r="32" ht="22" customHeight="1">
      <c r="B32" s="33" t="inlineStr">
        <is>
          <t>Expert Talks</t>
        </is>
      </c>
      <c r="C32" s="34" t="inlineStr"/>
      <c r="D32" s="34" t="inlineStr"/>
      <c r="E32" s="34" t="inlineStr"/>
      <c r="F32" s="34" t="inlineStr"/>
      <c r="G32" s="58" t="n"/>
      <c r="H32" s="58" t="n"/>
      <c r="I32" s="58" t="n"/>
      <c r="J32" s="58" t="n"/>
    </row>
    <row r="33" ht="22" customHeight="1">
      <c r="B33" s="9" t="inlineStr">
        <is>
          <t>Workshops (DT / Lean)</t>
        </is>
      </c>
      <c r="C33" s="10" t="inlineStr"/>
      <c r="D33" s="10" t="inlineStr"/>
      <c r="E33" s="10" t="inlineStr"/>
      <c r="F33" s="10" t="inlineStr"/>
      <c r="G33" s="59" t="n"/>
      <c r="H33" s="59" t="n"/>
      <c r="I33" s="59" t="n"/>
      <c r="J33" s="59" t="n"/>
    </row>
    <row r="34" ht="22" customHeight="1">
      <c r="B34" s="33" t="inlineStr">
        <is>
          <t>IPR &amp; Technology</t>
        </is>
      </c>
      <c r="C34" s="34" t="inlineStr"/>
      <c r="D34" s="34" t="inlineStr"/>
      <c r="E34" s="34" t="inlineStr"/>
      <c r="F34" s="34" t="inlineStr"/>
      <c r="G34" s="58" t="n"/>
      <c r="H34" s="58" t="n"/>
      <c r="I34" s="58" t="n"/>
      <c r="J34" s="58" t="n"/>
    </row>
    <row r="35" ht="22" customHeight="1">
      <c r="B35" s="9" t="inlineStr">
        <is>
          <t>Social Innovation</t>
        </is>
      </c>
      <c r="C35" s="10" t="inlineStr"/>
      <c r="D35" s="10" t="inlineStr"/>
      <c r="E35" s="10" t="inlineStr"/>
      <c r="F35" s="10" t="inlineStr"/>
      <c r="G35" s="59" t="n"/>
      <c r="H35" s="59" t="n"/>
      <c r="I35" s="59" t="n"/>
      <c r="J35" s="59" t="n"/>
    </row>
    <row r="36" ht="22" customHeight="1">
      <c r="B36" s="33" t="inlineStr">
        <is>
          <t>MIC / Govt. Schemes</t>
        </is>
      </c>
      <c r="C36" s="34" t="inlineStr"/>
      <c r="D36" s="34" t="inlineStr"/>
      <c r="E36" s="34" t="inlineStr"/>
      <c r="F36" s="34" t="inlineStr"/>
      <c r="G36" s="58" t="n"/>
      <c r="H36" s="58" t="n"/>
      <c r="I36" s="58" t="n"/>
      <c r="J36" s="58" t="n"/>
    </row>
    <row r="37" ht="22" customHeight="1">
      <c r="B37" s="24" t="inlineStr">
        <is>
          <t>TOTAL</t>
        </is>
      </c>
      <c r="C37" s="60" t="inlineStr"/>
      <c r="D37" s="60" t="inlineStr"/>
      <c r="E37" s="60" t="inlineStr"/>
      <c r="F37" s="60" t="inlineStr"/>
      <c r="G37" s="57" t="n"/>
      <c r="H37" s="57" t="n"/>
      <c r="I37" s="57" t="n"/>
      <c r="J37" s="57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IIC-27: MIC PORTAL ACTIVITY REPORTING REGISTER</t>
        </is>
      </c>
    </row>
    <row r="3" ht="25" customHeight="1">
      <c r="B3" s="2" t="inlineStr">
        <is>
          <t>Calendar Year: _______  IIC Coordinator: ___________________  MIC Portal URL: iic.mic.gov.in</t>
        </is>
      </c>
    </row>
    <row r="4" ht="25" customHeight="1">
      <c r="B4" s="13" t="inlineStr">
        <is>
          <t>Activity
Ref.</t>
        </is>
      </c>
      <c r="C4" s="13" t="inlineStr">
        <is>
          <t>Activity Title</t>
        </is>
      </c>
      <c r="D4" s="13" t="inlineStr">
        <is>
          <t>MIC Activity
Category</t>
        </is>
      </c>
      <c r="E4" s="13" t="inlineStr">
        <is>
          <t>Date
Conducted</t>
        </is>
      </c>
      <c r="F4" s="13" t="inlineStr">
        <is>
          <t>Date
Reported on MIC</t>
        </is>
      </c>
      <c r="G4" s="13" t="inlineStr">
        <is>
          <t>Participants
(Students)</t>
        </is>
      </c>
      <c r="H4" s="13" t="inlineStr">
        <is>
          <t>Participants
(Faculty)</t>
        </is>
      </c>
      <c r="I4" s="13" t="inlineStr">
        <is>
          <t>Points
Earned</t>
        </is>
      </c>
      <c r="J4" s="13" t="inlineStr">
        <is>
          <t>Proof
Uploaded</t>
        </is>
      </c>
      <c r="K4" s="13" t="inlineStr">
        <is>
          <t>Status on
Portal</t>
        </is>
      </c>
    </row>
    <row r="5" ht="22" customHeight="1">
      <c r="B5" s="14" t="inlineStr">
        <is>
          <t>MIC/2024/001</t>
        </is>
      </c>
      <c r="C5" s="15" t="inlineStr"/>
      <c r="D5" s="16" t="inlineStr">
        <is>
          <t>Innovation Promotion &amp; Ecosystem Development</t>
        </is>
      </c>
      <c r="E5" s="16" t="inlineStr"/>
      <c r="F5" s="16" t="inlineStr"/>
      <c r="G5" s="16" t="inlineStr"/>
      <c r="H5" s="16" t="inlineStr"/>
      <c r="I5" s="16" t="inlineStr"/>
      <c r="J5" s="16" t="inlineStr">
        <is>
          <t>Y</t>
        </is>
      </c>
      <c r="K5" s="16" t="inlineStr">
        <is>
          <t>Approved</t>
        </is>
      </c>
    </row>
    <row r="6" ht="22" customHeight="1">
      <c r="B6" s="8" t="inlineStr">
        <is>
          <t>MIC/2024/002</t>
        </is>
      </c>
      <c r="C6" s="9" t="inlineStr"/>
      <c r="D6" s="10" t="inlineStr">
        <is>
          <t>Pre-Incubation Activity</t>
        </is>
      </c>
      <c r="E6" s="10" t="inlineStr"/>
      <c r="F6" s="10" t="inlineStr"/>
      <c r="G6" s="10" t="inlineStr"/>
      <c r="H6" s="10" t="inlineStr"/>
      <c r="I6" s="10" t="inlineStr"/>
      <c r="J6" s="10" t="inlineStr">
        <is>
          <t>Y</t>
        </is>
      </c>
      <c r="K6" s="10" t="inlineStr">
        <is>
          <t>Approved</t>
        </is>
      </c>
    </row>
    <row r="7" ht="22" customHeight="1">
      <c r="B7" s="14" t="inlineStr">
        <is>
          <t>MIC/2024/003</t>
        </is>
      </c>
      <c r="C7" s="15" t="inlineStr"/>
      <c r="D7" s="16" t="inlineStr">
        <is>
          <t>Startup Support Activity</t>
        </is>
      </c>
      <c r="E7" s="16" t="inlineStr"/>
      <c r="F7" s="16" t="inlineStr"/>
      <c r="G7" s="16" t="inlineStr"/>
      <c r="H7" s="16" t="inlineStr"/>
      <c r="I7" s="16" t="inlineStr"/>
      <c r="J7" s="16" t="inlineStr">
        <is>
          <t>Y</t>
        </is>
      </c>
      <c r="K7" s="16" t="inlineStr">
        <is>
          <t>Approved</t>
        </is>
      </c>
    </row>
    <row r="8" ht="22" customHeight="1">
      <c r="B8" s="8" t="inlineStr">
        <is>
          <t>MIC/2024/004</t>
        </is>
      </c>
      <c r="C8" s="9" t="inlineStr"/>
      <c r="D8" s="10" t="inlineStr">
        <is>
          <t>MIC-IIC Driven Activity (National Programme)</t>
        </is>
      </c>
      <c r="E8" s="10" t="inlineStr"/>
      <c r="F8" s="10" t="inlineStr"/>
      <c r="G8" s="10" t="inlineStr"/>
      <c r="H8" s="10" t="inlineStr"/>
      <c r="I8" s="10" t="inlineStr"/>
      <c r="J8" s="10" t="inlineStr">
        <is>
          <t>Y</t>
        </is>
      </c>
      <c r="K8" s="10" t="inlineStr">
        <is>
          <t>Approved</t>
        </is>
      </c>
    </row>
    <row r="9" ht="22" customHeight="1">
      <c r="B9" s="14" t="inlineStr">
        <is>
          <t>MIC/2024/005</t>
        </is>
      </c>
      <c r="C9" s="15" t="inlineStr"/>
      <c r="D9" s="16" t="inlineStr">
        <is>
          <t>IPR &amp; Technology Activity</t>
        </is>
      </c>
      <c r="E9" s="16" t="inlineStr"/>
      <c r="F9" s="16" t="inlineStr"/>
      <c r="G9" s="16" t="inlineStr"/>
      <c r="H9" s="16" t="inlineStr"/>
      <c r="I9" s="16" t="inlineStr"/>
      <c r="J9" s="16" t="inlineStr">
        <is>
          <t>Y</t>
        </is>
      </c>
      <c r="K9" s="16" t="inlineStr">
        <is>
          <t>Approved</t>
        </is>
      </c>
    </row>
    <row r="10" ht="22" customHeight="1">
      <c r="B10" s="8" t="inlineStr">
        <is>
          <t>MIC/2024/006</t>
        </is>
      </c>
      <c r="C10" s="9" t="inlineStr"/>
      <c r="D10" s="10" t="inlineStr">
        <is>
          <t>Competition / Hackathon</t>
        </is>
      </c>
      <c r="E10" s="10" t="inlineStr"/>
      <c r="F10" s="10" t="inlineStr"/>
      <c r="G10" s="10" t="inlineStr"/>
      <c r="H10" s="10" t="inlineStr"/>
      <c r="I10" s="10" t="inlineStr"/>
      <c r="J10" s="10" t="inlineStr">
        <is>
          <t>Y</t>
        </is>
      </c>
      <c r="K10" s="10" t="inlineStr">
        <is>
          <t>Approved</t>
        </is>
      </c>
    </row>
    <row r="11" ht="22" customHeight="1">
      <c r="B11" s="14" t="inlineStr">
        <is>
          <t>MIC/2024/007</t>
        </is>
      </c>
      <c r="C11" s="15" t="inlineStr"/>
      <c r="D11" s="16" t="inlineStr">
        <is>
          <t>Expert Talk / Awareness</t>
        </is>
      </c>
      <c r="E11" s="16" t="inlineStr"/>
      <c r="F11" s="16" t="inlineStr"/>
      <c r="G11" s="16" t="inlineStr"/>
      <c r="H11" s="16" t="inlineStr"/>
      <c r="I11" s="16" t="inlineStr"/>
      <c r="J11" s="16" t="inlineStr">
        <is>
          <t>Y</t>
        </is>
      </c>
      <c r="K11" s="16" t="inlineStr">
        <is>
          <t>Approved</t>
        </is>
      </c>
    </row>
    <row r="12" ht="22" customHeight="1">
      <c r="B12" s="8" t="inlineStr">
        <is>
          <t>MIC/2024/008</t>
        </is>
      </c>
      <c r="C12" s="9" t="inlineStr"/>
      <c r="D12" s="10" t="inlineStr">
        <is>
          <t>Governance Activity</t>
        </is>
      </c>
      <c r="E12" s="10" t="inlineStr"/>
      <c r="F12" s="10" t="inlineStr"/>
      <c r="G12" s="10" t="inlineStr"/>
      <c r="H12" s="10" t="inlineStr"/>
      <c r="I12" s="10" t="inlineStr"/>
      <c r="J12" s="10" t="inlineStr">
        <is>
          <t>Y</t>
        </is>
      </c>
      <c r="K12" s="10" t="inlineStr">
        <is>
          <t>Approved</t>
        </is>
      </c>
    </row>
    <row r="13" ht="22" customHeight="1">
      <c r="B13" s="14" t="inlineStr">
        <is>
          <t>MIC/2024/009</t>
        </is>
      </c>
      <c r="C13" s="15" t="inlineStr"/>
      <c r="D13" s="16" t="inlineStr">
        <is>
          <t>Social Innovation</t>
        </is>
      </c>
      <c r="E13" s="16" t="inlineStr"/>
      <c r="F13" s="16" t="inlineStr"/>
      <c r="G13" s="16" t="inlineStr"/>
      <c r="H13" s="16" t="inlineStr"/>
      <c r="I13" s="16" t="inlineStr"/>
      <c r="J13" s="16" t="inlineStr">
        <is>
          <t>Y</t>
        </is>
      </c>
      <c r="K13" s="16" t="inlineStr">
        <is>
          <t>Approved</t>
        </is>
      </c>
    </row>
    <row r="14" ht="22" customHeight="1">
      <c r="B14" s="8" t="inlineStr">
        <is>
          <t>MIC/2024/010</t>
        </is>
      </c>
      <c r="C14" s="9" t="inlineStr"/>
      <c r="D14" s="10" t="inlineStr">
        <is>
          <t>Innovation Promotion &amp; Ecosystem Development</t>
        </is>
      </c>
      <c r="E14" s="10" t="inlineStr"/>
      <c r="F14" s="10" t="inlineStr"/>
      <c r="G14" s="10" t="inlineStr"/>
      <c r="H14" s="10" t="inlineStr"/>
      <c r="I14" s="10" t="inlineStr"/>
      <c r="J14" s="10" t="inlineStr">
        <is>
          <t>Y</t>
        </is>
      </c>
      <c r="K14" s="10" t="inlineStr">
        <is>
          <t>Approved</t>
        </is>
      </c>
    </row>
    <row r="15" ht="22" customHeight="1">
      <c r="B15" s="14" t="inlineStr">
        <is>
          <t>MIC/2024/011</t>
        </is>
      </c>
      <c r="C15" s="15" t="inlineStr"/>
      <c r="D15" s="16" t="inlineStr">
        <is>
          <t>Pre-Incubation Activity</t>
        </is>
      </c>
      <c r="E15" s="16" t="inlineStr"/>
      <c r="F15" s="16" t="inlineStr"/>
      <c r="G15" s="16" t="inlineStr"/>
      <c r="H15" s="16" t="inlineStr"/>
      <c r="I15" s="16" t="inlineStr"/>
      <c r="J15" s="16" t="inlineStr">
        <is>
          <t>Y</t>
        </is>
      </c>
      <c r="K15" s="16" t="inlineStr">
        <is>
          <t>Approved</t>
        </is>
      </c>
    </row>
    <row r="16" ht="22" customHeight="1">
      <c r="B16" s="8" t="inlineStr">
        <is>
          <t>MIC/2024/012</t>
        </is>
      </c>
      <c r="C16" s="9" t="inlineStr"/>
      <c r="D16" s="10" t="inlineStr">
        <is>
          <t>Startup Support Activity</t>
        </is>
      </c>
      <c r="E16" s="10" t="inlineStr"/>
      <c r="F16" s="10" t="inlineStr"/>
      <c r="G16" s="10" t="inlineStr"/>
      <c r="H16" s="10" t="inlineStr"/>
      <c r="I16" s="10" t="inlineStr"/>
      <c r="J16" s="10" t="inlineStr">
        <is>
          <t>Y</t>
        </is>
      </c>
      <c r="K16" s="10" t="inlineStr">
        <is>
          <t>Approved</t>
        </is>
      </c>
    </row>
    <row r="17" ht="22" customHeight="1">
      <c r="B17" s="14" t="inlineStr">
        <is>
          <t>MIC/2025/013</t>
        </is>
      </c>
      <c r="C17" s="15" t="inlineStr"/>
      <c r="D17" s="16" t="inlineStr">
        <is>
          <t>MIC-IIC Driven Activity (National Programme)</t>
        </is>
      </c>
      <c r="E17" s="16" t="inlineStr"/>
      <c r="F17" s="16" t="inlineStr"/>
      <c r="G17" s="16" t="inlineStr"/>
      <c r="H17" s="16" t="inlineStr"/>
      <c r="I17" s="16" t="inlineStr"/>
      <c r="J17" s="16" t="inlineStr">
        <is>
          <t>Y</t>
        </is>
      </c>
      <c r="K17" s="16" t="inlineStr">
        <is>
          <t>Approved</t>
        </is>
      </c>
    </row>
    <row r="18" ht="22" customHeight="1">
      <c r="B18" s="8" t="inlineStr">
        <is>
          <t>MIC/2025/014</t>
        </is>
      </c>
      <c r="C18" s="9" t="inlineStr"/>
      <c r="D18" s="10" t="inlineStr">
        <is>
          <t>IPR &amp; Technology Activity</t>
        </is>
      </c>
      <c r="E18" s="10" t="inlineStr"/>
      <c r="F18" s="10" t="inlineStr"/>
      <c r="G18" s="10" t="inlineStr"/>
      <c r="H18" s="10" t="inlineStr"/>
      <c r="I18" s="10" t="inlineStr"/>
      <c r="J18" s="10" t="inlineStr">
        <is>
          <t>Y</t>
        </is>
      </c>
      <c r="K18" s="10" t="inlineStr">
        <is>
          <t>Approved</t>
        </is>
      </c>
    </row>
    <row r="19" ht="22" customHeight="1">
      <c r="B19" s="14" t="inlineStr">
        <is>
          <t>MIC/2025/015</t>
        </is>
      </c>
      <c r="C19" s="15" t="inlineStr"/>
      <c r="D19" s="16" t="inlineStr">
        <is>
          <t>Competition / Hackathon</t>
        </is>
      </c>
      <c r="E19" s="16" t="inlineStr"/>
      <c r="F19" s="16" t="inlineStr"/>
      <c r="G19" s="16" t="inlineStr"/>
      <c r="H19" s="16" t="inlineStr"/>
      <c r="I19" s="16" t="inlineStr"/>
      <c r="J19" s="16" t="inlineStr">
        <is>
          <t>Y</t>
        </is>
      </c>
      <c r="K19" s="16" t="inlineStr">
        <is>
          <t>Approved</t>
        </is>
      </c>
    </row>
    <row r="20" ht="22" customHeight="1">
      <c r="B20" s="8" t="inlineStr">
        <is>
          <t>MIC/2025/016</t>
        </is>
      </c>
      <c r="C20" s="9" t="inlineStr"/>
      <c r="D20" s="10" t="inlineStr">
        <is>
          <t>Expert Talk / Awareness</t>
        </is>
      </c>
      <c r="E20" s="10" t="inlineStr"/>
      <c r="F20" s="10" t="inlineStr"/>
      <c r="G20" s="10" t="inlineStr"/>
      <c r="H20" s="10" t="inlineStr"/>
      <c r="I20" s="10" t="inlineStr"/>
      <c r="J20" s="10" t="inlineStr">
        <is>
          <t>Y</t>
        </is>
      </c>
      <c r="K20" s="10" t="inlineStr">
        <is>
          <t>Approved</t>
        </is>
      </c>
    </row>
    <row r="21" ht="22" customHeight="1">
      <c r="B21" s="14" t="inlineStr">
        <is>
          <t>MIC/2025/017</t>
        </is>
      </c>
      <c r="C21" s="15" t="inlineStr"/>
      <c r="D21" s="16" t="inlineStr">
        <is>
          <t>Governance Activity</t>
        </is>
      </c>
      <c r="E21" s="16" t="inlineStr"/>
      <c r="F21" s="16" t="inlineStr"/>
      <c r="G21" s="16" t="inlineStr"/>
      <c r="H21" s="16" t="inlineStr"/>
      <c r="I21" s="16" t="inlineStr"/>
      <c r="J21" s="16" t="inlineStr">
        <is>
          <t>Y</t>
        </is>
      </c>
      <c r="K21" s="16" t="inlineStr">
        <is>
          <t>Approved</t>
        </is>
      </c>
    </row>
    <row r="22" ht="22" customHeight="1">
      <c r="B22" s="8" t="inlineStr">
        <is>
          <t>MIC/2025/018</t>
        </is>
      </c>
      <c r="C22" s="9" t="inlineStr"/>
      <c r="D22" s="10" t="inlineStr">
        <is>
          <t>Social Innovation</t>
        </is>
      </c>
      <c r="E22" s="10" t="inlineStr"/>
      <c r="F22" s="10" t="inlineStr"/>
      <c r="G22" s="10" t="inlineStr"/>
      <c r="H22" s="10" t="inlineStr"/>
      <c r="I22" s="10" t="inlineStr"/>
      <c r="J22" s="10" t="inlineStr">
        <is>
          <t>Y</t>
        </is>
      </c>
      <c r="K22" s="10" t="inlineStr">
        <is>
          <t>Approved</t>
        </is>
      </c>
    </row>
    <row r="23" ht="22" customHeight="1">
      <c r="B23" s="14" t="inlineStr">
        <is>
          <t>MIC/2025/019</t>
        </is>
      </c>
      <c r="C23" s="15" t="inlineStr"/>
      <c r="D23" s="16" t="inlineStr">
        <is>
          <t>Innovation Promotion &amp; Ecosystem Development</t>
        </is>
      </c>
      <c r="E23" s="16" t="inlineStr"/>
      <c r="F23" s="16" t="inlineStr"/>
      <c r="G23" s="16" t="inlineStr"/>
      <c r="H23" s="16" t="inlineStr"/>
      <c r="I23" s="16" t="inlineStr"/>
      <c r="J23" s="16" t="inlineStr">
        <is>
          <t>Y</t>
        </is>
      </c>
      <c r="K23" s="16" t="inlineStr">
        <is>
          <t>Approved</t>
        </is>
      </c>
    </row>
    <row r="24" ht="22" customHeight="1">
      <c r="B24" s="8" t="inlineStr">
        <is>
          <t>MIC/2025/020</t>
        </is>
      </c>
      <c r="C24" s="9" t="inlineStr"/>
      <c r="D24" s="10" t="inlineStr">
        <is>
          <t>Pre-Incubation Activity</t>
        </is>
      </c>
      <c r="E24" s="10" t="inlineStr"/>
      <c r="F24" s="10" t="inlineStr"/>
      <c r="G24" s="10" t="inlineStr"/>
      <c r="H24" s="10" t="inlineStr"/>
      <c r="I24" s="10" t="inlineStr"/>
      <c r="J24" s="10" t="inlineStr">
        <is>
          <t>Y</t>
        </is>
      </c>
      <c r="K24" s="10" t="inlineStr">
        <is>
          <t>Approved</t>
        </is>
      </c>
    </row>
    <row r="25" ht="22" customHeight="1">
      <c r="B25" s="14" t="inlineStr">
        <is>
          <t>MIC/2025/021</t>
        </is>
      </c>
      <c r="C25" s="15" t="inlineStr"/>
      <c r="D25" s="16" t="inlineStr">
        <is>
          <t>Startup Support Activity</t>
        </is>
      </c>
      <c r="E25" s="16" t="inlineStr"/>
      <c r="F25" s="16" t="inlineStr"/>
      <c r="G25" s="16" t="inlineStr"/>
      <c r="H25" s="16" t="inlineStr"/>
      <c r="I25" s="16" t="inlineStr"/>
      <c r="J25" s="16" t="inlineStr">
        <is>
          <t>Y</t>
        </is>
      </c>
      <c r="K25" s="16" t="inlineStr">
        <is>
          <t>Approved</t>
        </is>
      </c>
    </row>
    <row r="26" ht="22" customHeight="1">
      <c r="B26" s="8" t="inlineStr">
        <is>
          <t>MIC/2025/022</t>
        </is>
      </c>
      <c r="C26" s="9" t="inlineStr"/>
      <c r="D26" s="10" t="inlineStr">
        <is>
          <t>MIC-IIC Driven Activity (National Programme)</t>
        </is>
      </c>
      <c r="E26" s="10" t="inlineStr"/>
      <c r="F26" s="10" t="inlineStr"/>
      <c r="G26" s="10" t="inlineStr"/>
      <c r="H26" s="10" t="inlineStr"/>
      <c r="I26" s="10" t="inlineStr"/>
      <c r="J26" s="10" t="inlineStr">
        <is>
          <t>Y</t>
        </is>
      </c>
      <c r="K26" s="10" t="inlineStr">
        <is>
          <t>Approved</t>
        </is>
      </c>
    </row>
    <row r="27" ht="22" customHeight="1">
      <c r="B27" s="14" t="inlineStr">
        <is>
          <t>MIC/2025/023</t>
        </is>
      </c>
      <c r="C27" s="15" t="inlineStr"/>
      <c r="D27" s="16" t="inlineStr">
        <is>
          <t>IPR &amp; Technology Activity</t>
        </is>
      </c>
      <c r="E27" s="16" t="inlineStr"/>
      <c r="F27" s="16" t="inlineStr"/>
      <c r="G27" s="16" t="inlineStr"/>
      <c r="H27" s="16" t="inlineStr"/>
      <c r="I27" s="16" t="inlineStr"/>
      <c r="J27" s="16" t="inlineStr">
        <is>
          <t>Y</t>
        </is>
      </c>
      <c r="K27" s="16" t="inlineStr">
        <is>
          <t>Approved</t>
        </is>
      </c>
    </row>
    <row r="28" ht="22" customHeight="1">
      <c r="B28" s="8" t="inlineStr">
        <is>
          <t>MIC/2025/024</t>
        </is>
      </c>
      <c r="C28" s="9" t="inlineStr"/>
      <c r="D28" s="10" t="inlineStr">
        <is>
          <t>Competition / Hackathon</t>
        </is>
      </c>
      <c r="E28" s="10" t="inlineStr"/>
      <c r="F28" s="10" t="inlineStr"/>
      <c r="G28" s="10" t="inlineStr"/>
      <c r="H28" s="10" t="inlineStr"/>
      <c r="I28" s="10" t="inlineStr"/>
      <c r="J28" s="10" t="inlineStr">
        <is>
          <t>Y</t>
        </is>
      </c>
      <c r="K28" s="10" t="inlineStr">
        <is>
          <t>Approved</t>
        </is>
      </c>
    </row>
    <row r="29" ht="22" customHeight="1"/>
    <row r="30" ht="24" customHeight="1">
      <c r="B30" s="35" t="inlineStr">
        <is>
          <t>MIC REPORTING SUMMARY — BY CATEGORY</t>
        </is>
      </c>
    </row>
    <row r="31" ht="22" customHeight="1">
      <c r="B31" s="31" t="inlineStr">
        <is>
          <t>MIC Category</t>
        </is>
      </c>
      <c r="C31" s="31" t="inlineStr">
        <is>
          <t>Activities
Reported</t>
        </is>
      </c>
      <c r="D31" s="31" t="inlineStr">
        <is>
          <t>Approved</t>
        </is>
      </c>
      <c r="E31" s="31" t="inlineStr">
        <is>
          <t>Pending</t>
        </is>
      </c>
      <c r="F31" s="31" t="inlineStr">
        <is>
          <t>Rejected</t>
        </is>
      </c>
      <c r="G31" s="31" t="inlineStr">
        <is>
          <t>Total Points
Earned</t>
        </is>
      </c>
      <c r="H31" s="31" t="inlineStr">
        <is>
          <t>Max Points
(MIC)</t>
        </is>
      </c>
      <c r="I31" s="31" t="inlineStr">
        <is>
          <t>Achievement
%</t>
        </is>
      </c>
    </row>
    <row r="32" ht="22" customHeight="1">
      <c r="B32" s="33" t="inlineStr">
        <is>
          <t>Innovation Promotion</t>
        </is>
      </c>
      <c r="C32" s="34" t="inlineStr"/>
      <c r="D32" s="34" t="inlineStr"/>
      <c r="E32" s="34" t="inlineStr"/>
      <c r="F32" s="34" t="inlineStr"/>
      <c r="G32" s="34" t="inlineStr"/>
      <c r="H32" s="34" t="n">
        <v>25</v>
      </c>
      <c r="I32" s="34">
        <f>IFERROR(ROUND(G32/H32*100,1),"")</f>
        <v/>
      </c>
      <c r="J32" s="58" t="n"/>
      <c r="K32" s="58" t="n"/>
    </row>
    <row r="33" ht="22" customHeight="1">
      <c r="B33" s="9" t="inlineStr">
        <is>
          <t>Pre-Incubation</t>
        </is>
      </c>
      <c r="C33" s="10" t="inlineStr"/>
      <c r="D33" s="10" t="inlineStr"/>
      <c r="E33" s="10" t="inlineStr"/>
      <c r="F33" s="10" t="inlineStr"/>
      <c r="G33" s="10" t="inlineStr"/>
      <c r="H33" s="10" t="n">
        <v>25</v>
      </c>
      <c r="I33" s="10">
        <f>IFERROR(ROUND(G33/H33*100,1),"")</f>
        <v/>
      </c>
      <c r="J33" s="59" t="n"/>
      <c r="K33" s="59" t="n"/>
    </row>
    <row r="34" ht="22" customHeight="1">
      <c r="B34" s="33" t="inlineStr">
        <is>
          <t>MIC-IIC Driven</t>
        </is>
      </c>
      <c r="C34" s="34" t="inlineStr"/>
      <c r="D34" s="34" t="inlineStr"/>
      <c r="E34" s="34" t="inlineStr"/>
      <c r="F34" s="34" t="inlineStr"/>
      <c r="G34" s="34" t="inlineStr"/>
      <c r="H34" s="34" t="n">
        <v>20</v>
      </c>
      <c r="I34" s="34">
        <f>IFERROR(ROUND(G34/H34*100,1),"")</f>
        <v/>
      </c>
      <c r="J34" s="58" t="n"/>
      <c r="K34" s="58" t="n"/>
    </row>
    <row r="35" ht="22" customHeight="1">
      <c r="B35" s="9" t="inlineStr">
        <is>
          <t>Competitions</t>
        </is>
      </c>
      <c r="C35" s="10" t="inlineStr"/>
      <c r="D35" s="10" t="inlineStr"/>
      <c r="E35" s="10" t="inlineStr"/>
      <c r="F35" s="10" t="inlineStr"/>
      <c r="G35" s="10" t="inlineStr"/>
      <c r="H35" s="10" t="n">
        <v>15</v>
      </c>
      <c r="I35" s="10">
        <f>IFERROR(ROUND(G35/H35*100,1),"")</f>
        <v/>
      </c>
      <c r="J35" s="59" t="n"/>
      <c r="K35" s="59" t="n"/>
    </row>
    <row r="36" ht="22" customHeight="1">
      <c r="B36" s="33" t="inlineStr">
        <is>
          <t>Governance</t>
        </is>
      </c>
      <c r="C36" s="34" t="inlineStr"/>
      <c r="D36" s="34" t="inlineStr"/>
      <c r="E36" s="34" t="inlineStr"/>
      <c r="F36" s="34" t="inlineStr"/>
      <c r="G36" s="34" t="inlineStr"/>
      <c r="H36" s="34" t="n">
        <v>15</v>
      </c>
      <c r="I36" s="34">
        <f>IFERROR(ROUND(G36/H36*100,1),"")</f>
        <v/>
      </c>
      <c r="J36" s="58" t="n"/>
      <c r="K36" s="58" t="n"/>
    </row>
    <row r="37" ht="22" customHeight="1">
      <c r="B37" s="24" t="inlineStr">
        <is>
          <t>TOTAL</t>
        </is>
      </c>
      <c r="C37" s="60" t="inlineStr"/>
      <c r="D37" s="60" t="inlineStr"/>
      <c r="E37" s="60" t="inlineStr"/>
      <c r="F37" s="60" t="inlineStr"/>
      <c r="G37" s="60" t="inlineStr"/>
      <c r="H37" s="60" t="n">
        <v>100</v>
      </c>
      <c r="I37" s="60">
        <f>IFERROR(ROUND(G37/H37*100,1),"")</f>
        <v/>
      </c>
      <c r="J37" s="57" t="n"/>
      <c r="K37" s="57" t="n"/>
    </row>
  </sheetData>
  <mergeCells count="3">
    <mergeCell ref="B30:K30"/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IIC-28: IIC STAR RATING SELF-ASSESSMENT FORM</t>
        </is>
      </c>
    </row>
    <row r="3" ht="25" customHeight="1">
      <c r="B3" s="2" t="inlineStr">
        <is>
          <t>Calendar Year: _______  Assessment Completed by: IIC Coordinator  Verified by: IIC President  Submitted to MIC Portal: _______</t>
        </is>
      </c>
    </row>
    <row r="4" ht="24" customHeight="1">
      <c r="B4" s="20" t="inlineStr">
        <is>
          <t>BUCKET 1: INNOVATION PROMOTION &amp; ECOSYSTEM DEVELOPMENT (25 Points)</t>
        </is>
      </c>
    </row>
    <row r="5" ht="22" customHeight="1">
      <c r="B5" s="13" t="inlineStr">
        <is>
          <t>Sl.</t>
        </is>
      </c>
      <c r="C5" s="13" t="inlineStr">
        <is>
          <t>Assessment Parameter</t>
        </is>
      </c>
      <c r="D5" s="13" t="inlineStr">
        <is>
          <t>Evidence Metric</t>
        </is>
      </c>
      <c r="E5" s="13" t="inlineStr">
        <is>
          <t>MIC Points
Allocation</t>
        </is>
      </c>
      <c r="F5" s="13" t="inlineStr">
        <is>
          <t>Actual
Achievement</t>
        </is>
      </c>
      <c r="G5" s="13" t="inlineStr">
        <is>
          <t>Points
Claimed</t>
        </is>
      </c>
      <c r="H5" s="13" t="inlineStr">
        <is>
          <t>Evidence
Ref.</t>
        </is>
      </c>
    </row>
    <row r="6" ht="22" customHeight="1">
      <c r="B6" s="14" t="n">
        <v>1</v>
      </c>
      <c r="C6" s="15" t="inlineStr">
        <is>
          <t>Number of IIC sessions / events organised</t>
        </is>
      </c>
      <c r="D6" s="16" t="inlineStr">
        <is>
          <t>No. of events</t>
        </is>
      </c>
      <c r="E6" s="16" t="inlineStr">
        <is>
          <t>Points as per MIC formula</t>
        </is>
      </c>
      <c r="F6" s="16" t="inlineStr"/>
      <c r="G6" s="16" t="inlineStr"/>
      <c r="H6" s="15" t="inlineStr"/>
    </row>
    <row r="7" ht="22" customHeight="1">
      <c r="B7" s="8" t="n">
        <v>2</v>
      </c>
      <c r="C7" s="9" t="inlineStr">
        <is>
          <t>Participation in Smart India Hackathon (Internal)</t>
        </is>
      </c>
      <c r="D7" s="10" t="inlineStr">
        <is>
          <t>Y/N + No. of teams</t>
        </is>
      </c>
      <c r="E7" s="10" t="inlineStr">
        <is>
          <t>2 points max</t>
        </is>
      </c>
      <c r="F7" s="10" t="inlineStr"/>
      <c r="G7" s="10" t="inlineStr"/>
      <c r="H7" s="9" t="inlineStr"/>
    </row>
    <row r="8" ht="22" customHeight="1">
      <c r="B8" s="14" t="n">
        <v>3</v>
      </c>
      <c r="C8" s="15" t="inlineStr">
        <is>
          <t>Participation in SIH (National/Grand Finale)</t>
        </is>
      </c>
      <c r="D8" s="16" t="inlineStr">
        <is>
          <t>Y/N + stage reached</t>
        </is>
      </c>
      <c r="E8" s="16" t="inlineStr">
        <is>
          <t>5 points max</t>
        </is>
      </c>
      <c r="F8" s="16" t="inlineStr"/>
      <c r="G8" s="16" t="inlineStr"/>
      <c r="H8" s="15" t="inlineStr"/>
    </row>
    <row r="9" ht="22" customHeight="1">
      <c r="B9" s="8" t="n">
        <v>4</v>
      </c>
      <c r="C9" s="9" t="inlineStr">
        <is>
          <t>Startups / innovations nurtured through IIC</t>
        </is>
      </c>
      <c r="D9" s="10" t="inlineStr">
        <is>
          <t>No. of startups</t>
        </is>
      </c>
      <c r="E9" s="10" t="inlineStr">
        <is>
          <t>Points as per count</t>
        </is>
      </c>
      <c r="F9" s="10" t="inlineStr"/>
      <c r="G9" s="10" t="inlineStr"/>
      <c r="H9" s="9" t="inlineStr"/>
    </row>
    <row r="10" ht="22" customHeight="1">
      <c r="B10" s="14" t="n">
        <v>5</v>
      </c>
      <c r="C10" s="15" t="inlineStr">
        <is>
          <t>IPR filings supported</t>
        </is>
      </c>
      <c r="D10" s="16" t="inlineStr">
        <is>
          <t>No. of filings</t>
        </is>
      </c>
      <c r="E10" s="16" t="inlineStr">
        <is>
          <t>2 points max</t>
        </is>
      </c>
      <c r="F10" s="16" t="inlineStr"/>
      <c r="G10" s="16" t="inlineStr"/>
      <c r="H10" s="15" t="inlineStr"/>
    </row>
    <row r="11" ht="22" customHeight="1">
      <c r="B11" s="8" t="n">
        <v>6</v>
      </c>
      <c r="C11" s="9" t="inlineStr">
        <is>
          <t>Industry expert sessions organised</t>
        </is>
      </c>
      <c r="D11" s="10" t="inlineStr">
        <is>
          <t>No. of sessions</t>
        </is>
      </c>
      <c r="E11" s="10" t="inlineStr">
        <is>
          <t>2 points max</t>
        </is>
      </c>
      <c r="F11" s="10" t="inlineStr"/>
      <c r="G11" s="10" t="inlineStr"/>
      <c r="H11" s="9" t="inlineStr"/>
    </row>
    <row r="12" ht="22" customHeight="1">
      <c r="B12" s="14" t="n">
        <v>7</v>
      </c>
      <c r="C12" s="15" t="inlineStr">
        <is>
          <t>Innovation Ambassadors designated &amp; active</t>
        </is>
      </c>
      <c r="D12" s="16" t="inlineStr">
        <is>
          <t>No. of ambassadors</t>
        </is>
      </c>
      <c r="E12" s="16" t="inlineStr">
        <is>
          <t>1 point max</t>
        </is>
      </c>
      <c r="F12" s="16" t="inlineStr"/>
      <c r="G12" s="16" t="inlineStr"/>
      <c r="H12" s="15" t="inlineStr"/>
    </row>
    <row r="13" ht="24" customHeight="1">
      <c r="B13" s="20" t="inlineStr">
        <is>
          <t>SUB-TOTAL POINTS CLAIMED</t>
        </is>
      </c>
      <c r="G13" s="43" t="inlineStr"/>
    </row>
    <row r="14" ht="22" customHeight="1"/>
    <row r="15" ht="24" customHeight="1">
      <c r="B15" s="44" t="inlineStr">
        <is>
          <t>BUCKET 2: PRE-INCUBATION ACTIVITIES (25 Points)</t>
        </is>
      </c>
    </row>
    <row r="16" ht="22" customHeight="1">
      <c r="B16" s="61" t="inlineStr">
        <is>
          <t>Sl.</t>
        </is>
      </c>
      <c r="C16" s="61" t="inlineStr">
        <is>
          <t>Assessment Parameter</t>
        </is>
      </c>
      <c r="D16" s="61" t="inlineStr">
        <is>
          <t>Evidence Metric</t>
        </is>
      </c>
      <c r="E16" s="61" t="inlineStr">
        <is>
          <t>MIC Points
Allocation</t>
        </is>
      </c>
      <c r="F16" s="61" t="inlineStr">
        <is>
          <t>Actual
Achievement</t>
        </is>
      </c>
      <c r="G16" s="61" t="inlineStr">
        <is>
          <t>Points
Claimed</t>
        </is>
      </c>
      <c r="H16" s="61" t="inlineStr">
        <is>
          <t>Evidence
Ref.</t>
        </is>
      </c>
    </row>
    <row r="17" ht="22" customHeight="1">
      <c r="B17" s="45" t="n">
        <v>1</v>
      </c>
      <c r="C17" s="46" t="inlineStr">
        <is>
          <t>Business model / lean startup workshops</t>
        </is>
      </c>
      <c r="D17" s="47" t="inlineStr">
        <is>
          <t>No. of workshops</t>
        </is>
      </c>
      <c r="E17" s="47" t="inlineStr">
        <is>
          <t>3 points max</t>
        </is>
      </c>
      <c r="F17" s="47" t="inlineStr"/>
      <c r="G17" s="47" t="inlineStr"/>
      <c r="H17" s="46" t="inlineStr"/>
    </row>
    <row r="18" ht="22" customHeight="1">
      <c r="B18" s="8" t="n">
        <v>2</v>
      </c>
      <c r="C18" s="9" t="inlineStr">
        <is>
          <t>Product / prototype development support</t>
        </is>
      </c>
      <c r="D18" s="10" t="inlineStr">
        <is>
          <t>No. supported</t>
        </is>
      </c>
      <c r="E18" s="10" t="inlineStr">
        <is>
          <t>3 points max</t>
        </is>
      </c>
      <c r="F18" s="10" t="inlineStr"/>
      <c r="G18" s="10" t="inlineStr"/>
      <c r="H18" s="9" t="inlineStr"/>
    </row>
    <row r="19" ht="22" customHeight="1">
      <c r="B19" s="45" t="n">
        <v>3</v>
      </c>
      <c r="C19" s="46" t="inlineStr">
        <is>
          <t>Startups registered with DPIIT</t>
        </is>
      </c>
      <c r="D19" s="47" t="inlineStr">
        <is>
          <t>No. recognised</t>
        </is>
      </c>
      <c r="E19" s="47" t="inlineStr">
        <is>
          <t>5 points max</t>
        </is>
      </c>
      <c r="F19" s="47" t="inlineStr"/>
      <c r="G19" s="47" t="inlineStr"/>
      <c r="H19" s="46" t="inlineStr"/>
    </row>
    <row r="20" ht="22" customHeight="1">
      <c r="B20" s="8" t="n">
        <v>4</v>
      </c>
      <c r="C20" s="9" t="inlineStr">
        <is>
          <t>Startups with external funding</t>
        </is>
      </c>
      <c r="D20" s="10" t="inlineStr">
        <is>
          <t>No. funded</t>
        </is>
      </c>
      <c r="E20" s="10" t="inlineStr">
        <is>
          <t>5 points max</t>
        </is>
      </c>
      <c r="F20" s="10" t="inlineStr"/>
      <c r="G20" s="10" t="inlineStr"/>
      <c r="H20" s="9" t="inlineStr"/>
    </row>
    <row r="21" ht="22" customHeight="1">
      <c r="B21" s="45" t="n">
        <v>5</v>
      </c>
      <c r="C21" s="46" t="inlineStr">
        <is>
          <t>Startups with revenue / customers</t>
        </is>
      </c>
      <c r="D21" s="47" t="inlineStr">
        <is>
          <t>No. with revenue</t>
        </is>
      </c>
      <c r="E21" s="47" t="inlineStr">
        <is>
          <t>3 points max</t>
        </is>
      </c>
      <c r="F21" s="47" t="inlineStr"/>
      <c r="G21" s="47" t="inlineStr"/>
      <c r="H21" s="46" t="inlineStr"/>
    </row>
    <row r="22" ht="22" customHeight="1">
      <c r="B22" s="8" t="n">
        <v>6</v>
      </c>
      <c r="C22" s="9" t="inlineStr">
        <is>
          <t>Seed fund disbursed to startups</t>
        </is>
      </c>
      <c r="D22" s="10" t="inlineStr">
        <is>
          <t>Amount (₹L)</t>
        </is>
      </c>
      <c r="E22" s="10" t="inlineStr">
        <is>
          <t>2 points max</t>
        </is>
      </c>
      <c r="F22" s="10" t="inlineStr"/>
      <c r="G22" s="10" t="inlineStr"/>
      <c r="H22" s="9" t="inlineStr"/>
    </row>
    <row r="23" ht="22" customHeight="1">
      <c r="B23" s="45" t="n">
        <v>7</v>
      </c>
      <c r="C23" s="46" t="inlineStr">
        <is>
          <t>Technology transfer / commercialisation deals</t>
        </is>
      </c>
      <c r="D23" s="47" t="inlineStr">
        <is>
          <t>No. of deals</t>
        </is>
      </c>
      <c r="E23" s="47" t="inlineStr">
        <is>
          <t>4 points max</t>
        </is>
      </c>
      <c r="F23" s="47" t="inlineStr"/>
      <c r="G23" s="47" t="inlineStr"/>
      <c r="H23" s="46" t="inlineStr"/>
    </row>
    <row r="24" ht="24" customHeight="1">
      <c r="B24" s="44" t="inlineStr">
        <is>
          <t>SUB-TOTAL POINTS CLAIMED</t>
        </is>
      </c>
      <c r="G24" s="43" t="inlineStr"/>
    </row>
    <row r="25" ht="22" customHeight="1"/>
    <row r="26" ht="24" customHeight="1">
      <c r="B26" s="48" t="inlineStr">
        <is>
          <t>BUCKET 3: MIC-IIC DRIVEN ACTIVITIES (20 Points)</t>
        </is>
      </c>
    </row>
    <row r="27" ht="22" customHeight="1">
      <c r="B27" s="62" t="inlineStr">
        <is>
          <t>Sl.</t>
        </is>
      </c>
      <c r="C27" s="62" t="inlineStr">
        <is>
          <t>Assessment Parameter</t>
        </is>
      </c>
      <c r="D27" s="62" t="inlineStr">
        <is>
          <t>Evidence Metric</t>
        </is>
      </c>
      <c r="E27" s="62" t="inlineStr">
        <is>
          <t>MIC Points
Allocation</t>
        </is>
      </c>
      <c r="F27" s="62" t="inlineStr">
        <is>
          <t>Actual
Achievement</t>
        </is>
      </c>
      <c r="G27" s="62" t="inlineStr">
        <is>
          <t>Points
Claimed</t>
        </is>
      </c>
      <c r="H27" s="62" t="inlineStr">
        <is>
          <t>Evidence
Ref.</t>
        </is>
      </c>
    </row>
    <row r="28" ht="22" customHeight="1">
      <c r="B28" s="49" t="n">
        <v>1</v>
      </c>
      <c r="C28" s="50" t="inlineStr">
        <is>
          <t>IIC Innovation Day (15 Oct) celebration</t>
        </is>
      </c>
      <c r="D28" s="51" t="inlineStr">
        <is>
          <t>Y/N + details</t>
        </is>
      </c>
      <c r="E28" s="51" t="inlineStr">
        <is>
          <t>2 points</t>
        </is>
      </c>
      <c r="F28" s="51" t="inlineStr"/>
      <c r="G28" s="51" t="inlineStr"/>
      <c r="H28" s="50" t="inlineStr"/>
    </row>
    <row r="29" ht="22" customHeight="1">
      <c r="B29" s="8" t="n">
        <v>2</v>
      </c>
      <c r="C29" s="9" t="inlineStr">
        <is>
          <t>MIC regional / national event participation</t>
        </is>
      </c>
      <c r="D29" s="10" t="inlineStr">
        <is>
          <t>No. of events</t>
        </is>
      </c>
      <c r="E29" s="10" t="inlineStr">
        <is>
          <t>3 points</t>
        </is>
      </c>
      <c r="F29" s="10" t="inlineStr"/>
      <c r="G29" s="10" t="inlineStr"/>
      <c r="H29" s="9" t="inlineStr"/>
    </row>
    <row r="30" ht="22" customHeight="1">
      <c r="B30" s="49" t="n">
        <v>3</v>
      </c>
      <c r="C30" s="50" t="inlineStr">
        <is>
          <t>Participation in MIC national competitions</t>
        </is>
      </c>
      <c r="D30" s="51" t="inlineStr">
        <is>
          <t>No. + outcomes</t>
        </is>
      </c>
      <c r="E30" s="51" t="inlineStr">
        <is>
          <t>5 points</t>
        </is>
      </c>
      <c r="F30" s="51" t="inlineStr"/>
      <c r="G30" s="51" t="inlineStr"/>
      <c r="H30" s="50" t="inlineStr"/>
    </row>
    <row r="31" ht="22" customHeight="1">
      <c r="B31" s="8" t="n">
        <v>4</v>
      </c>
      <c r="C31" s="9" t="inlineStr">
        <is>
          <t>MIC-mandated activities (quarterly)</t>
        </is>
      </c>
      <c r="D31" s="10" t="inlineStr">
        <is>
          <t>No. completed</t>
        </is>
      </c>
      <c r="E31" s="10" t="inlineStr">
        <is>
          <t>5 points</t>
        </is>
      </c>
      <c r="F31" s="10" t="inlineStr"/>
      <c r="G31" s="10" t="inlineStr"/>
      <c r="H31" s="9" t="inlineStr"/>
    </row>
    <row r="32" ht="22" customHeight="1">
      <c r="B32" s="49" t="n">
        <v>5</v>
      </c>
      <c r="C32" s="50" t="inlineStr">
        <is>
          <t>IIC Annual Report submitted on time</t>
        </is>
      </c>
      <c r="D32" s="51" t="inlineStr">
        <is>
          <t>Y/N</t>
        </is>
      </c>
      <c r="E32" s="51" t="inlineStr">
        <is>
          <t>2 points</t>
        </is>
      </c>
      <c r="F32" s="51" t="inlineStr"/>
      <c r="G32" s="51" t="inlineStr"/>
      <c r="H32" s="50" t="inlineStr"/>
    </row>
    <row r="33" ht="22" customHeight="1">
      <c r="B33" s="8" t="n">
        <v>6</v>
      </c>
      <c r="C33" s="9" t="inlineStr">
        <is>
          <t>MIC portal activities reported timely</t>
        </is>
      </c>
      <c r="D33" s="10" t="inlineStr">
        <is>
          <t>% reported on time</t>
        </is>
      </c>
      <c r="E33" s="10" t="inlineStr">
        <is>
          <t>3 points</t>
        </is>
      </c>
      <c r="F33" s="10" t="inlineStr"/>
      <c r="G33" s="10" t="inlineStr"/>
      <c r="H33" s="9" t="inlineStr"/>
    </row>
    <row r="34" ht="24" customHeight="1">
      <c r="B34" s="48" t="inlineStr">
        <is>
          <t>SUB-TOTAL POINTS CLAIMED</t>
        </is>
      </c>
      <c r="G34" s="43" t="inlineStr"/>
    </row>
    <row r="35" ht="22" customHeight="1"/>
    <row r="36" ht="24" customHeight="1">
      <c r="B36" s="52" t="inlineStr">
        <is>
          <t>BUCKET 4: ORGANISATION OF COMPETITIONS (15 Points)</t>
        </is>
      </c>
    </row>
    <row r="37" ht="22" customHeight="1">
      <c r="B37" s="63" t="inlineStr">
        <is>
          <t>Sl.</t>
        </is>
      </c>
      <c r="C37" s="63" t="inlineStr">
        <is>
          <t>Assessment Parameter</t>
        </is>
      </c>
      <c r="D37" s="63" t="inlineStr">
        <is>
          <t>Evidence Metric</t>
        </is>
      </c>
      <c r="E37" s="63" t="inlineStr">
        <is>
          <t>MIC Points
Allocation</t>
        </is>
      </c>
      <c r="F37" s="63" t="inlineStr">
        <is>
          <t>Actual
Achievement</t>
        </is>
      </c>
      <c r="G37" s="63" t="inlineStr">
        <is>
          <t>Points
Claimed</t>
        </is>
      </c>
      <c r="H37" s="63" t="inlineStr">
        <is>
          <t>Evidence
Ref.</t>
        </is>
      </c>
    </row>
    <row r="38" ht="22" customHeight="1">
      <c r="B38" s="53" t="n">
        <v>1</v>
      </c>
      <c r="C38" s="54" t="inlineStr">
        <is>
          <t>Hackathons / Ideathons organised</t>
        </is>
      </c>
      <c r="D38" s="55" t="inlineStr">
        <is>
          <t>No. + participants</t>
        </is>
      </c>
      <c r="E38" s="55" t="inlineStr">
        <is>
          <t>5 points max</t>
        </is>
      </c>
      <c r="F38" s="55" t="inlineStr"/>
      <c r="G38" s="55" t="inlineStr"/>
      <c r="H38" s="54" t="inlineStr"/>
    </row>
    <row r="39" ht="22" customHeight="1">
      <c r="B39" s="8" t="n">
        <v>2</v>
      </c>
      <c r="C39" s="9" t="inlineStr">
        <is>
          <t>Innovation competitions (internal)</t>
        </is>
      </c>
      <c r="D39" s="10" t="inlineStr">
        <is>
          <t>No. + participants</t>
        </is>
      </c>
      <c r="E39" s="10" t="inlineStr">
        <is>
          <t>3 points max</t>
        </is>
      </c>
      <c r="F39" s="10" t="inlineStr"/>
      <c r="G39" s="10" t="inlineStr"/>
      <c r="H39" s="9" t="inlineStr"/>
    </row>
    <row r="40" ht="22" customHeight="1">
      <c r="B40" s="53" t="n">
        <v>3</v>
      </c>
      <c r="C40" s="54" t="inlineStr">
        <is>
          <t>Inter-institutional competitions organised</t>
        </is>
      </c>
      <c r="D40" s="55" t="inlineStr">
        <is>
          <t>No.</t>
        </is>
      </c>
      <c r="E40" s="55" t="inlineStr">
        <is>
          <t>3 points max</t>
        </is>
      </c>
      <c r="F40" s="55" t="inlineStr"/>
      <c r="G40" s="55" t="inlineStr"/>
      <c r="H40" s="54" t="inlineStr"/>
    </row>
    <row r="41" ht="22" customHeight="1">
      <c r="B41" s="8" t="n">
        <v>4</v>
      </c>
      <c r="C41" s="9" t="inlineStr">
        <is>
          <t>Participation in external competitions</t>
        </is>
      </c>
      <c r="D41" s="10" t="inlineStr">
        <is>
          <t>No. + awards</t>
        </is>
      </c>
      <c r="E41" s="10" t="inlineStr">
        <is>
          <t>4 points max</t>
        </is>
      </c>
      <c r="F41" s="10" t="inlineStr"/>
      <c r="G41" s="10" t="inlineStr"/>
      <c r="H41" s="9" t="inlineStr"/>
    </row>
    <row r="42" ht="24" customHeight="1">
      <c r="B42" s="52" t="inlineStr">
        <is>
          <t>SUB-TOTAL POINTS CLAIMED</t>
        </is>
      </c>
      <c r="G42" s="43" t="inlineStr"/>
    </row>
    <row r="43" ht="22" customHeight="1"/>
    <row r="44" ht="24" customHeight="1">
      <c r="B44" s="35" t="inlineStr">
        <is>
          <t>BUCKET 5: GOVERNANCE &amp; LEADERSHIP (15 Points)</t>
        </is>
      </c>
    </row>
    <row r="45" ht="22" customHeight="1">
      <c r="B45" s="31" t="inlineStr">
        <is>
          <t>Sl.</t>
        </is>
      </c>
      <c r="C45" s="31" t="inlineStr">
        <is>
          <t>Assessment Parameter</t>
        </is>
      </c>
      <c r="D45" s="31" t="inlineStr">
        <is>
          <t>Evidence Metric</t>
        </is>
      </c>
      <c r="E45" s="31" t="inlineStr">
        <is>
          <t>MIC Points
Allocation</t>
        </is>
      </c>
      <c r="F45" s="31" t="inlineStr">
        <is>
          <t>Actual
Achievement</t>
        </is>
      </c>
      <c r="G45" s="31" t="inlineStr">
        <is>
          <t>Points
Claimed</t>
        </is>
      </c>
      <c r="H45" s="31" t="inlineStr">
        <is>
          <t>Evidence
Ref.</t>
        </is>
      </c>
    </row>
    <row r="46" ht="22" customHeight="1">
      <c r="B46" s="32" t="n">
        <v>1</v>
      </c>
      <c r="C46" s="33" t="inlineStr">
        <is>
          <t>IIC constitution — members diversity &amp; industry reps</t>
        </is>
      </c>
      <c r="D46" s="34" t="inlineStr">
        <is>
          <t>Y/N + details</t>
        </is>
      </c>
      <c r="E46" s="34" t="inlineStr">
        <is>
          <t>3 points</t>
        </is>
      </c>
      <c r="F46" s="34" t="inlineStr"/>
      <c r="G46" s="34" t="inlineStr"/>
      <c r="H46" s="33" t="inlineStr"/>
    </row>
    <row r="47" ht="22" customHeight="1">
      <c r="B47" s="8" t="n">
        <v>2</v>
      </c>
      <c r="C47" s="9" t="inlineStr">
        <is>
          <t>IIC meetings held (minimum 4 per year)</t>
        </is>
      </c>
      <c r="D47" s="10" t="inlineStr">
        <is>
          <t>No. of meetings</t>
        </is>
      </c>
      <c r="E47" s="10" t="inlineStr">
        <is>
          <t>2 points max</t>
        </is>
      </c>
      <c r="F47" s="10" t="inlineStr"/>
      <c r="G47" s="10" t="inlineStr"/>
      <c r="H47" s="9" t="inlineStr"/>
    </row>
    <row r="48" ht="22" customHeight="1">
      <c r="B48" s="32" t="n">
        <v>3</v>
      </c>
      <c r="C48" s="33" t="inlineStr">
        <is>
          <t>Faculty innovation FDP participation</t>
        </is>
      </c>
      <c r="D48" s="34" t="inlineStr">
        <is>
          <t>No. of faculty</t>
        </is>
      </c>
      <c r="E48" s="34" t="inlineStr">
        <is>
          <t>2 points max</t>
        </is>
      </c>
      <c r="F48" s="34" t="inlineStr"/>
      <c r="G48" s="34" t="inlineStr"/>
      <c r="H48" s="33" t="inlineStr"/>
    </row>
    <row r="49" ht="22" customHeight="1">
      <c r="B49" s="8" t="n">
        <v>4</v>
      </c>
      <c r="C49" s="9" t="inlineStr">
        <is>
          <t>Budget allocated for innovation activities</t>
        </is>
      </c>
      <c r="D49" s="10" t="inlineStr">
        <is>
          <t>₹ allocated</t>
        </is>
      </c>
      <c r="E49" s="10" t="inlineStr">
        <is>
          <t>2 points</t>
        </is>
      </c>
      <c r="F49" s="10" t="inlineStr"/>
      <c r="G49" s="10" t="inlineStr"/>
      <c r="H49" s="9" t="inlineStr"/>
    </row>
    <row r="50" ht="22" customHeight="1">
      <c r="B50" s="32" t="n">
        <v>5</v>
      </c>
      <c r="C50" s="33" t="inlineStr">
        <is>
          <t>Collaboration with external incubators / TBIs</t>
        </is>
      </c>
      <c r="D50" s="34" t="inlineStr">
        <is>
          <t>No. of linkages</t>
        </is>
      </c>
      <c r="E50" s="34" t="inlineStr">
        <is>
          <t>3 points</t>
        </is>
      </c>
      <c r="F50" s="34" t="inlineStr"/>
      <c r="G50" s="34" t="inlineStr"/>
      <c r="H50" s="33" t="inlineStr"/>
    </row>
    <row r="51" ht="22" customHeight="1">
      <c r="B51" s="8" t="n">
        <v>6</v>
      </c>
      <c r="C51" s="9" t="inlineStr">
        <is>
          <t>ARIIA / NIRF Innovation Ranking participation</t>
        </is>
      </c>
      <c r="D51" s="10" t="inlineStr">
        <is>
          <t>Rank / Score</t>
        </is>
      </c>
      <c r="E51" s="10" t="inlineStr">
        <is>
          <t>3 points max</t>
        </is>
      </c>
      <c r="F51" s="10" t="inlineStr"/>
      <c r="G51" s="10" t="inlineStr"/>
      <c r="H51" s="9" t="inlineStr"/>
    </row>
    <row r="52" ht="24" customHeight="1">
      <c r="B52" s="35" t="inlineStr">
        <is>
          <t>SUB-TOTAL POINTS CLAIMED</t>
        </is>
      </c>
      <c r="G52" s="43" t="inlineStr"/>
    </row>
    <row r="53" ht="22" customHeight="1"/>
    <row r="54" ht="22" customHeight="1"/>
    <row r="55" ht="22" customHeight="1"/>
    <row r="56" ht="22" customHeight="1"/>
    <row r="57" ht="22" customHeight="1"/>
  </sheetData>
  <mergeCells count="17">
    <mergeCell ref="B36:H36"/>
    <mergeCell ref="G34:H34"/>
    <mergeCell ref="B26:H26"/>
    <mergeCell ref="B24:F24"/>
    <mergeCell ref="G24:H24"/>
    <mergeCell ref="B34:F34"/>
    <mergeCell ref="G52:H52"/>
    <mergeCell ref="B4:H4"/>
    <mergeCell ref="B42:F42"/>
    <mergeCell ref="G42:H42"/>
    <mergeCell ref="B44:H44"/>
    <mergeCell ref="B2:H2"/>
    <mergeCell ref="B15:H15"/>
    <mergeCell ref="G13:H13"/>
    <mergeCell ref="B3:H3"/>
    <mergeCell ref="B13:F13"/>
    <mergeCell ref="B52:F5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IIC-30: SOCIAL INNOVATION &amp; SDG MAPPING REGISTER</t>
        </is>
      </c>
    </row>
    <row r="3" ht="25" customHeight="1">
      <c r="B3" s="2" t="inlineStr">
        <is>
          <t>Calendar Year: _______  IIC Coordinator: ___________________  NAAC Ref.: Criterion III.4 / VII.2</t>
        </is>
      </c>
    </row>
    <row r="4" ht="25" customHeight="1">
      <c r="B4" s="13" t="inlineStr">
        <is>
          <t>Innovation
Ref.</t>
        </is>
      </c>
      <c r="C4" s="13" t="inlineStr">
        <is>
          <t>Innovation / Startup Name</t>
        </is>
      </c>
      <c r="D4" s="13" t="inlineStr">
        <is>
          <t>Primary
SDG</t>
        </is>
      </c>
      <c r="E4" s="13" t="inlineStr">
        <is>
          <t>Secondary
SDG</t>
        </is>
      </c>
      <c r="F4" s="13" t="inlineStr">
        <is>
          <t>Problem
Addressed</t>
        </is>
      </c>
      <c r="G4" s="13" t="inlineStr">
        <is>
          <t>Beneficiaries
Reached</t>
        </is>
      </c>
      <c r="H4" s="13" t="inlineStr">
        <is>
          <t>Social
Value (₹L)</t>
        </is>
      </c>
      <c r="I4" s="13" t="inlineStr">
        <is>
          <t>Stage</t>
        </is>
      </c>
      <c r="J4" s="13" t="inlineStr">
        <is>
          <t>Recognition /
Award</t>
        </is>
      </c>
    </row>
    <row r="5" ht="24" customHeight="1">
      <c r="B5" s="14" t="inlineStr">
        <is>
          <t>SI/001</t>
        </is>
      </c>
      <c r="C5" s="15" t="inlineStr"/>
      <c r="D5" s="16" t="inlineStr">
        <is>
          <t>SDG 1</t>
        </is>
      </c>
      <c r="E5" s="16" t="inlineStr">
        <is>
          <t>SDG 4</t>
        </is>
      </c>
      <c r="F5" s="15" t="inlineStr"/>
      <c r="G5" s="16" t="inlineStr"/>
      <c r="H5" s="16" t="inlineStr"/>
      <c r="I5" s="16" t="inlineStr">
        <is>
          <t>Prototype</t>
        </is>
      </c>
      <c r="J5" s="15" t="inlineStr"/>
    </row>
    <row r="6" ht="24" customHeight="1">
      <c r="B6" s="8" t="inlineStr">
        <is>
          <t>SI/002</t>
        </is>
      </c>
      <c r="C6" s="9" t="inlineStr"/>
      <c r="D6" s="10" t="inlineStr">
        <is>
          <t>SDG 2</t>
        </is>
      </c>
      <c r="E6" s="10" t="inlineStr">
        <is>
          <t>SDG 5</t>
        </is>
      </c>
      <c r="F6" s="9" t="inlineStr"/>
      <c r="G6" s="10" t="inlineStr"/>
      <c r="H6" s="10" t="inlineStr"/>
      <c r="I6" s="10" t="inlineStr">
        <is>
          <t>Prototype</t>
        </is>
      </c>
      <c r="J6" s="9" t="inlineStr"/>
    </row>
    <row r="7" ht="24" customHeight="1">
      <c r="B7" s="14" t="inlineStr">
        <is>
          <t>SI/003</t>
        </is>
      </c>
      <c r="C7" s="15" t="inlineStr"/>
      <c r="D7" s="16" t="inlineStr">
        <is>
          <t>SDG 3</t>
        </is>
      </c>
      <c r="E7" s="16" t="inlineStr">
        <is>
          <t>SDG 6</t>
        </is>
      </c>
      <c r="F7" s="15" t="inlineStr"/>
      <c r="G7" s="16" t="inlineStr"/>
      <c r="H7" s="16" t="inlineStr"/>
      <c r="I7" s="16" t="inlineStr">
        <is>
          <t>Prototype</t>
        </is>
      </c>
      <c r="J7" s="15" t="inlineStr"/>
    </row>
    <row r="8" ht="24" customHeight="1">
      <c r="B8" s="8" t="inlineStr">
        <is>
          <t>SI/004</t>
        </is>
      </c>
      <c r="C8" s="9" t="inlineStr"/>
      <c r="D8" s="10" t="inlineStr">
        <is>
          <t>SDG 4</t>
        </is>
      </c>
      <c r="E8" s="10" t="inlineStr">
        <is>
          <t>SDG 7</t>
        </is>
      </c>
      <c r="F8" s="9" t="inlineStr"/>
      <c r="G8" s="10" t="inlineStr"/>
      <c r="H8" s="10" t="inlineStr"/>
      <c r="I8" s="10" t="inlineStr">
        <is>
          <t>Prototype</t>
        </is>
      </c>
      <c r="J8" s="9" t="inlineStr"/>
    </row>
    <row r="9" ht="24" customHeight="1">
      <c r="B9" s="14" t="inlineStr">
        <is>
          <t>SI/005</t>
        </is>
      </c>
      <c r="C9" s="15" t="inlineStr"/>
      <c r="D9" s="16" t="inlineStr">
        <is>
          <t>SDG 5</t>
        </is>
      </c>
      <c r="E9" s="16" t="inlineStr">
        <is>
          <t>SDG 8</t>
        </is>
      </c>
      <c r="F9" s="15" t="inlineStr"/>
      <c r="G9" s="16" t="inlineStr"/>
      <c r="H9" s="16" t="inlineStr"/>
      <c r="I9" s="16" t="inlineStr">
        <is>
          <t>Prototype</t>
        </is>
      </c>
      <c r="J9" s="15" t="inlineStr"/>
    </row>
    <row r="10" ht="24" customHeight="1">
      <c r="B10" s="8" t="inlineStr">
        <is>
          <t>SI/006</t>
        </is>
      </c>
      <c r="C10" s="9" t="inlineStr"/>
      <c r="D10" s="10" t="inlineStr">
        <is>
          <t>SDG 6</t>
        </is>
      </c>
      <c r="E10" s="10" t="inlineStr">
        <is>
          <t>SDG 9</t>
        </is>
      </c>
      <c r="F10" s="9" t="inlineStr"/>
      <c r="G10" s="10" t="inlineStr"/>
      <c r="H10" s="10" t="inlineStr"/>
      <c r="I10" s="10" t="inlineStr">
        <is>
          <t>Prototype</t>
        </is>
      </c>
      <c r="J10" s="9" t="inlineStr"/>
    </row>
    <row r="11" ht="24" customHeight="1">
      <c r="B11" s="14" t="inlineStr">
        <is>
          <t>SI/007</t>
        </is>
      </c>
      <c r="C11" s="15" t="inlineStr"/>
      <c r="D11" s="16" t="inlineStr">
        <is>
          <t>SDG 7</t>
        </is>
      </c>
      <c r="E11" s="16" t="inlineStr">
        <is>
          <t>SDG 10</t>
        </is>
      </c>
      <c r="F11" s="15" t="inlineStr"/>
      <c r="G11" s="16" t="inlineStr"/>
      <c r="H11" s="16" t="inlineStr"/>
      <c r="I11" s="16" t="inlineStr">
        <is>
          <t>Prototype</t>
        </is>
      </c>
      <c r="J11" s="15" t="inlineStr"/>
    </row>
    <row r="12" ht="24" customHeight="1">
      <c r="B12" s="8" t="inlineStr">
        <is>
          <t>SI/008</t>
        </is>
      </c>
      <c r="C12" s="9" t="inlineStr"/>
      <c r="D12" s="10" t="inlineStr">
        <is>
          <t>SDG 8</t>
        </is>
      </c>
      <c r="E12" s="10" t="inlineStr">
        <is>
          <t>SDG 11</t>
        </is>
      </c>
      <c r="F12" s="9" t="inlineStr"/>
      <c r="G12" s="10" t="inlineStr"/>
      <c r="H12" s="10" t="inlineStr"/>
      <c r="I12" s="10" t="inlineStr">
        <is>
          <t>Prototype</t>
        </is>
      </c>
      <c r="J12" s="9" t="inlineStr"/>
    </row>
    <row r="13" ht="24" customHeight="1">
      <c r="B13" s="14" t="inlineStr">
        <is>
          <t>SI/009</t>
        </is>
      </c>
      <c r="C13" s="15" t="inlineStr"/>
      <c r="D13" s="16" t="inlineStr">
        <is>
          <t>SDG 9</t>
        </is>
      </c>
      <c r="E13" s="16" t="inlineStr">
        <is>
          <t>SDG 12</t>
        </is>
      </c>
      <c r="F13" s="15" t="inlineStr"/>
      <c r="G13" s="16" t="inlineStr"/>
      <c r="H13" s="16" t="inlineStr"/>
      <c r="I13" s="16" t="inlineStr">
        <is>
          <t>Prototype</t>
        </is>
      </c>
      <c r="J13" s="15" t="inlineStr"/>
    </row>
    <row r="14" ht="24" customHeight="1">
      <c r="B14" s="8" t="inlineStr">
        <is>
          <t>SI/010</t>
        </is>
      </c>
      <c r="C14" s="9" t="inlineStr"/>
      <c r="D14" s="10" t="inlineStr">
        <is>
          <t>SDG 10</t>
        </is>
      </c>
      <c r="E14" s="10" t="inlineStr">
        <is>
          <t>SDG 13</t>
        </is>
      </c>
      <c r="F14" s="9" t="inlineStr"/>
      <c r="G14" s="10" t="inlineStr"/>
      <c r="H14" s="10" t="inlineStr"/>
      <c r="I14" s="10" t="inlineStr">
        <is>
          <t>Prototype</t>
        </is>
      </c>
      <c r="J14" s="9" t="inlineStr"/>
    </row>
    <row r="15" ht="24" customHeight="1">
      <c r="B15" s="14" t="inlineStr">
        <is>
          <t>SI/011</t>
        </is>
      </c>
      <c r="C15" s="15" t="inlineStr"/>
      <c r="D15" s="16" t="inlineStr">
        <is>
          <t>SDG 11</t>
        </is>
      </c>
      <c r="E15" s="16" t="inlineStr">
        <is>
          <t>SDG 14</t>
        </is>
      </c>
      <c r="F15" s="15" t="inlineStr"/>
      <c r="G15" s="16" t="inlineStr"/>
      <c r="H15" s="16" t="inlineStr"/>
      <c r="I15" s="16" t="inlineStr">
        <is>
          <t>Prototype</t>
        </is>
      </c>
      <c r="J15" s="15" t="inlineStr"/>
    </row>
    <row r="16" ht="24" customHeight="1">
      <c r="B16" s="8" t="inlineStr">
        <is>
          <t>SI/012</t>
        </is>
      </c>
      <c r="C16" s="9" t="inlineStr"/>
      <c r="D16" s="10" t="inlineStr">
        <is>
          <t>SDG 12</t>
        </is>
      </c>
      <c r="E16" s="10" t="inlineStr">
        <is>
          <t>SDG 15</t>
        </is>
      </c>
      <c r="F16" s="9" t="inlineStr"/>
      <c r="G16" s="10" t="inlineStr"/>
      <c r="H16" s="10" t="inlineStr"/>
      <c r="I16" s="10" t="inlineStr">
        <is>
          <t>Prototype</t>
        </is>
      </c>
      <c r="J16" s="9" t="inlineStr"/>
    </row>
    <row r="17" ht="24" customHeight="1">
      <c r="B17" s="14" t="inlineStr">
        <is>
          <t>SI/013</t>
        </is>
      </c>
      <c r="C17" s="15" t="inlineStr"/>
      <c r="D17" s="16" t="inlineStr">
        <is>
          <t>SDG 13</t>
        </is>
      </c>
      <c r="E17" s="16" t="inlineStr">
        <is>
          <t>SDG 16</t>
        </is>
      </c>
      <c r="F17" s="15" t="inlineStr"/>
      <c r="G17" s="16" t="inlineStr"/>
      <c r="H17" s="16" t="inlineStr"/>
      <c r="I17" s="16" t="inlineStr">
        <is>
          <t>Prototype</t>
        </is>
      </c>
      <c r="J17" s="15" t="inlineStr"/>
    </row>
    <row r="18" ht="24" customHeight="1">
      <c r="B18" s="8" t="inlineStr">
        <is>
          <t>SI/014</t>
        </is>
      </c>
      <c r="C18" s="9" t="inlineStr"/>
      <c r="D18" s="10" t="inlineStr">
        <is>
          <t>SDG 14</t>
        </is>
      </c>
      <c r="E18" s="10" t="inlineStr">
        <is>
          <t>SDG 17</t>
        </is>
      </c>
      <c r="F18" s="9" t="inlineStr"/>
      <c r="G18" s="10" t="inlineStr"/>
      <c r="H18" s="10" t="inlineStr"/>
      <c r="I18" s="10" t="inlineStr">
        <is>
          <t>Prototype</t>
        </is>
      </c>
      <c r="J18" s="9" t="inlineStr"/>
    </row>
    <row r="19" ht="24" customHeight="1">
      <c r="B19" s="14" t="inlineStr">
        <is>
          <t>SI/015</t>
        </is>
      </c>
      <c r="C19" s="15" t="inlineStr"/>
      <c r="D19" s="16" t="inlineStr">
        <is>
          <t>SDG 15</t>
        </is>
      </c>
      <c r="E19" s="16" t="inlineStr">
        <is>
          <t>SDG 1</t>
        </is>
      </c>
      <c r="F19" s="15" t="inlineStr"/>
      <c r="G19" s="16" t="inlineStr"/>
      <c r="H19" s="16" t="inlineStr"/>
      <c r="I19" s="16" t="inlineStr">
        <is>
          <t>Prototype</t>
        </is>
      </c>
      <c r="J19" s="15" t="inlineStr"/>
    </row>
    <row r="20" ht="24" customHeight="1">
      <c r="B20" s="8" t="inlineStr">
        <is>
          <t>SI/016</t>
        </is>
      </c>
      <c r="C20" s="9" t="inlineStr"/>
      <c r="D20" s="10" t="inlineStr">
        <is>
          <t>SDG 16</t>
        </is>
      </c>
      <c r="E20" s="10" t="inlineStr">
        <is>
          <t>SDG 2</t>
        </is>
      </c>
      <c r="F20" s="9" t="inlineStr"/>
      <c r="G20" s="10" t="inlineStr"/>
      <c r="H20" s="10" t="inlineStr"/>
      <c r="I20" s="10" t="inlineStr">
        <is>
          <t>Prototype</t>
        </is>
      </c>
      <c r="J20" s="9" t="inlineStr"/>
    </row>
    <row r="21" ht="24" customHeight="1">
      <c r="B21" s="14" t="inlineStr">
        <is>
          <t>SI/017</t>
        </is>
      </c>
      <c r="C21" s="15" t="inlineStr"/>
      <c r="D21" s="16" t="inlineStr">
        <is>
          <t>SDG 17</t>
        </is>
      </c>
      <c r="E21" s="16" t="inlineStr">
        <is>
          <t>SDG 3</t>
        </is>
      </c>
      <c r="F21" s="15" t="inlineStr"/>
      <c r="G21" s="16" t="inlineStr"/>
      <c r="H21" s="16" t="inlineStr"/>
      <c r="I21" s="16" t="inlineStr">
        <is>
          <t>Prototype</t>
        </is>
      </c>
      <c r="J21" s="15" t="inlineStr"/>
    </row>
    <row r="22" ht="24" customHeight="1">
      <c r="B22" s="8" t="inlineStr">
        <is>
          <t>SI/018</t>
        </is>
      </c>
      <c r="C22" s="9" t="inlineStr"/>
      <c r="D22" s="10" t="inlineStr">
        <is>
          <t>SDG 1</t>
        </is>
      </c>
      <c r="E22" s="10" t="inlineStr">
        <is>
          <t>SDG 4</t>
        </is>
      </c>
      <c r="F22" s="9" t="inlineStr"/>
      <c r="G22" s="10" t="inlineStr"/>
      <c r="H22" s="10" t="inlineStr"/>
      <c r="I22" s="10" t="inlineStr">
        <is>
          <t>Prototype</t>
        </is>
      </c>
      <c r="J22" s="9" t="inlineStr"/>
    </row>
    <row r="23" ht="24" customHeight="1">
      <c r="B23" s="14" t="inlineStr">
        <is>
          <t>SI/019</t>
        </is>
      </c>
      <c r="C23" s="15" t="inlineStr"/>
      <c r="D23" s="16" t="inlineStr">
        <is>
          <t>SDG 2</t>
        </is>
      </c>
      <c r="E23" s="16" t="inlineStr">
        <is>
          <t>SDG 5</t>
        </is>
      </c>
      <c r="F23" s="15" t="inlineStr"/>
      <c r="G23" s="16" t="inlineStr"/>
      <c r="H23" s="16" t="inlineStr"/>
      <c r="I23" s="16" t="inlineStr">
        <is>
          <t>Prototype</t>
        </is>
      </c>
      <c r="J23" s="15" t="inlineStr"/>
    </row>
    <row r="24" ht="24" customHeight="1">
      <c r="B24" s="8" t="inlineStr">
        <is>
          <t>SI/020</t>
        </is>
      </c>
      <c r="C24" s="9" t="inlineStr"/>
      <c r="D24" s="10" t="inlineStr">
        <is>
          <t>SDG 3</t>
        </is>
      </c>
      <c r="E24" s="10" t="inlineStr">
        <is>
          <t>SDG 6</t>
        </is>
      </c>
      <c r="F24" s="9" t="inlineStr"/>
      <c r="G24" s="10" t="inlineStr"/>
      <c r="H24" s="10" t="inlineStr"/>
      <c r="I24" s="10" t="inlineStr">
        <is>
          <t>Prototype</t>
        </is>
      </c>
      <c r="J24" s="9" t="inlineStr"/>
    </row>
    <row r="25" ht="24" customHeight="1"/>
    <row r="26" ht="24" customHeight="1">
      <c r="B26" s="35" t="inlineStr">
        <is>
          <t>SDG PORTFOLIO SUMMARY</t>
        </is>
      </c>
    </row>
    <row r="27" ht="24" customHeight="1">
      <c r="B27" s="31" t="inlineStr">
        <is>
          <t>SDG</t>
        </is>
      </c>
      <c r="C27" s="31" t="inlineStr">
        <is>
          <t>SDG Title</t>
        </is>
      </c>
      <c r="D27" s="31" t="inlineStr">
        <is>
          <t>No. of
Innovations</t>
        </is>
      </c>
      <c r="E27" s="31" t="inlineStr">
        <is>
          <t>Beneficiaries
Reached</t>
        </is>
      </c>
      <c r="F27" s="31" t="inlineStr">
        <is>
          <t>Best
Innovation</t>
        </is>
      </c>
      <c r="G27" s="31" t="inlineStr">
        <is>
          <t>Award /
Recognition</t>
        </is>
      </c>
    </row>
    <row r="28" ht="24" customHeight="1">
      <c r="B28" s="32" t="inlineStr">
        <is>
          <t>SDG 1</t>
        </is>
      </c>
      <c r="C28" s="33" t="inlineStr">
        <is>
          <t>No Poverty</t>
        </is>
      </c>
      <c r="D28" s="34" t="inlineStr"/>
      <c r="E28" s="34" t="inlineStr"/>
      <c r="F28" s="33" t="inlineStr"/>
      <c r="G28" s="33" t="inlineStr"/>
      <c r="H28" s="58" t="n"/>
      <c r="I28" s="58" t="n"/>
      <c r="J28" s="58" t="n"/>
    </row>
    <row r="29" ht="24" customHeight="1">
      <c r="B29" s="8" t="inlineStr">
        <is>
          <t>SDG 2</t>
        </is>
      </c>
      <c r="C29" s="9" t="inlineStr">
        <is>
          <t>Zero Hunger</t>
        </is>
      </c>
      <c r="D29" s="10" t="inlineStr"/>
      <c r="E29" s="10" t="inlineStr"/>
      <c r="F29" s="9" t="inlineStr"/>
      <c r="G29" s="9" t="inlineStr"/>
      <c r="H29" s="59" t="n"/>
      <c r="I29" s="59" t="n"/>
      <c r="J29" s="59" t="n"/>
    </row>
    <row r="30" ht="24" customHeight="1">
      <c r="B30" s="32" t="inlineStr">
        <is>
          <t>SDG 3</t>
        </is>
      </c>
      <c r="C30" s="33" t="inlineStr">
        <is>
          <t>Good Health</t>
        </is>
      </c>
      <c r="D30" s="34" t="inlineStr"/>
      <c r="E30" s="34" t="inlineStr"/>
      <c r="F30" s="33" t="inlineStr"/>
      <c r="G30" s="33" t="inlineStr"/>
      <c r="H30" s="58" t="n"/>
      <c r="I30" s="58" t="n"/>
      <c r="J30" s="58" t="n"/>
    </row>
    <row r="31" ht="24" customHeight="1">
      <c r="B31" s="8" t="inlineStr">
        <is>
          <t>SDG 4</t>
        </is>
      </c>
      <c r="C31" s="9" t="inlineStr">
        <is>
          <t>Quality Education</t>
        </is>
      </c>
      <c r="D31" s="10" t="inlineStr"/>
      <c r="E31" s="10" t="inlineStr"/>
      <c r="F31" s="9" t="inlineStr"/>
      <c r="G31" s="9" t="inlineStr"/>
      <c r="H31" s="59" t="n"/>
      <c r="I31" s="59" t="n"/>
      <c r="J31" s="59" t="n"/>
    </row>
    <row r="32" ht="24" customHeight="1">
      <c r="B32" s="32" t="inlineStr">
        <is>
          <t>SDG 5</t>
        </is>
      </c>
      <c r="C32" s="33" t="inlineStr">
        <is>
          <t>Gender Equality</t>
        </is>
      </c>
      <c r="D32" s="34" t="inlineStr"/>
      <c r="E32" s="34" t="inlineStr"/>
      <c r="F32" s="33" t="inlineStr"/>
      <c r="G32" s="33" t="inlineStr"/>
      <c r="H32" s="58" t="n"/>
      <c r="I32" s="58" t="n"/>
      <c r="J32" s="58" t="n"/>
    </row>
    <row r="33" ht="24" customHeight="1">
      <c r="B33" s="8" t="inlineStr">
        <is>
          <t>SDG 6</t>
        </is>
      </c>
      <c r="C33" s="9" t="inlineStr">
        <is>
          <t>Clean Water</t>
        </is>
      </c>
      <c r="D33" s="10" t="inlineStr"/>
      <c r="E33" s="10" t="inlineStr"/>
      <c r="F33" s="9" t="inlineStr"/>
      <c r="G33" s="9" t="inlineStr"/>
      <c r="H33" s="59" t="n"/>
      <c r="I33" s="59" t="n"/>
      <c r="J33" s="59" t="n"/>
    </row>
    <row r="34" ht="24" customHeight="1">
      <c r="B34" s="32" t="inlineStr">
        <is>
          <t>SDG 7</t>
        </is>
      </c>
      <c r="C34" s="33" t="inlineStr">
        <is>
          <t>Clean Energy</t>
        </is>
      </c>
      <c r="D34" s="34" t="inlineStr"/>
      <c r="E34" s="34" t="inlineStr"/>
      <c r="F34" s="33" t="inlineStr"/>
      <c r="G34" s="33" t="inlineStr"/>
      <c r="H34" s="58" t="n"/>
      <c r="I34" s="58" t="n"/>
      <c r="J34" s="58" t="n"/>
    </row>
    <row r="35" ht="24" customHeight="1">
      <c r="B35" s="8" t="inlineStr">
        <is>
          <t>SDG 9</t>
        </is>
      </c>
      <c r="C35" s="9" t="inlineStr">
        <is>
          <t>Industry &amp; Innovation</t>
        </is>
      </c>
      <c r="D35" s="10" t="inlineStr"/>
      <c r="E35" s="10" t="inlineStr"/>
      <c r="F35" s="9" t="inlineStr"/>
      <c r="G35" s="9" t="inlineStr"/>
      <c r="H35" s="59" t="n"/>
      <c r="I35" s="59" t="n"/>
      <c r="J35" s="59" t="n"/>
    </row>
    <row r="36" ht="24" customHeight="1">
      <c r="B36" s="32" t="inlineStr">
        <is>
          <t>SDG 10</t>
        </is>
      </c>
      <c r="C36" s="33" t="inlineStr">
        <is>
          <t>Reduced Inequality</t>
        </is>
      </c>
      <c r="D36" s="34" t="inlineStr"/>
      <c r="E36" s="34" t="inlineStr"/>
      <c r="F36" s="33" t="inlineStr"/>
      <c r="G36" s="33" t="inlineStr"/>
      <c r="H36" s="58" t="n"/>
      <c r="I36" s="58" t="n"/>
      <c r="J36" s="58" t="n"/>
    </row>
    <row r="37" ht="24" customHeight="1">
      <c r="B37" s="8" t="inlineStr">
        <is>
          <t>SDG 11</t>
        </is>
      </c>
      <c r="C37" s="9" t="inlineStr">
        <is>
          <t>Sustainable Cities</t>
        </is>
      </c>
      <c r="D37" s="10" t="inlineStr"/>
      <c r="E37" s="10" t="inlineStr"/>
      <c r="F37" s="9" t="inlineStr"/>
      <c r="G37" s="9" t="inlineStr"/>
      <c r="H37" s="59" t="n"/>
      <c r="I37" s="59" t="n"/>
      <c r="J37" s="59" t="n"/>
    </row>
    <row r="38" ht="24" customHeight="1">
      <c r="B38" s="32" t="inlineStr">
        <is>
          <t>SDG 13</t>
        </is>
      </c>
      <c r="C38" s="33" t="inlineStr">
        <is>
          <t>Climate Action</t>
        </is>
      </c>
      <c r="D38" s="34" t="inlineStr"/>
      <c r="E38" s="34" t="inlineStr"/>
      <c r="F38" s="33" t="inlineStr"/>
      <c r="G38" s="33" t="inlineStr"/>
      <c r="H38" s="58" t="n"/>
      <c r="I38" s="58" t="n"/>
      <c r="J38" s="58" t="n"/>
    </row>
    <row r="39" ht="24" customHeight="1">
      <c r="B39" s="8" t="inlineStr">
        <is>
          <t>SDG 17</t>
        </is>
      </c>
      <c r="C39" s="9" t="inlineStr">
        <is>
          <t>Partnerships</t>
        </is>
      </c>
      <c r="D39" s="10" t="inlineStr"/>
      <c r="E39" s="10" t="inlineStr"/>
      <c r="F39" s="9" t="inlineStr"/>
      <c r="G39" s="9" t="inlineStr"/>
      <c r="H39" s="59" t="n"/>
      <c r="I39" s="59" t="n"/>
      <c r="J39" s="59" t="n"/>
    </row>
    <row r="40" ht="24" customHeight="1"/>
    <row r="41" ht="24" customHeight="1"/>
  </sheetData>
  <mergeCells count="3">
    <mergeCell ref="B26:J26"/>
    <mergeCell ref="B3:J3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IIC-32: INSTITUTION'S INNOVATION CELL KPI DASHBOARD</t>
        </is>
      </c>
    </row>
    <row r="3" ht="25" customHeight="1">
      <c r="B3" s="2" t="inlineStr">
        <is>
          <t>Calendar Year: _______  Quarter: Q1/Q2/Q3/Q4  IIC Coordinator: ___________________  Date: _______</t>
        </is>
      </c>
    </row>
    <row r="4" ht="24" customHeight="1">
      <c r="B4" s="20" t="inlineStr">
        <is>
          <t>INNOVATION &amp; IDEATION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 Target</t>
        </is>
      </c>
      <c r="F5" s="13" t="inlineStr">
        <is>
          <t>Prev. Year Actual</t>
        </is>
      </c>
      <c r="G5" s="13" t="inlineStr">
        <is>
          <t>Q-to-Date 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Total innovation ideas submitted</t>
        </is>
      </c>
      <c r="D6" s="16" t="inlineStr">
        <is>
          <t>No. per year</t>
        </is>
      </c>
      <c r="E6" s="16" t="inlineStr">
        <is>
          <t>≥50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Ideas shortlisted / selected</t>
        </is>
      </c>
      <c r="D7" s="10" t="inlineStr">
        <is>
          <t>No.</t>
        </is>
      </c>
      <c r="E7" s="10" t="inlineStr">
        <is>
          <t>≥20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Idea-to-prototype conversion rate (%)</t>
        </is>
      </c>
      <c r="D8" s="16" t="inlineStr">
        <is>
          <t>% of submitted</t>
        </is>
      </c>
      <c r="E8" s="16" t="inlineStr">
        <is>
          <t>≥30%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Hackathons / ideathons conducted</t>
        </is>
      </c>
      <c r="D9" s="10" t="inlineStr">
        <is>
          <t>No. per year</t>
        </is>
      </c>
      <c r="E9" s="10" t="inlineStr">
        <is>
          <t>≥4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Total participants in innovation events</t>
        </is>
      </c>
      <c r="D10" s="16" t="inlineStr">
        <is>
          <t>No.</t>
        </is>
      </c>
      <c r="E10" s="16" t="inlineStr">
        <is>
          <t>≥500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Design thinking workshops</t>
        </is>
      </c>
      <c r="D11" s="10" t="inlineStr">
        <is>
          <t>No. per year</t>
        </is>
      </c>
      <c r="E11" s="10" t="inlineStr">
        <is>
          <t>≥4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Student innovation ambassadors active</t>
        </is>
      </c>
      <c r="D12" s="16" t="inlineStr">
        <is>
          <t>No.</t>
        </is>
      </c>
      <c r="E12" s="16" t="inlineStr">
        <is>
          <t>≥10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/>
    <row r="14" ht="24" customHeight="1">
      <c r="B14" s="44" t="inlineStr">
        <is>
          <t>PRE-INCUBATION &amp; STARTUP KPIs</t>
        </is>
      </c>
    </row>
    <row r="15" ht="22" customHeight="1">
      <c r="B15" s="61" t="inlineStr">
        <is>
          <t>Sl.</t>
        </is>
      </c>
      <c r="C15" s="61" t="inlineStr">
        <is>
          <t>Key Performance Indicator</t>
        </is>
      </c>
      <c r="D15" s="61" t="inlineStr">
        <is>
          <t>Unit</t>
        </is>
      </c>
      <c r="E15" s="61" t="inlineStr">
        <is>
          <t>Annual Target</t>
        </is>
      </c>
      <c r="F15" s="61" t="inlineStr">
        <is>
          <t>Prev. Year Actual</t>
        </is>
      </c>
      <c r="G15" s="61" t="inlineStr">
        <is>
          <t>Q-to-Date Actual</t>
        </is>
      </c>
      <c r="H15" s="61" t="inlineStr">
        <is>
          <t>Status</t>
        </is>
      </c>
      <c r="I15" s="61" t="inlineStr">
        <is>
          <t>Action Required</t>
        </is>
      </c>
    </row>
    <row r="16" ht="22" customHeight="1">
      <c r="B16" s="45" t="n">
        <v>1</v>
      </c>
      <c r="C16" s="46" t="inlineStr">
        <is>
          <t>Startups supported through IIC</t>
        </is>
      </c>
      <c r="D16" s="47" t="inlineStr">
        <is>
          <t>No. active</t>
        </is>
      </c>
      <c r="E16" s="47" t="inlineStr">
        <is>
          <t>≥10</t>
        </is>
      </c>
      <c r="F16" s="47" t="inlineStr"/>
      <c r="G16" s="47" t="inlineStr"/>
      <c r="H16" s="47" t="inlineStr">
        <is>
          <t>On Track</t>
        </is>
      </c>
      <c r="I16" s="46" t="inlineStr"/>
    </row>
    <row r="17" ht="22" customHeight="1">
      <c r="B17" s="8" t="n">
        <v>2</v>
      </c>
      <c r="C17" s="9" t="inlineStr">
        <is>
          <t>DPIIT-recognised startups</t>
        </is>
      </c>
      <c r="D17" s="10" t="inlineStr">
        <is>
          <t>No.</t>
        </is>
      </c>
      <c r="E17" s="10" t="inlineStr">
        <is>
          <t>≥5</t>
        </is>
      </c>
      <c r="F17" s="10" t="inlineStr"/>
      <c r="G17" s="10" t="inlineStr"/>
      <c r="H17" s="10" t="inlineStr">
        <is>
          <t>On Track</t>
        </is>
      </c>
      <c r="I17" s="9" t="inlineStr"/>
    </row>
    <row r="18" ht="22" customHeight="1">
      <c r="B18" s="45" t="n">
        <v>3</v>
      </c>
      <c r="C18" s="46" t="inlineStr">
        <is>
          <t>Startups with revenue</t>
        </is>
      </c>
      <c r="D18" s="47" t="inlineStr">
        <is>
          <t>No.</t>
        </is>
      </c>
      <c r="E18" s="47" t="inlineStr">
        <is>
          <t>≥3</t>
        </is>
      </c>
      <c r="F18" s="47" t="inlineStr"/>
      <c r="G18" s="47" t="inlineStr"/>
      <c r="H18" s="47" t="inlineStr">
        <is>
          <t>On Track</t>
        </is>
      </c>
      <c r="I18" s="46" t="inlineStr"/>
    </row>
    <row r="19" ht="22" customHeight="1">
      <c r="B19" s="8" t="n">
        <v>4</v>
      </c>
      <c r="C19" s="9" t="inlineStr">
        <is>
          <t>Total funding raised by startups (₹L)</t>
        </is>
      </c>
      <c r="D19" s="10" t="inlineStr">
        <is>
          <t>₹L</t>
        </is>
      </c>
      <c r="E19" s="10" t="inlineStr">
        <is>
          <t>≥20</t>
        </is>
      </c>
      <c r="F19" s="10" t="inlineStr"/>
      <c r="G19" s="10" t="inlineStr"/>
      <c r="H19" s="10" t="inlineStr">
        <is>
          <t>On Track</t>
        </is>
      </c>
      <c r="I19" s="9" t="inlineStr"/>
    </row>
    <row r="20" ht="22" customHeight="1">
      <c r="B20" s="45" t="n">
        <v>5</v>
      </c>
      <c r="C20" s="46" t="inlineStr">
        <is>
          <t>Pitch events / investor connects</t>
        </is>
      </c>
      <c r="D20" s="47" t="inlineStr">
        <is>
          <t>No. per year</t>
        </is>
      </c>
      <c r="E20" s="47" t="inlineStr">
        <is>
          <t>≥3</t>
        </is>
      </c>
      <c r="F20" s="47" t="inlineStr"/>
      <c r="G20" s="47" t="inlineStr"/>
      <c r="H20" s="47" t="inlineStr">
        <is>
          <t>On Track</t>
        </is>
      </c>
      <c r="I20" s="46" t="inlineStr"/>
    </row>
    <row r="21" ht="22" customHeight="1">
      <c r="B21" s="8" t="n">
        <v>6</v>
      </c>
      <c r="C21" s="9" t="inlineStr">
        <is>
          <t>Startups in external incubators</t>
        </is>
      </c>
      <c r="D21" s="10" t="inlineStr">
        <is>
          <t>No.</t>
        </is>
      </c>
      <c r="E21" s="10" t="inlineStr">
        <is>
          <t>≥2</t>
        </is>
      </c>
      <c r="F21" s="10" t="inlineStr"/>
      <c r="G21" s="10" t="inlineStr"/>
      <c r="H21" s="10" t="inlineStr">
        <is>
          <t>On Track</t>
        </is>
      </c>
      <c r="I21" s="9" t="inlineStr"/>
    </row>
    <row r="22" ht="22" customHeight="1">
      <c r="B22" s="45" t="n">
        <v>7</v>
      </c>
      <c r="C22" s="46" t="inlineStr">
        <is>
          <t>Startup graduation rate (%)</t>
        </is>
      </c>
      <c r="D22" s="47" t="inlineStr">
        <is>
          <t>% of cohort</t>
        </is>
      </c>
      <c r="E22" s="47" t="inlineStr">
        <is>
          <t>≥20%</t>
        </is>
      </c>
      <c r="F22" s="47" t="inlineStr"/>
      <c r="G22" s="47" t="inlineStr"/>
      <c r="H22" s="47" t="inlineStr">
        <is>
          <t>On Track</t>
        </is>
      </c>
      <c r="I22" s="46" t="inlineStr"/>
    </row>
    <row r="23" ht="22" customHeight="1"/>
    <row r="24" ht="24" customHeight="1">
      <c r="B24" s="48" t="inlineStr">
        <is>
          <t>IPR &amp; TECHNOLOGY KPIs</t>
        </is>
      </c>
    </row>
    <row r="25" ht="22" customHeight="1">
      <c r="B25" s="62" t="inlineStr">
        <is>
          <t>Sl.</t>
        </is>
      </c>
      <c r="C25" s="62" t="inlineStr">
        <is>
          <t>Key Performance Indicator</t>
        </is>
      </c>
      <c r="D25" s="62" t="inlineStr">
        <is>
          <t>Unit</t>
        </is>
      </c>
      <c r="E25" s="62" t="inlineStr">
        <is>
          <t>Annual Target</t>
        </is>
      </c>
      <c r="F25" s="62" t="inlineStr">
        <is>
          <t>Prev. Year Actual</t>
        </is>
      </c>
      <c r="G25" s="62" t="inlineStr">
        <is>
          <t>Q-to-Date Actual</t>
        </is>
      </c>
      <c r="H25" s="62" t="inlineStr">
        <is>
          <t>Status</t>
        </is>
      </c>
      <c r="I25" s="62" t="inlineStr">
        <is>
          <t>Action Required</t>
        </is>
      </c>
    </row>
    <row r="26" ht="22" customHeight="1">
      <c r="B26" s="49" t="n">
        <v>1</v>
      </c>
      <c r="C26" s="50" t="inlineStr">
        <is>
          <t>Patents filed with IIC support</t>
        </is>
      </c>
      <c r="D26" s="51" t="inlineStr">
        <is>
          <t>No. per year</t>
        </is>
      </c>
      <c r="E26" s="51" t="inlineStr">
        <is>
          <t>≥5</t>
        </is>
      </c>
      <c r="F26" s="51" t="inlineStr"/>
      <c r="G26" s="51" t="inlineStr"/>
      <c r="H26" s="51" t="inlineStr">
        <is>
          <t>On Track</t>
        </is>
      </c>
      <c r="I26" s="50" t="inlineStr"/>
    </row>
    <row r="27" ht="22" customHeight="1">
      <c r="B27" s="8" t="n">
        <v>2</v>
      </c>
      <c r="C27" s="9" t="inlineStr">
        <is>
          <t>Patents granted</t>
        </is>
      </c>
      <c r="D27" s="10" t="inlineStr">
        <is>
          <t>No.</t>
        </is>
      </c>
      <c r="E27" s="10" t="inlineStr">
        <is>
          <t>≥2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49" t="n">
        <v>3</v>
      </c>
      <c r="C28" s="50" t="inlineStr">
        <is>
          <t>TM / copyright / design filings</t>
        </is>
      </c>
      <c r="D28" s="51" t="inlineStr">
        <is>
          <t>No.</t>
        </is>
      </c>
      <c r="E28" s="51" t="inlineStr">
        <is>
          <t>≥5</t>
        </is>
      </c>
      <c r="F28" s="51" t="inlineStr"/>
      <c r="G28" s="51" t="inlineStr"/>
      <c r="H28" s="51" t="inlineStr">
        <is>
          <t>On Track</t>
        </is>
      </c>
      <c r="I28" s="50" t="inlineStr"/>
    </row>
    <row r="29" ht="22" customHeight="1">
      <c r="B29" s="8" t="n">
        <v>4</v>
      </c>
      <c r="C29" s="9" t="inlineStr">
        <is>
          <t>IPR awareness sessions conducted</t>
        </is>
      </c>
      <c r="D29" s="10" t="inlineStr">
        <is>
          <t>No.</t>
        </is>
      </c>
      <c r="E29" s="10" t="inlineStr">
        <is>
          <t>≥4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>
      <c r="B30" s="49" t="n">
        <v>5</v>
      </c>
      <c r="C30" s="50" t="inlineStr">
        <is>
          <t>Technology transfer deals</t>
        </is>
      </c>
      <c r="D30" s="51" t="inlineStr">
        <is>
          <t>No.</t>
        </is>
      </c>
      <c r="E30" s="51" t="inlineStr">
        <is>
          <t>≥1</t>
        </is>
      </c>
      <c r="F30" s="51" t="inlineStr"/>
      <c r="G30" s="51" t="inlineStr"/>
      <c r="H30" s="51" t="inlineStr">
        <is>
          <t>On Track</t>
        </is>
      </c>
      <c r="I30" s="50" t="inlineStr"/>
    </row>
    <row r="31" ht="22" customHeight="1">
      <c r="B31" s="8" t="n">
        <v>6</v>
      </c>
      <c r="C31" s="9" t="inlineStr">
        <is>
          <t>Revenue from technology licensing (₹L)</t>
        </is>
      </c>
      <c r="D31" s="10" t="inlineStr">
        <is>
          <t>₹L</t>
        </is>
      </c>
      <c r="E31" s="10" t="inlineStr">
        <is>
          <t>≥1</t>
        </is>
      </c>
      <c r="F31" s="10" t="inlineStr"/>
      <c r="G31" s="10" t="inlineStr"/>
      <c r="H31" s="10" t="inlineStr">
        <is>
          <t>On Track</t>
        </is>
      </c>
      <c r="I31" s="9" t="inlineStr"/>
    </row>
    <row r="32" ht="22" customHeight="1"/>
    <row r="33" ht="24" customHeight="1">
      <c r="B33" s="35" t="inlineStr">
        <is>
          <t>MIC PORTAL &amp; STAR RATING KPIs</t>
        </is>
      </c>
    </row>
    <row r="34" ht="22" customHeight="1">
      <c r="B34" s="31" t="inlineStr">
        <is>
          <t>Sl.</t>
        </is>
      </c>
      <c r="C34" s="31" t="inlineStr">
        <is>
          <t>Key Performance Indicator</t>
        </is>
      </c>
      <c r="D34" s="31" t="inlineStr">
        <is>
          <t>Unit</t>
        </is>
      </c>
      <c r="E34" s="31" t="inlineStr">
        <is>
          <t>Annual Target</t>
        </is>
      </c>
      <c r="F34" s="31" t="inlineStr">
        <is>
          <t>Prev. Year Actual</t>
        </is>
      </c>
      <c r="G34" s="31" t="inlineStr">
        <is>
          <t>Q-to-Date Actual</t>
        </is>
      </c>
      <c r="H34" s="31" t="inlineStr">
        <is>
          <t>Status</t>
        </is>
      </c>
      <c r="I34" s="31" t="inlineStr">
        <is>
          <t>Action Required</t>
        </is>
      </c>
    </row>
    <row r="35" ht="22" customHeight="1">
      <c r="B35" s="32" t="n">
        <v>1</v>
      </c>
      <c r="C35" s="33" t="inlineStr">
        <is>
          <t>MIC Star Rating achieved</t>
        </is>
      </c>
      <c r="D35" s="34" t="inlineStr">
        <is>
          <t>Stars (1–5)</t>
        </is>
      </c>
      <c r="E35" s="34" t="inlineStr">
        <is>
          <t>≥3 Stars</t>
        </is>
      </c>
      <c r="F35" s="34" t="inlineStr"/>
      <c r="G35" s="34" t="inlineStr"/>
      <c r="H35" s="34" t="inlineStr">
        <is>
          <t>On Track</t>
        </is>
      </c>
      <c r="I35" s="33" t="inlineStr"/>
    </row>
    <row r="36" ht="22" customHeight="1">
      <c r="B36" s="8" t="n">
        <v>2</v>
      </c>
      <c r="C36" s="9" t="inlineStr">
        <is>
          <t>MIC Portal activities reported on time (%)</t>
        </is>
      </c>
      <c r="D36" s="10" t="inlineStr">
        <is>
          <t>% on-time</t>
        </is>
      </c>
      <c r="E36" s="10" t="inlineStr">
        <is>
          <t>100%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32" t="n">
        <v>3</v>
      </c>
      <c r="C37" s="33" t="inlineStr">
        <is>
          <t>Total MIC points scored</t>
        </is>
      </c>
      <c r="D37" s="34" t="inlineStr">
        <is>
          <t>Points / 100</t>
        </is>
      </c>
      <c r="E37" s="34" t="inlineStr">
        <is>
          <t>≥70</t>
        </is>
      </c>
      <c r="F37" s="34" t="inlineStr"/>
      <c r="G37" s="34" t="inlineStr"/>
      <c r="H37" s="34" t="inlineStr">
        <is>
          <t>On Track</t>
        </is>
      </c>
      <c r="I37" s="33" t="inlineStr"/>
    </row>
    <row r="38" ht="22" customHeight="1">
      <c r="B38" s="8" t="n">
        <v>4</v>
      </c>
      <c r="C38" s="9" t="inlineStr">
        <is>
          <t>Activities per quarter (minimum)</t>
        </is>
      </c>
      <c r="D38" s="10" t="inlineStr">
        <is>
          <t>No. per quarter</t>
        </is>
      </c>
      <c r="E38" s="10" t="inlineStr">
        <is>
          <t>≥5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>
      <c r="B39" s="32" t="n">
        <v>5</v>
      </c>
      <c r="C39" s="33" t="inlineStr">
        <is>
          <t>SIH participation (teams)</t>
        </is>
      </c>
      <c r="D39" s="34" t="inlineStr">
        <is>
          <t>No. of teams</t>
        </is>
      </c>
      <c r="E39" s="34" t="inlineStr">
        <is>
          <t>≥5</t>
        </is>
      </c>
      <c r="F39" s="34" t="inlineStr"/>
      <c r="G39" s="34" t="inlineStr"/>
      <c r="H39" s="34" t="inlineStr">
        <is>
          <t>On Track</t>
        </is>
      </c>
      <c r="I39" s="33" t="inlineStr"/>
    </row>
    <row r="40" ht="22" customHeight="1">
      <c r="B40" s="8" t="n">
        <v>6</v>
      </c>
      <c r="C40" s="9" t="inlineStr">
        <is>
          <t>National programme participation</t>
        </is>
      </c>
      <c r="D40" s="10" t="inlineStr">
        <is>
          <t>No.</t>
        </is>
      </c>
      <c r="E40" s="10" t="inlineStr">
        <is>
          <t>≥3</t>
        </is>
      </c>
      <c r="F40" s="10" t="inlineStr"/>
      <c r="G40" s="10" t="inlineStr"/>
      <c r="H40" s="10" t="inlineStr">
        <is>
          <t>On Track</t>
        </is>
      </c>
      <c r="I40" s="9" t="inlineStr"/>
    </row>
    <row r="41" ht="22" customHeight="1"/>
    <row r="42" ht="24" customHeight="1">
      <c r="B42" s="52" t="inlineStr">
        <is>
          <t>INDUSTRY &amp; ECOSYSTEM KPIs</t>
        </is>
      </c>
    </row>
    <row r="43" ht="22" customHeight="1">
      <c r="B43" s="63" t="inlineStr">
        <is>
          <t>Sl.</t>
        </is>
      </c>
      <c r="C43" s="63" t="inlineStr">
        <is>
          <t>Key Performance Indicator</t>
        </is>
      </c>
      <c r="D43" s="63" t="inlineStr">
        <is>
          <t>Unit</t>
        </is>
      </c>
      <c r="E43" s="63" t="inlineStr">
        <is>
          <t>Annual Target</t>
        </is>
      </c>
      <c r="F43" s="63" t="inlineStr">
        <is>
          <t>Prev. Year Actual</t>
        </is>
      </c>
      <c r="G43" s="63" t="inlineStr">
        <is>
          <t>Q-to-Date Actual</t>
        </is>
      </c>
      <c r="H43" s="63" t="inlineStr">
        <is>
          <t>Status</t>
        </is>
      </c>
      <c r="I43" s="63" t="inlineStr">
        <is>
          <t>Action Required</t>
        </is>
      </c>
    </row>
    <row r="44" ht="22" customHeight="1">
      <c r="B44" s="53" t="n">
        <v>1</v>
      </c>
      <c r="C44" s="54" t="inlineStr">
        <is>
          <t>Industry experts / mentors engaged</t>
        </is>
      </c>
      <c r="D44" s="55" t="inlineStr">
        <is>
          <t>No. per year</t>
        </is>
      </c>
      <c r="E44" s="55" t="inlineStr">
        <is>
          <t>≥10</t>
        </is>
      </c>
      <c r="F44" s="55" t="inlineStr"/>
      <c r="G44" s="55" t="inlineStr"/>
      <c r="H44" s="55" t="inlineStr">
        <is>
          <t>On Track</t>
        </is>
      </c>
      <c r="I44" s="54" t="inlineStr"/>
    </row>
    <row r="45" ht="22" customHeight="1">
      <c r="B45" s="8" t="n">
        <v>2</v>
      </c>
      <c r="C45" s="9" t="inlineStr">
        <is>
          <t>Industry partnerships for innovation</t>
        </is>
      </c>
      <c r="D45" s="10" t="inlineStr">
        <is>
          <t>No. active MoUs</t>
        </is>
      </c>
      <c r="E45" s="10" t="inlineStr">
        <is>
          <t>≥5</t>
        </is>
      </c>
      <c r="F45" s="10" t="inlineStr"/>
      <c r="G45" s="10" t="inlineStr"/>
      <c r="H45" s="10" t="inlineStr">
        <is>
          <t>On Track</t>
        </is>
      </c>
      <c r="I45" s="9" t="inlineStr"/>
    </row>
    <row r="46" ht="22" customHeight="1">
      <c r="B46" s="53" t="n">
        <v>3</v>
      </c>
      <c r="C46" s="54" t="inlineStr">
        <is>
          <t>External incubator / TBI linkages</t>
        </is>
      </c>
      <c r="D46" s="55" t="inlineStr">
        <is>
          <t>No.</t>
        </is>
      </c>
      <c r="E46" s="55" t="inlineStr">
        <is>
          <t>≥2</t>
        </is>
      </c>
      <c r="F46" s="55" t="inlineStr"/>
      <c r="G46" s="55" t="inlineStr"/>
      <c r="H46" s="55" t="inlineStr">
        <is>
          <t>On Track</t>
        </is>
      </c>
      <c r="I46" s="54" t="inlineStr"/>
    </row>
    <row r="47" ht="22" customHeight="1">
      <c r="B47" s="8" t="n">
        <v>4</v>
      </c>
      <c r="C47" s="9" t="inlineStr">
        <is>
          <t>Alumni innovators mentoring</t>
        </is>
      </c>
      <c r="D47" s="10" t="inlineStr">
        <is>
          <t>No.</t>
        </is>
      </c>
      <c r="E47" s="10" t="inlineStr">
        <is>
          <t>≥5</t>
        </is>
      </c>
      <c r="F47" s="10" t="inlineStr"/>
      <c r="G47" s="10" t="inlineStr"/>
      <c r="H47" s="10" t="inlineStr">
        <is>
          <t>On Track</t>
        </is>
      </c>
      <c r="I47" s="9" t="inlineStr"/>
    </row>
    <row r="48" ht="22" customHeight="1">
      <c r="B48" s="53" t="n">
        <v>5</v>
      </c>
      <c r="C48" s="54" t="inlineStr">
        <is>
          <t>Industry-sponsored innovation challenges</t>
        </is>
      </c>
      <c r="D48" s="55" t="inlineStr">
        <is>
          <t>No.</t>
        </is>
      </c>
      <c r="E48" s="55" t="inlineStr">
        <is>
          <t>≥2</t>
        </is>
      </c>
      <c r="F48" s="55" t="inlineStr"/>
      <c r="G48" s="55" t="inlineStr"/>
      <c r="H48" s="55" t="inlineStr">
        <is>
          <t>On Track</t>
        </is>
      </c>
      <c r="I48" s="54" t="inlineStr"/>
    </row>
    <row r="49" ht="22" customHeight="1"/>
    <row r="50" ht="24" customHeight="1">
      <c r="B50" s="21" t="inlineStr">
        <is>
          <t>FACULTY &amp; OUTREACH KPIs</t>
        </is>
      </c>
    </row>
    <row r="51" ht="22" customHeight="1">
      <c r="B51" s="22" t="inlineStr">
        <is>
          <t>Sl.</t>
        </is>
      </c>
      <c r="C51" s="22" t="inlineStr">
        <is>
          <t>Key Performance Indicator</t>
        </is>
      </c>
      <c r="D51" s="22" t="inlineStr">
        <is>
          <t>Unit</t>
        </is>
      </c>
      <c r="E51" s="22" t="inlineStr">
        <is>
          <t>Annual Target</t>
        </is>
      </c>
      <c r="F51" s="22" t="inlineStr">
        <is>
          <t>Prev. Year Actual</t>
        </is>
      </c>
      <c r="G51" s="22" t="inlineStr">
        <is>
          <t>Q-to-Date Actual</t>
        </is>
      </c>
      <c r="H51" s="22" t="inlineStr">
        <is>
          <t>Status</t>
        </is>
      </c>
      <c r="I51" s="22" t="inlineStr">
        <is>
          <t>Action Required</t>
        </is>
      </c>
    </row>
    <row r="52" ht="22" customHeight="1">
      <c r="B52" s="60" t="n">
        <v>1</v>
      </c>
      <c r="C52" s="64" t="inlineStr">
        <is>
          <t>Faculty trained in innovation pedagogy</t>
        </is>
      </c>
      <c r="D52" s="23" t="inlineStr">
        <is>
          <t>No.</t>
        </is>
      </c>
      <c r="E52" s="23" t="inlineStr">
        <is>
          <t>≥20</t>
        </is>
      </c>
      <c r="F52" s="23" t="inlineStr"/>
      <c r="G52" s="23" t="inlineStr"/>
      <c r="H52" s="23" t="inlineStr">
        <is>
          <t>On Track</t>
        </is>
      </c>
      <c r="I52" s="64" t="inlineStr"/>
    </row>
    <row r="53" ht="22" customHeight="1">
      <c r="B53" s="8" t="n">
        <v>2</v>
      </c>
      <c r="C53" s="9" t="inlineStr">
        <is>
          <t>Faculty with innovation / startup projects</t>
        </is>
      </c>
      <c r="D53" s="10" t="inlineStr">
        <is>
          <t>No.</t>
        </is>
      </c>
      <c r="E53" s="10" t="inlineStr">
        <is>
          <t>≥5</t>
        </is>
      </c>
      <c r="F53" s="10" t="inlineStr"/>
      <c r="G53" s="10" t="inlineStr"/>
      <c r="H53" s="10" t="inlineStr">
        <is>
          <t>On Track</t>
        </is>
      </c>
      <c r="I53" s="9" t="inlineStr"/>
    </row>
    <row r="54" ht="22" customHeight="1">
      <c r="B54" s="60" t="n">
        <v>3</v>
      </c>
      <c r="C54" s="64" t="inlineStr">
        <is>
          <t>Awareness sessions conducted</t>
        </is>
      </c>
      <c r="D54" s="23" t="inlineStr">
        <is>
          <t>No.</t>
        </is>
      </c>
      <c r="E54" s="23" t="inlineStr">
        <is>
          <t>≥12</t>
        </is>
      </c>
      <c r="F54" s="23" t="inlineStr"/>
      <c r="G54" s="23" t="inlineStr"/>
      <c r="H54" s="23" t="inlineStr">
        <is>
          <t>On Track</t>
        </is>
      </c>
      <c r="I54" s="64" t="inlineStr"/>
    </row>
    <row r="55" ht="22" customHeight="1">
      <c r="B55" s="8" t="n">
        <v>4</v>
      </c>
      <c r="C55" s="9" t="inlineStr">
        <is>
          <t>Students reached through IIC events (%)</t>
        </is>
      </c>
      <c r="D55" s="10" t="inlineStr">
        <is>
          <t>% of enrolled</t>
        </is>
      </c>
      <c r="E55" s="10" t="inlineStr">
        <is>
          <t>≥60%</t>
        </is>
      </c>
      <c r="F55" s="10" t="inlineStr"/>
      <c r="G55" s="10" t="inlineStr"/>
      <c r="H55" s="10" t="inlineStr">
        <is>
          <t>On Track</t>
        </is>
      </c>
      <c r="I55" s="9" t="inlineStr"/>
    </row>
    <row r="56" ht="22" customHeight="1">
      <c r="B56" s="60" t="n">
        <v>5</v>
      </c>
      <c r="C56" s="64" t="inlineStr">
        <is>
          <t>Women innovators / entrepreneurs supported</t>
        </is>
      </c>
      <c r="D56" s="23" t="inlineStr">
        <is>
          <t>No.</t>
        </is>
      </c>
      <c r="E56" s="23" t="inlineStr">
        <is>
          <t>≥10</t>
        </is>
      </c>
      <c r="F56" s="23" t="inlineStr"/>
      <c r="G56" s="23" t="inlineStr"/>
      <c r="H56" s="23" t="inlineStr">
        <is>
          <t>On Track</t>
        </is>
      </c>
      <c r="I56" s="64" t="inlineStr"/>
    </row>
    <row r="57" ht="22" customHeight="1">
      <c r="B57" s="8" t="n">
        <v>6</v>
      </c>
      <c r="C57" s="9" t="inlineStr">
        <is>
          <t>Social innovation projects with SDG link</t>
        </is>
      </c>
      <c r="D57" s="10" t="inlineStr">
        <is>
          <t>No.</t>
        </is>
      </c>
      <c r="E57" s="10" t="inlineStr">
        <is>
          <t>≥3</t>
        </is>
      </c>
      <c r="F57" s="10" t="inlineStr"/>
      <c r="G57" s="10" t="inlineStr"/>
      <c r="H57" s="10" t="inlineStr">
        <is>
          <t>On Track</t>
        </is>
      </c>
      <c r="I57" s="9" t="inlineStr"/>
    </row>
    <row r="58" ht="22" customHeight="1">
      <c r="B58" s="60" t="n">
        <v>7</v>
      </c>
      <c r="C58" s="64" t="inlineStr">
        <is>
          <t>ARIIA ranking participation</t>
        </is>
      </c>
      <c r="D58" s="23" t="inlineStr">
        <is>
          <t>Y/N + Rank</t>
        </is>
      </c>
      <c r="E58" s="23" t="inlineStr">
        <is>
          <t>Yes annually</t>
        </is>
      </c>
      <c r="F58" s="23" t="inlineStr"/>
      <c r="G58" s="23" t="inlineStr"/>
      <c r="H58" s="23" t="inlineStr">
        <is>
          <t>On Track</t>
        </is>
      </c>
      <c r="I58" s="64" t="inlineStr"/>
    </row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</sheetData>
  <mergeCells count="8">
    <mergeCell ref="B33:I33"/>
    <mergeCell ref="B50:I50"/>
    <mergeCell ref="B24:I24"/>
    <mergeCell ref="B2:I2"/>
    <mergeCell ref="B42:I42"/>
    <mergeCell ref="B3:I3"/>
    <mergeCell ref="B14:I14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IIC-33: IIC ANNUAL PERFORMANCE REPORT (APR)</t>
        </is>
      </c>
    </row>
    <row r="3" ht="25" customHeight="1">
      <c r="B3" s="2" t="inlineStr">
        <is>
          <t>Calendar Year: _______  IIC Reg. No.: _______  Prepared by: IIC Coordinator  Verified by: IIC President  Submitted to: MIC Portal / IQAC</t>
        </is>
      </c>
    </row>
    <row r="4" ht="24" customHeight="1">
      <c r="B4" s="20" t="inlineStr">
        <is>
          <t>SECTION 1 — INNOVATION ECOSYSTEM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Year</t>
        </is>
      </c>
      <c r="F5" s="13" t="inlineStr">
        <is>
          <t>Previous Year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innovation events / activities conducted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Total ideas submitted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Ideas converted to prototypes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Hackathons / Ideathons conducted</t>
        </is>
      </c>
      <c r="D9" s="10" t="inlineStr">
        <is>
          <t>No.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Total participants in innovation events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Design thinking workshops conducted</t>
        </is>
      </c>
      <c r="D11" s="10" t="inlineStr">
        <is>
          <t>No.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/>
    <row r="13" ht="24" customHeight="1">
      <c r="B13" s="44" t="inlineStr">
        <is>
          <t>SECTION 2 — STARTUP ECOSYSTEM</t>
        </is>
      </c>
    </row>
    <row r="14" ht="22" customHeight="1">
      <c r="B14" s="61" t="inlineStr">
        <is>
          <t>Sl.</t>
        </is>
      </c>
      <c r="C14" s="61" t="inlineStr">
        <is>
          <t>Performance Metric</t>
        </is>
      </c>
      <c r="D14" s="61" t="inlineStr">
        <is>
          <t>Unit</t>
        </is>
      </c>
      <c r="E14" s="61" t="inlineStr">
        <is>
          <t>Current Year</t>
        </is>
      </c>
      <c r="F14" s="61" t="inlineStr">
        <is>
          <t>Previous Year</t>
        </is>
      </c>
      <c r="G14" s="61" t="inlineStr">
        <is>
          <t>Growth %</t>
        </is>
      </c>
      <c r="H14" s="61" t="inlineStr">
        <is>
          <t>Target Next Year</t>
        </is>
      </c>
    </row>
    <row r="15" ht="22" customHeight="1">
      <c r="B15" s="45" t="n">
        <v>1</v>
      </c>
      <c r="C15" s="46" t="inlineStr">
        <is>
          <t>Startups supported through IIC</t>
        </is>
      </c>
      <c r="D15" s="47" t="inlineStr">
        <is>
          <t>No.</t>
        </is>
      </c>
      <c r="E15" s="47" t="inlineStr"/>
      <c r="F15" s="47" t="inlineStr"/>
      <c r="G15" s="47">
        <f>IFERROR(ROUND((E15-F15)/F15*100,1),"")</f>
        <v/>
      </c>
      <c r="H15" s="47" t="inlineStr"/>
    </row>
    <row r="16" ht="22" customHeight="1">
      <c r="B16" s="8" t="n">
        <v>2</v>
      </c>
      <c r="C16" s="9" t="inlineStr">
        <is>
          <t>DPIIT-recognised startups</t>
        </is>
      </c>
      <c r="D16" s="10" t="inlineStr">
        <is>
          <t>No.</t>
        </is>
      </c>
      <c r="E16" s="10" t="inlineStr"/>
      <c r="F16" s="10" t="inlineStr"/>
      <c r="G16" s="10">
        <f>IFERROR(ROUND((E16-F16)/F16*100,1),"")</f>
        <v/>
      </c>
      <c r="H16" s="10" t="inlineStr"/>
    </row>
    <row r="17" ht="22" customHeight="1">
      <c r="B17" s="45" t="n">
        <v>3</v>
      </c>
      <c r="C17" s="46" t="inlineStr">
        <is>
          <t>Startups with positive revenue</t>
        </is>
      </c>
      <c r="D17" s="47" t="inlineStr">
        <is>
          <t>No.</t>
        </is>
      </c>
      <c r="E17" s="47" t="inlineStr"/>
      <c r="F17" s="47" t="inlineStr"/>
      <c r="G17" s="47">
        <f>IFERROR(ROUND((E17-F17)/F17*100,1),"")</f>
        <v/>
      </c>
      <c r="H17" s="47" t="inlineStr"/>
    </row>
    <row r="18" ht="22" customHeight="1">
      <c r="B18" s="8" t="n">
        <v>4</v>
      </c>
      <c r="C18" s="9" t="inlineStr">
        <is>
          <t>Total funding raised by startups (₹L)</t>
        </is>
      </c>
      <c r="D18" s="10" t="inlineStr">
        <is>
          <t>₹L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45" t="n">
        <v>5</v>
      </c>
      <c r="C19" s="46" t="inlineStr">
        <is>
          <t>Investor events / pitch days conducted</t>
        </is>
      </c>
      <c r="D19" s="47" t="inlineStr">
        <is>
          <t>No.</t>
        </is>
      </c>
      <c r="E19" s="47" t="inlineStr"/>
      <c r="F19" s="47" t="inlineStr"/>
      <c r="G19" s="47">
        <f>IFERROR(ROUND((E19-F19)/F19*100,1),"")</f>
        <v/>
      </c>
      <c r="H19" s="47" t="inlineStr"/>
    </row>
    <row r="20" ht="22" customHeight="1">
      <c r="B20" s="8" t="n">
        <v>6</v>
      </c>
      <c r="C20" s="9" t="inlineStr">
        <is>
          <t>Startups in external incubators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/>
    <row r="22" ht="24" customHeight="1">
      <c r="B22" s="48" t="inlineStr">
        <is>
          <t>SECTION 3 — IPR &amp; TECHNOLOGY</t>
        </is>
      </c>
    </row>
    <row r="23" ht="22" customHeight="1">
      <c r="B23" s="62" t="inlineStr">
        <is>
          <t>Sl.</t>
        </is>
      </c>
      <c r="C23" s="62" t="inlineStr">
        <is>
          <t>Performance Metric</t>
        </is>
      </c>
      <c r="D23" s="62" t="inlineStr">
        <is>
          <t>Unit</t>
        </is>
      </c>
      <c r="E23" s="62" t="inlineStr">
        <is>
          <t>Current Year</t>
        </is>
      </c>
      <c r="F23" s="62" t="inlineStr">
        <is>
          <t>Previous Year</t>
        </is>
      </c>
      <c r="G23" s="62" t="inlineStr">
        <is>
          <t>Growth %</t>
        </is>
      </c>
      <c r="H23" s="62" t="inlineStr">
        <is>
          <t>Target Next Year</t>
        </is>
      </c>
    </row>
    <row r="24" ht="22" customHeight="1">
      <c r="B24" s="49" t="n">
        <v>1</v>
      </c>
      <c r="C24" s="50" t="inlineStr">
        <is>
          <t>Patents filed</t>
        </is>
      </c>
      <c r="D24" s="51" t="inlineStr">
        <is>
          <t>No.</t>
        </is>
      </c>
      <c r="E24" s="51" t="inlineStr"/>
      <c r="F24" s="51" t="inlineStr"/>
      <c r="G24" s="51">
        <f>IFERROR(ROUND((E24-F24)/F24*100,1),"")</f>
        <v/>
      </c>
      <c r="H24" s="51" t="inlineStr"/>
    </row>
    <row r="25" ht="22" customHeight="1">
      <c r="B25" s="8" t="n">
        <v>2</v>
      </c>
      <c r="C25" s="9" t="inlineStr">
        <is>
          <t>Patents granted</t>
        </is>
      </c>
      <c r="D25" s="10" t="inlineStr">
        <is>
          <t>No.</t>
        </is>
      </c>
      <c r="E25" s="10" t="inlineStr"/>
      <c r="F25" s="10" t="inlineStr"/>
      <c r="G25" s="10">
        <f>IFERROR(ROUND((E25-F25)/F25*100,1),"")</f>
        <v/>
      </c>
      <c r="H25" s="10" t="inlineStr"/>
    </row>
    <row r="26" ht="22" customHeight="1">
      <c r="B26" s="49" t="n">
        <v>3</v>
      </c>
      <c r="C26" s="50" t="inlineStr">
        <is>
          <t>TM / copyright / design filings</t>
        </is>
      </c>
      <c r="D26" s="51" t="inlineStr">
        <is>
          <t>No.</t>
        </is>
      </c>
      <c r="E26" s="51" t="inlineStr"/>
      <c r="F26" s="51" t="inlineStr"/>
      <c r="G26" s="51">
        <f>IFERROR(ROUND((E26-F26)/F26*100,1),"")</f>
        <v/>
      </c>
      <c r="H26" s="51" t="inlineStr"/>
    </row>
    <row r="27" ht="22" customHeight="1">
      <c r="B27" s="8" t="n">
        <v>4</v>
      </c>
      <c r="C27" s="9" t="inlineStr">
        <is>
          <t>IPR awareness sessions</t>
        </is>
      </c>
      <c r="D27" s="10" t="inlineStr">
        <is>
          <t>No.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49" t="n">
        <v>5</v>
      </c>
      <c r="C28" s="50" t="inlineStr">
        <is>
          <t>Technology transfer deals</t>
        </is>
      </c>
      <c r="D28" s="51" t="inlineStr">
        <is>
          <t>No.</t>
        </is>
      </c>
      <c r="E28" s="51" t="inlineStr"/>
      <c r="F28" s="51" t="inlineStr"/>
      <c r="G28" s="51">
        <f>IFERROR(ROUND((E28-F28)/F28*100,1),"")</f>
        <v/>
      </c>
      <c r="H28" s="51" t="inlineStr"/>
    </row>
    <row r="29" ht="22" customHeight="1">
      <c r="B29" s="8" t="n">
        <v>6</v>
      </c>
      <c r="C29" s="9" t="inlineStr">
        <is>
          <t>Revenue from licensing (₹L)</t>
        </is>
      </c>
      <c r="D29" s="10" t="inlineStr">
        <is>
          <t>₹L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/>
    <row r="31" ht="24" customHeight="1">
      <c r="B31" s="35" t="inlineStr">
        <is>
          <t>SECTION 4 — MIC PORTAL &amp; STAR RATING</t>
        </is>
      </c>
    </row>
    <row r="32" ht="22" customHeight="1">
      <c r="B32" s="31" t="inlineStr">
        <is>
          <t>Sl.</t>
        </is>
      </c>
      <c r="C32" s="31" t="inlineStr">
        <is>
          <t>Performance Metric</t>
        </is>
      </c>
      <c r="D32" s="31" t="inlineStr">
        <is>
          <t>Unit</t>
        </is>
      </c>
      <c r="E32" s="31" t="inlineStr">
        <is>
          <t>Current Year</t>
        </is>
      </c>
      <c r="F32" s="31" t="inlineStr">
        <is>
          <t>Previous Year</t>
        </is>
      </c>
      <c r="G32" s="31" t="inlineStr">
        <is>
          <t>Growth %</t>
        </is>
      </c>
      <c r="H32" s="31" t="inlineStr">
        <is>
          <t>Target Next Year</t>
        </is>
      </c>
    </row>
    <row r="33" ht="22" customHeight="1">
      <c r="B33" s="32" t="n">
        <v>1</v>
      </c>
      <c r="C33" s="33" t="inlineStr">
        <is>
          <t>IIC Star Rating achieved (current year)</t>
        </is>
      </c>
      <c r="D33" s="34" t="inlineStr">
        <is>
          <t>Stars 1–5</t>
        </is>
      </c>
      <c r="E33" s="34" t="inlineStr"/>
      <c r="F33" s="34" t="inlineStr"/>
      <c r="G33" s="34">
        <f>IFERROR(ROUND((E33-F33)/F33*100,1),"")</f>
        <v/>
      </c>
      <c r="H33" s="34" t="inlineStr"/>
    </row>
    <row r="34" ht="22" customHeight="1">
      <c r="B34" s="8" t="n">
        <v>2</v>
      </c>
      <c r="C34" s="9" t="inlineStr">
        <is>
          <t>MIC total points scored</t>
        </is>
      </c>
      <c r="D34" s="10" t="inlineStr">
        <is>
          <t>/ 100</t>
        </is>
      </c>
      <c r="E34" s="10" t="inlineStr"/>
      <c r="F34" s="10" t="inlineStr"/>
      <c r="G34" s="10">
        <f>IFERROR(ROUND((E34-F34)/F34*100,1),"")</f>
        <v/>
      </c>
      <c r="H34" s="10" t="inlineStr"/>
    </row>
    <row r="35" ht="22" customHeight="1">
      <c r="B35" s="32" t="n">
        <v>3</v>
      </c>
      <c r="C35" s="33" t="inlineStr">
        <is>
          <t>Activities reported on MIC portal</t>
        </is>
      </c>
      <c r="D35" s="34" t="inlineStr">
        <is>
          <t>No.</t>
        </is>
      </c>
      <c r="E35" s="34" t="inlineStr"/>
      <c r="F35" s="34" t="inlineStr"/>
      <c r="G35" s="34">
        <f>IFERROR(ROUND((E35-F35)/F35*100,1),"")</f>
        <v/>
      </c>
      <c r="H35" s="34" t="inlineStr"/>
    </row>
    <row r="36" ht="22" customHeight="1">
      <c r="B36" s="8" t="n">
        <v>4</v>
      </c>
      <c r="C36" s="9" t="inlineStr">
        <is>
          <t>MIC national competitions participated</t>
        </is>
      </c>
      <c r="D36" s="10" t="inlineStr">
        <is>
          <t>No.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32" t="n">
        <v>5</v>
      </c>
      <c r="C37" s="33" t="inlineStr">
        <is>
          <t>SIH teams participated</t>
        </is>
      </c>
      <c r="D37" s="34" t="inlineStr">
        <is>
          <t>No.</t>
        </is>
      </c>
      <c r="E37" s="34" t="inlineStr"/>
      <c r="F37" s="34" t="inlineStr"/>
      <c r="G37" s="34">
        <f>IFERROR(ROUND((E37-F37)/F37*100,1),"")</f>
        <v/>
      </c>
      <c r="H37" s="34" t="inlineStr"/>
    </row>
    <row r="38" ht="22" customHeight="1">
      <c r="B38" s="8" t="n">
        <v>6</v>
      </c>
      <c r="C38" s="9" t="inlineStr">
        <is>
          <t>National Innovation Day conducted</t>
        </is>
      </c>
      <c r="D38" s="10" t="inlineStr">
        <is>
          <t>Y/N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/>
    <row r="40" ht="24" customHeight="1">
      <c r="B40" s="52" t="inlineStr">
        <is>
          <t>SECTION 5 — FACULTY, OUTREACH &amp; IMPACT</t>
        </is>
      </c>
    </row>
    <row r="41" ht="22" customHeight="1">
      <c r="B41" s="63" t="inlineStr">
        <is>
          <t>Sl.</t>
        </is>
      </c>
      <c r="C41" s="63" t="inlineStr">
        <is>
          <t>Performance Metric</t>
        </is>
      </c>
      <c r="D41" s="63" t="inlineStr">
        <is>
          <t>Unit</t>
        </is>
      </c>
      <c r="E41" s="63" t="inlineStr">
        <is>
          <t>Current Year</t>
        </is>
      </c>
      <c r="F41" s="63" t="inlineStr">
        <is>
          <t>Previous Year</t>
        </is>
      </c>
      <c r="G41" s="63" t="inlineStr">
        <is>
          <t>Growth %</t>
        </is>
      </c>
      <c r="H41" s="63" t="inlineStr">
        <is>
          <t>Target Next Year</t>
        </is>
      </c>
    </row>
    <row r="42" ht="22" customHeight="1">
      <c r="B42" s="53" t="n">
        <v>1</v>
      </c>
      <c r="C42" s="54" t="inlineStr">
        <is>
          <t>Faculty trained in innovation</t>
        </is>
      </c>
      <c r="D42" s="55" t="inlineStr">
        <is>
          <t>No.</t>
        </is>
      </c>
      <c r="E42" s="55" t="inlineStr"/>
      <c r="F42" s="55" t="inlineStr"/>
      <c r="G42" s="55">
        <f>IFERROR(ROUND((E42-F42)/F42*100,1),"")</f>
        <v/>
      </c>
      <c r="H42" s="55" t="inlineStr"/>
    </row>
    <row r="43" ht="22" customHeight="1">
      <c r="B43" s="8" t="n">
        <v>2</v>
      </c>
      <c r="C43" s="9" t="inlineStr">
        <is>
          <t>Students reached through IIC</t>
        </is>
      </c>
      <c r="D43" s="10" t="inlineStr">
        <is>
          <t>No.</t>
        </is>
      </c>
      <c r="E43" s="10" t="inlineStr"/>
      <c r="F43" s="10" t="inlineStr"/>
      <c r="G43" s="10">
        <f>IFERROR(ROUND((E43-F43)/F43*100,1),"")</f>
        <v/>
      </c>
      <c r="H43" s="10" t="inlineStr"/>
    </row>
    <row r="44" ht="22" customHeight="1">
      <c r="B44" s="53" t="n">
        <v>3</v>
      </c>
      <c r="C44" s="54" t="inlineStr">
        <is>
          <t>Women innovators supported</t>
        </is>
      </c>
      <c r="D44" s="55" t="inlineStr">
        <is>
          <t>No.</t>
        </is>
      </c>
      <c r="E44" s="55" t="inlineStr"/>
      <c r="F44" s="55" t="inlineStr"/>
      <c r="G44" s="55">
        <f>IFERROR(ROUND((E44-F44)/F44*100,1),"")</f>
        <v/>
      </c>
      <c r="H44" s="55" t="inlineStr"/>
    </row>
    <row r="45" ht="22" customHeight="1">
      <c r="B45" s="8" t="n">
        <v>4</v>
      </c>
      <c r="C45" s="9" t="inlineStr">
        <is>
          <t>SDG-linked innovations</t>
        </is>
      </c>
      <c r="D45" s="10" t="inlineStr">
        <is>
          <t>No.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53" t="n">
        <v>5</v>
      </c>
      <c r="C46" s="54" t="inlineStr">
        <is>
          <t>External linkages (incubators / TBIs)</t>
        </is>
      </c>
      <c r="D46" s="55" t="inlineStr">
        <is>
          <t>No.</t>
        </is>
      </c>
      <c r="E46" s="55" t="inlineStr"/>
      <c r="F46" s="55" t="inlineStr"/>
      <c r="G46" s="55">
        <f>IFERROR(ROUND((E46-F46)/F46*100,1),"")</f>
        <v/>
      </c>
      <c r="H46" s="55" t="inlineStr"/>
    </row>
    <row r="47" ht="22" customHeight="1">
      <c r="B47" s="8" t="n">
        <v>6</v>
      </c>
      <c r="C47" s="9" t="inlineStr">
        <is>
          <t>ARIIA rank (if received)</t>
        </is>
      </c>
      <c r="D47" s="10" t="inlineStr">
        <is>
          <t>Rank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/>
    <row r="49" ht="20" customHeight="1">
      <c r="B49" s="17" t="inlineStr">
        <is>
          <t>APR to be submitted to: MIC Portal (iic.mic.gov.in), IQAC (for AQAR Criterion III), NAAC SSR, ARIIA, NIRF Innovation Ranking and Governing Body. Deadline: As per MIC calendar (typically March 31).</t>
        </is>
      </c>
    </row>
    <row r="50" ht="22" customHeight="1">
      <c r="B50" s="30" t="inlineStr">
        <is>
          <t>IIC Coordinator: ___________________    IIC President: ___________________    IQAC Coordinator: ___________________    Principal: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2026-04-22T04:10:59Z</dcterms:created>
  <dcterms:modified xmlns:dcterms="http://purl.org/dc/terms/" xmlns:xsi="http://www.w3.org/2001/XMLSchema-instance" xsi:type="dcterms:W3CDTF">2026-04-22T04:11:00Z</dcterms:modified>
</cp:coreProperties>
</file>